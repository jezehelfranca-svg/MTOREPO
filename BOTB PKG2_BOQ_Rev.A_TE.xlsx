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 Id="rId5"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D:\Bidding\SAUDI BOTB\BOQ\LATEST\Next Issue\"/>
    </mc:Choice>
  </mc:AlternateContent>
  <bookViews>
    <workbookView xWindow="-108" yWindow="-108" windowWidth="23256" windowHeight="14016" tabRatio="861" firstSheet="6" activeTab="6" xr2:uid="{00000000-000D-0000-FFFF-FFFF00000000}"/>
  </bookViews>
  <sheets>
    <sheet name="Cover" sheetId="1" r:id="rId1"/>
    <sheet name="Cable" sheetId="2" r:id="rId2"/>
    <sheet name="Cable Tray" sheetId="3" r:id="rId3"/>
    <sheet name="Conduit" sheetId="4" r:id="rId4"/>
    <sheet name="Cable Gland" sheetId="5" r:id="rId5"/>
    <sheet name="Support" sheetId="6" r:id="rId6"/>
    <sheet name="Telecom &amp; Security System" sheetId="7" r:id="rId7"/>
    <sheet name="Update Basis" sheetId="8"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s>
  <definedNames>
    <definedName name="\a">#N/A</definedName>
    <definedName name="\b">#N/A</definedName>
    <definedName name="\c">#N/A</definedName>
    <definedName name="\d">[1]회사99!#REF!</definedName>
    <definedName name="\E" localSheetId="0">#REF!</definedName>
    <definedName name="\E">#REF!</definedName>
    <definedName name="\f">#N/A</definedName>
    <definedName name="\FF" localSheetId="0">'[2]97 사업추정(WEKI)'!#REF!</definedName>
    <definedName name="\FF">'[3]97 사업추정(WEKI)'!#REF!</definedName>
    <definedName name="\FG" localSheetId="0">[4]손익차9월2!#REF!</definedName>
    <definedName name="\FG">[5]손익차9월2!#REF!</definedName>
    <definedName name="\g" localSheetId="0">#REF!</definedName>
    <definedName name="\g">#REF!</definedName>
    <definedName name="\O" localSheetId="0">#REF!</definedName>
    <definedName name="\O">#REF!</definedName>
    <definedName name="\p" localSheetId="0">#REF!</definedName>
    <definedName name="\p">#REF!</definedName>
    <definedName name="\PP">#REF!</definedName>
    <definedName name="\q">#REF!</definedName>
    <definedName name="\s" localSheetId="0">'[6]95삼성급(본사)'!#REF!</definedName>
    <definedName name="\s">'[7]95삼성급(본사)'!#REF!</definedName>
    <definedName name="\X">#REF!</definedName>
    <definedName name="\Z" localSheetId="0">#REF!</definedName>
    <definedName name="\z">#N/A</definedName>
    <definedName name="_____________________PRO1">#REF!</definedName>
    <definedName name="_____________________PRO2">#REF!</definedName>
    <definedName name="_____________________PRO4">#REF!</definedName>
    <definedName name="_____________________PRO5">#REF!</definedName>
    <definedName name="_____________________PRO6">#REF!</definedName>
    <definedName name="_____________________PRO7">#REF!</definedName>
    <definedName name="____________________PRO1">#REF!</definedName>
    <definedName name="____________________PRO2">#REF!</definedName>
    <definedName name="____________________PRO4">#REF!</definedName>
    <definedName name="____________________PRO5">#REF!</definedName>
    <definedName name="____________________PRO6">#REF!</definedName>
    <definedName name="____________________PRO7">#REF!</definedName>
    <definedName name="___________________FLL2" hidden="1">#REF!</definedName>
    <definedName name="___________________PRO1">#REF!</definedName>
    <definedName name="___________________PRO2">#REF!</definedName>
    <definedName name="___________________PRO4">#REF!</definedName>
    <definedName name="___________________PRO5">#REF!</definedName>
    <definedName name="___________________PRO6">#REF!</definedName>
    <definedName name="___________________PRO7">#REF!</definedName>
    <definedName name="__________________A1" localSheetId="0" hidden="1">{#N/A,#N/A,TRUE,"Basic";#N/A,#N/A,TRUE,"EXT-TABLE";#N/A,#N/A,TRUE,"STEEL";#N/A,#N/A,TRUE,"INT-Table";#N/A,#N/A,TRUE,"STEEL";#N/A,#N/A,TRUE,"Door"}</definedName>
    <definedName name="__________________A1" hidden="1">{#N/A,#N/A,TRUE,"Basic";#N/A,#N/A,TRUE,"EXT-TABLE";#N/A,#N/A,TRUE,"STEEL";#N/A,#N/A,TRUE,"INT-Table";#N/A,#N/A,TRUE,"STEEL";#N/A,#N/A,TRUE,"Door"}</definedName>
    <definedName name="__________________FLL2" localSheetId="0" hidden="1">#REF!</definedName>
    <definedName name="__________________FLL2" hidden="1">#REF!</definedName>
    <definedName name="__________________plc1">[8]INSTR!$A$5:$M$208</definedName>
    <definedName name="__________________PRO1" localSheetId="0">#REF!</definedName>
    <definedName name="__________________PRO1">#REF!</definedName>
    <definedName name="__________________PRO2">#REF!</definedName>
    <definedName name="__________________PRO4">#REF!</definedName>
    <definedName name="__________________PRO5">#REF!</definedName>
    <definedName name="__________________PRO6">#REF!</definedName>
    <definedName name="__________________PRO7">#REF!</definedName>
    <definedName name="__________________STM11">#REF!</definedName>
    <definedName name="_________________A1" localSheetId="0" hidden="1">{#N/A,#N/A,TRUE,"Basic";#N/A,#N/A,TRUE,"EXT-TABLE";#N/A,#N/A,TRUE,"STEEL";#N/A,#N/A,TRUE,"INT-Table";#N/A,#N/A,TRUE,"STEEL";#N/A,#N/A,TRUE,"Door"}</definedName>
    <definedName name="_________________A1" hidden="1">{#N/A,#N/A,TRUE,"Basic";#N/A,#N/A,TRUE,"EXT-TABLE";#N/A,#N/A,TRUE,"STEEL";#N/A,#N/A,TRUE,"INT-Table";#N/A,#N/A,TRUE,"STEEL";#N/A,#N/A,TRUE,"Door"}</definedName>
    <definedName name="_________________A66" localSheetId="0">[9]!_________________KT66</definedName>
    <definedName name="_________________A66">#N/A</definedName>
    <definedName name="_________________ac4" localSheetId="0">#N/A</definedName>
    <definedName name="_________________ac4">#N/A</definedName>
    <definedName name="_________________FLL2" hidden="1">#REF!</definedName>
    <definedName name="_________________KT66" localSheetId="0">#N/A</definedName>
    <definedName name="_________________KT66">#N/A</definedName>
    <definedName name="_________________plc1">[8]INSTR!$A$5:$M$208</definedName>
    <definedName name="_________________PRO1" localSheetId="0">#REF!</definedName>
    <definedName name="_________________PRO1">#REF!</definedName>
    <definedName name="_________________PRO2">#REF!</definedName>
    <definedName name="_________________PRO4">#REF!</definedName>
    <definedName name="_________________PRO5">#REF!</definedName>
    <definedName name="_________________PRO6">#REF!</definedName>
    <definedName name="_________________PRO7">#REF!</definedName>
    <definedName name="_________________STM11">#REF!</definedName>
    <definedName name="_________________TB1">#REF!</definedName>
    <definedName name="________________A1" localSheetId="0" hidden="1">{#N/A,#N/A,TRUE,"Basic";#N/A,#N/A,TRUE,"EXT-TABLE";#N/A,#N/A,TRUE,"STEEL";#N/A,#N/A,TRUE,"INT-Table";#N/A,#N/A,TRUE,"STEEL";#N/A,#N/A,TRUE,"Door"}</definedName>
    <definedName name="________________A1" hidden="1">{#N/A,#N/A,TRUE,"Basic";#N/A,#N/A,TRUE,"EXT-TABLE";#N/A,#N/A,TRUE,"STEEL";#N/A,#N/A,TRUE,"INT-Table";#N/A,#N/A,TRUE,"STEEL";#N/A,#N/A,TRUE,"Door"}</definedName>
    <definedName name="________________A66" localSheetId="0">[9]!________________KT66</definedName>
    <definedName name="________________A66">#N/A</definedName>
    <definedName name="________________ac4" localSheetId="0">#N/A</definedName>
    <definedName name="________________ac4">#N/A</definedName>
    <definedName name="________________B1">#REF!</definedName>
    <definedName name="________________END1">'[10]개시대사 (2)'!$G$49</definedName>
    <definedName name="________________FLL2" hidden="1">#REF!</definedName>
    <definedName name="________________KT66" localSheetId="0">#N/A</definedName>
    <definedName name="________________KT66">#N/A</definedName>
    <definedName name="________________plc1">[8]INSTR!$A$5:$M$208</definedName>
    <definedName name="________________PRO1" localSheetId="0">#REF!</definedName>
    <definedName name="________________PRO1">#REF!</definedName>
    <definedName name="________________PRO2">#REF!</definedName>
    <definedName name="________________PRO4">#REF!</definedName>
    <definedName name="________________PRO5">#REF!</definedName>
    <definedName name="________________PRO6">#REF!</definedName>
    <definedName name="________________PRO7">#REF!</definedName>
    <definedName name="________________s3">'[11]h-013211-2'!$C$5</definedName>
    <definedName name="________________SHT1">'[12]L V Separator'!$A$1:$AC$65</definedName>
    <definedName name="________________STM11">#REF!</definedName>
    <definedName name="________________TB1">#REF!</definedName>
    <definedName name="_______________A1" localSheetId="0" hidden="1">{#N/A,#N/A,TRUE,"Basic";#N/A,#N/A,TRUE,"EXT-TABLE";#N/A,#N/A,TRUE,"STEEL";#N/A,#N/A,TRUE,"INT-Table";#N/A,#N/A,TRUE,"STEEL";#N/A,#N/A,TRUE,"Door"}</definedName>
    <definedName name="_______________A1" hidden="1">{#N/A,#N/A,TRUE,"Basic";#N/A,#N/A,TRUE,"EXT-TABLE";#N/A,#N/A,TRUE,"STEEL";#N/A,#N/A,TRUE,"INT-Table";#N/A,#N/A,TRUE,"STEEL";#N/A,#N/A,TRUE,"Door"}</definedName>
    <definedName name="_______________A66" localSheetId="0">[9]!_______________KT66</definedName>
    <definedName name="_______________A66">#N/A</definedName>
    <definedName name="_______________ac4" localSheetId="0">#N/A</definedName>
    <definedName name="_______________ac4">#N/A</definedName>
    <definedName name="_______________B1">#REF!</definedName>
    <definedName name="_______________END1">'[10]개시대사 (2)'!$G$49</definedName>
    <definedName name="_______________FLL2" hidden="1">#REF!</definedName>
    <definedName name="_______________KT66" localSheetId="0">#N/A</definedName>
    <definedName name="_______________KT66">#N/A</definedName>
    <definedName name="_______________plc1">[8]INSTR!$A$5:$M$208</definedName>
    <definedName name="_______________PRO1" localSheetId="0">#REF!</definedName>
    <definedName name="_______________PRO1">#REF!</definedName>
    <definedName name="_______________PRO2">#REF!</definedName>
    <definedName name="_______________PRO4">#REF!</definedName>
    <definedName name="_______________PRO5">#REF!</definedName>
    <definedName name="_______________PRO6">#REF!</definedName>
    <definedName name="_______________PRO7">#REF!</definedName>
    <definedName name="_______________s3">'[11]h-013211-2'!$C$5</definedName>
    <definedName name="_______________SHT1">'[12]L V Separator'!$A$1:$AC$65</definedName>
    <definedName name="_______________STM11">#REF!</definedName>
    <definedName name="_______________TB1">#REF!</definedName>
    <definedName name="______________A1" localSheetId="0" hidden="1">{#N/A,#N/A,TRUE,"Basic";#N/A,#N/A,TRUE,"EXT-TABLE";#N/A,#N/A,TRUE,"STEEL";#N/A,#N/A,TRUE,"INT-Table";#N/A,#N/A,TRUE,"STEEL";#N/A,#N/A,TRUE,"Door"}</definedName>
    <definedName name="______________A1" hidden="1">{#N/A,#N/A,TRUE,"Basic";#N/A,#N/A,TRUE,"EXT-TABLE";#N/A,#N/A,TRUE,"STEEL";#N/A,#N/A,TRUE,"INT-Table";#N/A,#N/A,TRUE,"STEEL";#N/A,#N/A,TRUE,"Door"}</definedName>
    <definedName name="______________A66" localSheetId="0">[9]!______________KT66</definedName>
    <definedName name="______________A66">#N/A</definedName>
    <definedName name="______________ac4" localSheetId="0">#N/A</definedName>
    <definedName name="______________ac4">#N/A</definedName>
    <definedName name="______________B1">#REF!</definedName>
    <definedName name="______________END1">'[10]개시대사 (2)'!$G$49</definedName>
    <definedName name="______________FLL2" hidden="1">#REF!</definedName>
    <definedName name="______________KT66" localSheetId="0">#N/A</definedName>
    <definedName name="______________KT66">#N/A</definedName>
    <definedName name="______________plc1">[8]INSTR!$A$5:$M$208</definedName>
    <definedName name="______________PRO1" localSheetId="0">#REF!</definedName>
    <definedName name="______________PRO1">#REF!</definedName>
    <definedName name="______________PRO2">#REF!</definedName>
    <definedName name="______________PRO4">#REF!</definedName>
    <definedName name="______________PRO5">#REF!</definedName>
    <definedName name="______________PRO6">#REF!</definedName>
    <definedName name="______________PRO7">#REF!</definedName>
    <definedName name="______________s3">'[11]h-013211-2'!$C$5</definedName>
    <definedName name="______________SHT1">'[12]L V Separator'!$A$1:$AC$65</definedName>
    <definedName name="______________STM11">#REF!</definedName>
    <definedName name="______________TB1">#REF!</definedName>
    <definedName name="_____________A1" localSheetId="0" hidden="1">{#N/A,#N/A,TRUE,"Basic";#N/A,#N/A,TRUE,"EXT-TABLE";#N/A,#N/A,TRUE,"STEEL";#N/A,#N/A,TRUE,"INT-Table";#N/A,#N/A,TRUE,"STEEL";#N/A,#N/A,TRUE,"Door"}</definedName>
    <definedName name="_____________A1" hidden="1">{#N/A,#N/A,TRUE,"Basic";#N/A,#N/A,TRUE,"EXT-TABLE";#N/A,#N/A,TRUE,"STEEL";#N/A,#N/A,TRUE,"INT-Table";#N/A,#N/A,TRUE,"STEEL";#N/A,#N/A,TRUE,"Door"}</definedName>
    <definedName name="_____________A66" localSheetId="0">[9]!_____________KT66</definedName>
    <definedName name="_____________A66">#N/A</definedName>
    <definedName name="_____________ac4" localSheetId="0">#N/A</definedName>
    <definedName name="_____________ac4">#N/A</definedName>
    <definedName name="_____________B1">#REF!</definedName>
    <definedName name="_____________END1">'[10]개시대사 (2)'!$G$49</definedName>
    <definedName name="_____________FLL2" hidden="1">#REF!</definedName>
    <definedName name="_____________KT66" localSheetId="0">#N/A</definedName>
    <definedName name="_____________KT66">#N/A</definedName>
    <definedName name="_____________plc1">[8]INSTR!$A$5:$M$208</definedName>
    <definedName name="_____________PRO1" localSheetId="0">#REF!</definedName>
    <definedName name="_____________PRO1">#REF!</definedName>
    <definedName name="_____________PRO2">#REF!</definedName>
    <definedName name="_____________PRO4">#REF!</definedName>
    <definedName name="_____________PRO5">#REF!</definedName>
    <definedName name="_____________PRO6">#REF!</definedName>
    <definedName name="_____________PRO7">#REF!</definedName>
    <definedName name="_____________s3">'[11]h-013211-2'!$C$5</definedName>
    <definedName name="_____________SHT1">'[12]L V Separator'!$A$1:$AC$65</definedName>
    <definedName name="_____________STM11">#REF!</definedName>
    <definedName name="_____________TB1">#REF!</definedName>
    <definedName name="____________A1" localSheetId="0" hidden="1">{#N/A,#N/A,TRUE,"Basic";#N/A,#N/A,TRUE,"EXT-TABLE";#N/A,#N/A,TRUE,"STEEL";#N/A,#N/A,TRUE,"INT-Table";#N/A,#N/A,TRUE,"STEEL";#N/A,#N/A,TRUE,"Door"}</definedName>
    <definedName name="____________A1" hidden="1">{#N/A,#N/A,TRUE,"Basic";#N/A,#N/A,TRUE,"EXT-TABLE";#N/A,#N/A,TRUE,"STEEL";#N/A,#N/A,TRUE,"INT-Table";#N/A,#N/A,TRUE,"STEEL";#N/A,#N/A,TRUE,"Door"}</definedName>
    <definedName name="____________A66" localSheetId="0">[9]!____________KT66</definedName>
    <definedName name="____________A66">#N/A</definedName>
    <definedName name="____________ac4" localSheetId="0">#N/A</definedName>
    <definedName name="____________ac4">#N/A</definedName>
    <definedName name="____________B1">#REF!</definedName>
    <definedName name="____________END1">'[10]개시대사 (2)'!$G$49</definedName>
    <definedName name="____________FLL2" hidden="1">#REF!</definedName>
    <definedName name="____________KT66" localSheetId="0">#N/A</definedName>
    <definedName name="____________KT66">#N/A</definedName>
    <definedName name="____________plc1">[8]INSTR!$A$5:$M$208</definedName>
    <definedName name="____________PRO1" localSheetId="0">#REF!</definedName>
    <definedName name="____________PRO1">#REF!</definedName>
    <definedName name="____________PRO2" localSheetId="0">#REF!</definedName>
    <definedName name="____________PRO2">#REF!</definedName>
    <definedName name="____________PRO4" localSheetId="0">#REF!</definedName>
    <definedName name="____________PRO4">#REF!</definedName>
    <definedName name="____________PRO5" localSheetId="0">#REF!</definedName>
    <definedName name="____________PRO5">#REF!</definedName>
    <definedName name="____________PRO6" localSheetId="0">#REF!</definedName>
    <definedName name="____________PRO6">#REF!</definedName>
    <definedName name="____________PRO7" localSheetId="0">#REF!</definedName>
    <definedName name="____________PRO7">#REF!</definedName>
    <definedName name="____________s3">'[11]h-013211-2'!$C$5</definedName>
    <definedName name="____________SHT1">'[12]L V Separator'!$A$1:$AC$65</definedName>
    <definedName name="____________STM11">#REF!</definedName>
    <definedName name="____________TB1">#REF!</definedName>
    <definedName name="___________A1" localSheetId="0" hidden="1">{#N/A,#N/A,TRUE,"Basic";#N/A,#N/A,TRUE,"EXT-TABLE";#N/A,#N/A,TRUE,"STEEL";#N/A,#N/A,TRUE,"INT-Table";#N/A,#N/A,TRUE,"STEEL";#N/A,#N/A,TRUE,"Door"}</definedName>
    <definedName name="___________A1" hidden="1">{#N/A,#N/A,TRUE,"Basic";#N/A,#N/A,TRUE,"EXT-TABLE";#N/A,#N/A,TRUE,"STEEL";#N/A,#N/A,TRUE,"INT-Table";#N/A,#N/A,TRUE,"STEEL";#N/A,#N/A,TRUE,"Door"}</definedName>
    <definedName name="___________A66" localSheetId="0">[9]!___________KT66</definedName>
    <definedName name="___________A66">#N/A</definedName>
    <definedName name="___________ac4" localSheetId="0">#N/A</definedName>
    <definedName name="___________ac4">#N/A</definedName>
    <definedName name="___________B1">#REF!</definedName>
    <definedName name="___________END1">'[10]개시대사 (2)'!$G$49</definedName>
    <definedName name="___________FLL2" hidden="1">#REF!</definedName>
    <definedName name="___________KT66" localSheetId="0">#N/A</definedName>
    <definedName name="___________KT66">#N/A</definedName>
    <definedName name="___________plc1">[8]INSTR!$A$5:$M$208</definedName>
    <definedName name="___________PRO1" localSheetId="0">#REF!</definedName>
    <definedName name="___________PRO1">#REF!</definedName>
    <definedName name="___________PRO2">#REF!</definedName>
    <definedName name="___________PRO4">#REF!</definedName>
    <definedName name="___________PRO5">#REF!</definedName>
    <definedName name="___________PRO6">#REF!</definedName>
    <definedName name="___________PRO7">#REF!</definedName>
    <definedName name="___________s3">'[11]h-013211-2'!$C$5</definedName>
    <definedName name="___________SHT1">'[12]L V Separator'!$A$1:$AC$65</definedName>
    <definedName name="___________STM11">#REF!</definedName>
    <definedName name="___________TB1">#REF!</definedName>
    <definedName name="__________A1" localSheetId="0" hidden="1">{#N/A,#N/A,TRUE,"Basic";#N/A,#N/A,TRUE,"EXT-TABLE";#N/A,#N/A,TRUE,"STEEL";#N/A,#N/A,TRUE,"INT-Table";#N/A,#N/A,TRUE,"STEEL";#N/A,#N/A,TRUE,"Door"}</definedName>
    <definedName name="__________A66" localSheetId="0">[9]!__________KT66</definedName>
    <definedName name="__________A66">#N/A</definedName>
    <definedName name="__________ac4" localSheetId="0">[9]!ClearSheet</definedName>
    <definedName name="__________ac4">#N/A</definedName>
    <definedName name="__________B1">#REF!</definedName>
    <definedName name="__________END1">'[10]개시대사 (2)'!$G$49</definedName>
    <definedName name="__________FLL2" hidden="1">#REF!</definedName>
    <definedName name="__________KT66" localSheetId="0">#N/A</definedName>
    <definedName name="__________KT66">#N/A</definedName>
    <definedName name="__________plc1">[8]INSTR!$A$5:$M$208</definedName>
    <definedName name="__________PRO1" localSheetId="0">#REF!</definedName>
    <definedName name="__________PRO1">#REF!</definedName>
    <definedName name="__________PRO2">#REF!</definedName>
    <definedName name="__________PRO4">#REF!</definedName>
    <definedName name="__________PRO5">#REF!</definedName>
    <definedName name="__________PRO6">#REF!</definedName>
    <definedName name="__________PRO7">#REF!</definedName>
    <definedName name="__________s3">'[11]h-013211-2'!$C$5</definedName>
    <definedName name="__________SHT1">'[12]L V Separator'!$A$1:$AC$65</definedName>
    <definedName name="__________STM11" localSheetId="0">#REF!</definedName>
    <definedName name="__________TB1">#REF!</definedName>
    <definedName name="_________A1" localSheetId="0" hidden="1">{#N/A,#N/A,TRUE,"Basic";#N/A,#N/A,TRUE,"EXT-TABLE";#N/A,#N/A,TRUE,"STEEL";#N/A,#N/A,TRUE,"INT-Table";#N/A,#N/A,TRUE,"STEEL";#N/A,#N/A,TRUE,"Door"}</definedName>
    <definedName name="_________A1" hidden="1">{#N/A,#N/A,TRUE,"Basic";#N/A,#N/A,TRUE,"EXT-TABLE";#N/A,#N/A,TRUE,"STEEL";#N/A,#N/A,TRUE,"INT-Table";#N/A,#N/A,TRUE,"STEEL";#N/A,#N/A,TRUE,"Door"}</definedName>
    <definedName name="_________A66" localSheetId="0">[0]!_________KT66</definedName>
    <definedName name="_________ac4" localSheetId="0">[0]!ClearSheet</definedName>
    <definedName name="_________B1">#REF!</definedName>
    <definedName name="_________END1">'[10]개시대사 (2)'!$G$49</definedName>
    <definedName name="_________FLL2" hidden="1">#REF!</definedName>
    <definedName name="_________KT66" localSheetId="0">[0]!_________KT66</definedName>
    <definedName name="_________KT66">#N/A</definedName>
    <definedName name="_________plc1">[8]INSTR!$A$5:$M$208</definedName>
    <definedName name="_________PRO1" localSheetId="0">#REF!</definedName>
    <definedName name="_________PRO1">#REF!</definedName>
    <definedName name="_________PRO2">#REF!</definedName>
    <definedName name="_________PRO4">#REF!</definedName>
    <definedName name="_________PRO5">#REF!</definedName>
    <definedName name="_________PRO6">#REF!</definedName>
    <definedName name="_________PRO7">#REF!</definedName>
    <definedName name="_________s3">'[11]h-013211-2'!$C$5</definedName>
    <definedName name="_________SHT1">'[12]L V Separator'!$A$1:$AC$65</definedName>
    <definedName name="_________STM11">#REF!</definedName>
    <definedName name="_________TB1">#REF!</definedName>
    <definedName name="________A66" localSheetId="0">[9]!________KT66</definedName>
    <definedName name="________A66">#N/A</definedName>
    <definedName name="________ac4" localSheetId="0">[9]!ClearSheet</definedName>
    <definedName name="________ac4">#N/A</definedName>
    <definedName name="________B1">#REF!</definedName>
    <definedName name="________END1">'[10]개시대사 (2)'!$G$49</definedName>
    <definedName name="________FLL2" hidden="1">#REF!</definedName>
    <definedName name="________KT66" localSheetId="0">#N/A</definedName>
    <definedName name="________KT66">#N/A</definedName>
    <definedName name="________plc1">[8]INSTR!$A$5:$M$208</definedName>
    <definedName name="________PRO1" localSheetId="0">#REF!</definedName>
    <definedName name="________PRO1">#REF!</definedName>
    <definedName name="________PRO2">#REF!</definedName>
    <definedName name="________PRO4">#REF!</definedName>
    <definedName name="________PRO5">#REF!</definedName>
    <definedName name="________PRO6">#REF!</definedName>
    <definedName name="________PRO7">#REF!</definedName>
    <definedName name="________s3">'[11]h-013211-2'!$C$5</definedName>
    <definedName name="________SHT1">'[12]L V Separator'!$A$1:$AC$65</definedName>
    <definedName name="________STM11">#REF!</definedName>
    <definedName name="________TB1">#REF!</definedName>
    <definedName name="_______A1" localSheetId="0" hidden="1">{#N/A,#N/A,TRUE,"Basic";#N/A,#N/A,TRUE,"EXT-TABLE";#N/A,#N/A,TRUE,"STEEL";#N/A,#N/A,TRUE,"INT-Table";#N/A,#N/A,TRUE,"STEEL";#N/A,#N/A,TRUE,"Door"}</definedName>
    <definedName name="_______A1" hidden="1">{#N/A,#N/A,TRUE,"Basic";#N/A,#N/A,TRUE,"EXT-TABLE";#N/A,#N/A,TRUE,"STEEL";#N/A,#N/A,TRUE,"INT-Table";#N/A,#N/A,TRUE,"STEEL";#N/A,#N/A,TRUE,"Door"}</definedName>
    <definedName name="_______A66" localSheetId="0">[9]!_______KT66</definedName>
    <definedName name="_______A66">#N/A</definedName>
    <definedName name="_______ac4" localSheetId="0">#N/A</definedName>
    <definedName name="_______ac4">#N/A</definedName>
    <definedName name="_______B1">#REF!</definedName>
    <definedName name="_______END1">'[10]개시대사 (2)'!$G$49</definedName>
    <definedName name="_______FLL2" hidden="1">#REF!</definedName>
    <definedName name="_______KT66" localSheetId="0">#N/A</definedName>
    <definedName name="_______KT66">#N/A</definedName>
    <definedName name="_______plc1">[8]INSTR!$A$5:$M$208</definedName>
    <definedName name="_______PRO1" localSheetId="0">#REF!</definedName>
    <definedName name="_______PRO1">#REF!</definedName>
    <definedName name="_______PRO2">#REF!</definedName>
    <definedName name="_______PRO4">#REF!</definedName>
    <definedName name="_______PRO5">#REF!</definedName>
    <definedName name="_______PRO6">#REF!</definedName>
    <definedName name="_______PRO7">#REF!</definedName>
    <definedName name="_______s3">'[11]h-013211-2'!$C$5</definedName>
    <definedName name="_______SHT1">'[12]L V Separator'!$A$1:$AC$65</definedName>
    <definedName name="_______STM11">#REF!</definedName>
    <definedName name="_______TB1">#REF!</definedName>
    <definedName name="______A1" localSheetId="0" hidden="1">{#N/A,#N/A,TRUE,"Basic";#N/A,#N/A,TRUE,"EXT-TABLE";#N/A,#N/A,TRUE,"STEEL";#N/A,#N/A,TRUE,"INT-Table";#N/A,#N/A,TRUE,"STEEL";#N/A,#N/A,TRUE,"Door"}</definedName>
    <definedName name="______A1" hidden="1">{#N/A,#N/A,TRUE,"Basic";#N/A,#N/A,TRUE,"EXT-TABLE";#N/A,#N/A,TRUE,"STEEL";#N/A,#N/A,TRUE,"INT-Table";#N/A,#N/A,TRUE,"STEEL";#N/A,#N/A,TRUE,"Door"}</definedName>
    <definedName name="______A66" localSheetId="0">[9]!______KT66</definedName>
    <definedName name="______A66">#N/A</definedName>
    <definedName name="______ac4" localSheetId="0">#N/A</definedName>
    <definedName name="______ac4">#N/A</definedName>
    <definedName name="______B1">#REF!</definedName>
    <definedName name="______END1">'[10]개시대사 (2)'!$G$49</definedName>
    <definedName name="______FLL2" hidden="1">#REF!</definedName>
    <definedName name="______KT66" localSheetId="0">#N/A</definedName>
    <definedName name="______KT66">#N/A</definedName>
    <definedName name="______plc1">[8]INSTR!$A$5:$M$208</definedName>
    <definedName name="______PRO1" localSheetId="0">#REF!</definedName>
    <definedName name="______PRO1">#REF!</definedName>
    <definedName name="______PRO2">#REF!</definedName>
    <definedName name="______PRO4">#REF!</definedName>
    <definedName name="______PRO5">#REF!</definedName>
    <definedName name="______PRO6">#REF!</definedName>
    <definedName name="______PRO7">#REF!</definedName>
    <definedName name="______s3">'[11]h-013211-2'!$C$5</definedName>
    <definedName name="______SHT1">'[12]L V Separator'!$A$1:$AC$65</definedName>
    <definedName name="______STM11">#REF!</definedName>
    <definedName name="______TB1">#REF!</definedName>
    <definedName name="_____A1" localSheetId="0" hidden="1">{#N/A,#N/A,TRUE,"Basic";#N/A,#N/A,TRUE,"EXT-TABLE";#N/A,#N/A,TRUE,"STEEL";#N/A,#N/A,TRUE,"INT-Table";#N/A,#N/A,TRUE,"STEEL";#N/A,#N/A,TRUE,"Door"}</definedName>
    <definedName name="_____A1" hidden="1">{#N/A,#N/A,TRUE,"Basic";#N/A,#N/A,TRUE,"EXT-TABLE";#N/A,#N/A,TRUE,"STEEL";#N/A,#N/A,TRUE,"INT-Table";#N/A,#N/A,TRUE,"STEEL";#N/A,#N/A,TRUE,"Door"}</definedName>
    <definedName name="_____A66" localSheetId="0">[9]!_____KT66</definedName>
    <definedName name="_____A66">#N/A</definedName>
    <definedName name="_____ac4" localSheetId="0">#N/A</definedName>
    <definedName name="_____ac4">#N/A</definedName>
    <definedName name="_____B1">#REF!</definedName>
    <definedName name="_____END1">'[10]개시대사 (2)'!$G$49</definedName>
    <definedName name="_____FLL2" hidden="1">#REF!</definedName>
    <definedName name="_____KT66" localSheetId="0">#N/A</definedName>
    <definedName name="_____KT66">#N/A</definedName>
    <definedName name="_____plc1">[8]INSTR!$A$5:$M$208</definedName>
    <definedName name="_____PRO1" localSheetId="0">#REF!</definedName>
    <definedName name="_____PRO1">#REF!</definedName>
    <definedName name="_____PRO2">#REF!</definedName>
    <definedName name="_____PRO4">#REF!</definedName>
    <definedName name="_____PRO5">#REF!</definedName>
    <definedName name="_____PRO6">#REF!</definedName>
    <definedName name="_____PRO7">#REF!</definedName>
    <definedName name="_____PRO8">#REF!</definedName>
    <definedName name="_____PRO9">#REF!</definedName>
    <definedName name="_____s3">'[11]h-013211-2'!$C$5</definedName>
    <definedName name="_____SHT1">'[12]L V Separator'!$A$1:$AC$65</definedName>
    <definedName name="_____STM11">#REF!</definedName>
    <definedName name="_____TB1">#REF!</definedName>
    <definedName name="____A1" localSheetId="0" hidden="1">{#N/A,#N/A,TRUE,"Basic";#N/A,#N/A,TRUE,"EXT-TABLE";#N/A,#N/A,TRUE,"STEEL";#N/A,#N/A,TRUE,"INT-Table";#N/A,#N/A,TRUE,"STEEL";#N/A,#N/A,TRUE,"Door"}</definedName>
    <definedName name="____A1" hidden="1">{#N/A,#N/A,TRUE,"Basic";#N/A,#N/A,TRUE,"EXT-TABLE";#N/A,#N/A,TRUE,"STEEL";#N/A,#N/A,TRUE,"INT-Table";#N/A,#N/A,TRUE,"STEEL";#N/A,#N/A,TRUE,"Door"}</definedName>
    <definedName name="____A66" localSheetId="0">[9]!____KT66</definedName>
    <definedName name="____A66">#N/A</definedName>
    <definedName name="____ac4" localSheetId="0">#N/A</definedName>
    <definedName name="____ac4">#N/A</definedName>
    <definedName name="____B1">#REF!</definedName>
    <definedName name="____END1">'[10]개시대사 (2)'!$G$49</definedName>
    <definedName name="____FLL2" hidden="1">#REF!</definedName>
    <definedName name="____KT66" localSheetId="0">#N/A</definedName>
    <definedName name="____KT66">#N/A</definedName>
    <definedName name="____plc1">[8]INSTR!$A$5:$M$208</definedName>
    <definedName name="____PRO1" localSheetId="0">#REF!</definedName>
    <definedName name="____PRO1">#REF!</definedName>
    <definedName name="____PRO2">#REF!</definedName>
    <definedName name="____PRO4">#REF!</definedName>
    <definedName name="____PRO5">#REF!</definedName>
    <definedName name="____PRO6">#REF!</definedName>
    <definedName name="____PRO7">#REF!</definedName>
    <definedName name="____PRO8">#REF!</definedName>
    <definedName name="____PRO9">#REF!</definedName>
    <definedName name="____s3">'[11]h-013211-2'!$C$5</definedName>
    <definedName name="____SHT1">'[12]L V Separator'!$A$1:$AC$65</definedName>
    <definedName name="____SHT2">'[13]L V Separator'!#REF!</definedName>
    <definedName name="____SHT3">'[13]L V Separator'!#REF!</definedName>
    <definedName name="____STM11">#REF!</definedName>
    <definedName name="____TB1">#REF!</definedName>
    <definedName name="___A1" localSheetId="0" hidden="1">{#N/A,#N/A,TRUE,"Basic";#N/A,#N/A,TRUE,"EXT-TABLE";#N/A,#N/A,TRUE,"STEEL";#N/A,#N/A,TRUE,"INT-Table";#N/A,#N/A,TRUE,"STEEL";#N/A,#N/A,TRUE,"Door"}</definedName>
    <definedName name="___A1" hidden="1">{#N/A,#N/A,TRUE,"Basic";#N/A,#N/A,TRUE,"EXT-TABLE";#N/A,#N/A,TRUE,"STEEL";#N/A,#N/A,TRUE,"INT-Table";#N/A,#N/A,TRUE,"STEEL";#N/A,#N/A,TRUE,"Door"}</definedName>
    <definedName name="___A66" localSheetId="0">[9]!___KT66</definedName>
    <definedName name="___A66">#N/A</definedName>
    <definedName name="___ac4" localSheetId="0">#N/A</definedName>
    <definedName name="___ac4">#N/A</definedName>
    <definedName name="___B1">#REF!</definedName>
    <definedName name="___END1">'[10]개시대사 (2)'!$G$49</definedName>
    <definedName name="___FLL2" hidden="1">#REF!</definedName>
    <definedName name="___KT66" localSheetId="0">#N/A</definedName>
    <definedName name="___KT66">#N/A</definedName>
    <definedName name="___plc1">[8]INSTR!$A$5:$M$208</definedName>
    <definedName name="___PRO1">#REF!</definedName>
    <definedName name="___PRO2">#REF!</definedName>
    <definedName name="___PRO4">#REF!</definedName>
    <definedName name="___PRO5">#REF!</definedName>
    <definedName name="___PRO6">#REF!</definedName>
    <definedName name="___PRO7">#REF!</definedName>
    <definedName name="___PRO8">#REF!</definedName>
    <definedName name="___PRO9">#REF!</definedName>
    <definedName name="___s3">'[11]h-013211-2'!$C$5</definedName>
    <definedName name="___SHT1">'[12]L V Separator'!$A$1:$AC$65</definedName>
    <definedName name="___SHT2">'[13]L V Separator'!#REF!</definedName>
    <definedName name="___SHT3">'[13]L V Separator'!#REF!</definedName>
    <definedName name="___STM11">#REF!</definedName>
    <definedName name="___TB1">#REF!</definedName>
    <definedName name="__123Graph_A" localSheetId="0" hidden="1">[14]DRUM!#REF!</definedName>
    <definedName name="__123Graph_A" hidden="1">[12]DRUM!#REF!</definedName>
    <definedName name="__123Graph_B" localSheetId="0" hidden="1">[14]DRUM!#REF!</definedName>
    <definedName name="__123Graph_B" hidden="1">[12]DRUM!#REF!</definedName>
    <definedName name="__123Graph_C" localSheetId="0" hidden="1">[14]DRUM!#REF!</definedName>
    <definedName name="__123Graph_C" hidden="1">[12]DRUM!#REF!</definedName>
    <definedName name="__123Graph_D" localSheetId="0" hidden="1">[14]DRUM!#REF!</definedName>
    <definedName name="__123Graph_D" hidden="1">[12]DRUM!#REF!</definedName>
    <definedName name="__123Graph_X" localSheetId="0" hidden="1">[14]DRUM!#REF!</definedName>
    <definedName name="__123Graph_X" hidden="1">[12]DRUM!#REF!</definedName>
    <definedName name="__A1" localSheetId="0" hidden="1">{#N/A,#N/A,TRUE,"Basic";#N/A,#N/A,TRUE,"EXT-TABLE";#N/A,#N/A,TRUE,"STEEL";#N/A,#N/A,TRUE,"INT-Table";#N/A,#N/A,TRUE,"STEEL";#N/A,#N/A,TRUE,"Door"}</definedName>
    <definedName name="__A1" hidden="1">{#N/A,#N/A,TRUE,"Basic";#N/A,#N/A,TRUE,"EXT-TABLE";#N/A,#N/A,TRUE,"STEEL";#N/A,#N/A,TRUE,"INT-Table";#N/A,#N/A,TRUE,"STEEL";#N/A,#N/A,TRUE,"Door"}</definedName>
    <definedName name="__A66" localSheetId="0">[9]!__KT66</definedName>
    <definedName name="__A66">#N/A</definedName>
    <definedName name="__ac4" localSheetId="0">#N/A</definedName>
    <definedName name="__ac4">#N/A</definedName>
    <definedName name="__B1">#REF!</definedName>
    <definedName name="__BBJ3">'[7]95삼성급(본사)'!#REF!</definedName>
    <definedName name="__BCJ3">'[7]95삼성급(본사)'!#REF!</definedName>
    <definedName name="__BDR3">'[7]95삼성급(본사)'!#REF!</definedName>
    <definedName name="__BGJ3">'[7]95삼성급(본사)'!#REF!</definedName>
    <definedName name="__END1">'[10]개시대사 (2)'!$G$49</definedName>
    <definedName name="__FLL2" hidden="1">#REF!</definedName>
    <definedName name="__KT66" localSheetId="0">#N/A</definedName>
    <definedName name="__KT66">#N/A</definedName>
    <definedName name="__plc1">[8]INSTR!$A$5:$M$208</definedName>
    <definedName name="__PRO1">#REF!</definedName>
    <definedName name="__PRO2">#REF!</definedName>
    <definedName name="__PRO3">[15]PRO_DCI!#REF!</definedName>
    <definedName name="__PRO4">#REF!</definedName>
    <definedName name="__PRO5">#REF!</definedName>
    <definedName name="__PRO6">#REF!</definedName>
    <definedName name="__PRO7">#REF!</definedName>
    <definedName name="__PRO8">#REF!</definedName>
    <definedName name="__PRO9">#REF!</definedName>
    <definedName name="__s3" localSheetId="0">'[11]h-013211-2'!$C$5</definedName>
    <definedName name="__s3">'[16]h-013211-2'!$C$5</definedName>
    <definedName name="__SHT1">'[12]L V Separator'!$A$1:$AC$65</definedName>
    <definedName name="__SHT2">'[13]L V Separator'!#REF!</definedName>
    <definedName name="__SHT3">'[13]L V Separator'!#REF!</definedName>
    <definedName name="__STM11">#REF!</definedName>
    <definedName name="__TB1">#REF!</definedName>
    <definedName name="_1">#REF!</definedName>
    <definedName name="_10A_">[17]연돌일위집계!#REF!</definedName>
    <definedName name="_10A_1">[17]연돌일위집계!#REF!</definedName>
    <definedName name="_10A_10">[17]연돌일위집계!#REF!</definedName>
    <definedName name="_10A_11">[17]연돌일위집계!#REF!</definedName>
    <definedName name="_10A_12">[17]연돌일위집계!#REF!</definedName>
    <definedName name="_10A_13">[17]연돌일위집계!#REF!</definedName>
    <definedName name="_10A_14">[17]연돌일위집계!#REF!</definedName>
    <definedName name="_10A_15">[17]연돌일위집계!#REF!</definedName>
    <definedName name="_10A_16">[17]연돌일위집계!#REF!</definedName>
    <definedName name="_10A_17">[17]연돌일위집계!#REF!</definedName>
    <definedName name="_10A_18">[17]연돌일위집계!#REF!</definedName>
    <definedName name="_10A_19">[17]연돌일위집계!#REF!</definedName>
    <definedName name="_10A_2">[17]연돌일위집계!#REF!</definedName>
    <definedName name="_10A_20">[17]연돌일위집계!#REF!</definedName>
    <definedName name="_10A_21">[17]연돌일위집계!#REF!</definedName>
    <definedName name="_10A_22">[17]연돌일위집계!#REF!</definedName>
    <definedName name="_10A_23">[17]연돌일위집계!#REF!</definedName>
    <definedName name="_10A_24">[17]연돌일위집계!#REF!</definedName>
    <definedName name="_10A_25">[17]연돌일위집계!#REF!</definedName>
    <definedName name="_10A_26">[17]연돌일위집계!#REF!</definedName>
    <definedName name="_10A_27">[17]연돌일위집계!#REF!</definedName>
    <definedName name="_10A_28">[17]연돌일위집계!#REF!</definedName>
    <definedName name="_10A_29">[17]연돌일위집계!#REF!</definedName>
    <definedName name="_10A_3">[17]연돌일위집계!#REF!</definedName>
    <definedName name="_10A_30">[17]연돌일위집계!#REF!</definedName>
    <definedName name="_10A_31">[17]연돌일위집계!#REF!</definedName>
    <definedName name="_10A_32">[17]연돌일위집계!#REF!</definedName>
    <definedName name="_10A_33">[17]연돌일위집계!#REF!</definedName>
    <definedName name="_10A_34">[17]연돌일위집계!#REF!</definedName>
    <definedName name="_10A_35">[17]연돌일위집계!#REF!</definedName>
    <definedName name="_10A_36">[17]연돌일위집계!#REF!</definedName>
    <definedName name="_10A_37">[17]연돌일위집계!#REF!</definedName>
    <definedName name="_10A_38">[17]연돌일위집계!#REF!</definedName>
    <definedName name="_10A_39">[17]연돌일위집계!#REF!</definedName>
    <definedName name="_10A_4">[17]연돌일위집계!#REF!</definedName>
    <definedName name="_10A_40">[17]연돌일위집계!#REF!</definedName>
    <definedName name="_10A_41">[17]연돌일위집계!#REF!</definedName>
    <definedName name="_10A_42">[17]연돌일위집계!#REF!</definedName>
    <definedName name="_10A_43">[17]연돌일위집계!#REF!</definedName>
    <definedName name="_10A_44">[17]연돌일위집계!#REF!</definedName>
    <definedName name="_10A_45">[17]연돌일위집계!#REF!</definedName>
    <definedName name="_10A_46">[17]연돌일위집계!#REF!</definedName>
    <definedName name="_10A_47">[17]연돌일위집계!#REF!</definedName>
    <definedName name="_10A_48">[17]연돌일위집계!#REF!</definedName>
    <definedName name="_10A_49">[17]연돌일위집계!#REF!</definedName>
    <definedName name="_10A_5">[17]연돌일위집계!#REF!</definedName>
    <definedName name="_10A_50">[17]연돌일위집계!#REF!</definedName>
    <definedName name="_10A_51">[17]연돌일위집계!#REF!</definedName>
    <definedName name="_10A_52">[17]연돌일위집계!#REF!</definedName>
    <definedName name="_10A_53">[17]연돌일위집계!#REF!</definedName>
    <definedName name="_10A_54">[17]연돌일위집계!#REF!</definedName>
    <definedName name="_10A_55">[17]연돌일위집계!#REF!</definedName>
    <definedName name="_10A_56">[17]연돌일위집계!#REF!</definedName>
    <definedName name="_10A_57">[17]연돌일위집계!#REF!</definedName>
    <definedName name="_10A_58">[17]연돌일위집계!#REF!</definedName>
    <definedName name="_10A_59">[17]연돌일위집계!#REF!</definedName>
    <definedName name="_10A_6">[17]연돌일위집계!#REF!</definedName>
    <definedName name="_10A_60">[17]연돌일위집계!#REF!</definedName>
    <definedName name="_10A_61">#N/A</definedName>
    <definedName name="_10A_62">#N/A</definedName>
    <definedName name="_10A_63">#REF!</definedName>
    <definedName name="_10A_64">#N/A</definedName>
    <definedName name="_10A_65">#N/A</definedName>
    <definedName name="_10A_66">#N/A</definedName>
    <definedName name="_10A_67">#N/A</definedName>
    <definedName name="_10A_68">#N/A</definedName>
    <definedName name="_10A_69">#N/A</definedName>
    <definedName name="_10A_7">[17]연돌일위집계!#REF!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[17]연돌일위집계!#REF!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[17]연돌일위집계!#REF!</definedName>
    <definedName name="_10A_90">#N/A</definedName>
    <definedName name="_10B_">[17]연돌일위집계!#REF!</definedName>
    <definedName name="_10B_1">[17]연돌일위집계!#REF!</definedName>
    <definedName name="_10B_10">[17]연돌일위집계!#REF!</definedName>
    <definedName name="_10B_11">[17]연돌일위집계!#REF!</definedName>
    <definedName name="_10B_12">[17]연돌일위집계!#REF!</definedName>
    <definedName name="_10B_13">[17]연돌일위집계!#REF!</definedName>
    <definedName name="_10B_14">[17]연돌일위집계!#REF!</definedName>
    <definedName name="_10B_15">[17]연돌일위집계!#REF!</definedName>
    <definedName name="_10B_16">[17]연돌일위집계!#REF!</definedName>
    <definedName name="_10B_17">[17]연돌일위집계!#REF!</definedName>
    <definedName name="_10B_18">[17]연돌일위집계!#REF!</definedName>
    <definedName name="_10B_19">[17]연돌일위집계!#REF!</definedName>
    <definedName name="_10B_2">[17]연돌일위집계!#REF!</definedName>
    <definedName name="_10B_20">[17]연돌일위집계!#REF!</definedName>
    <definedName name="_10B_21">[17]연돌일위집계!#REF!</definedName>
    <definedName name="_10B_22">[17]연돌일위집계!#REF!</definedName>
    <definedName name="_10B_23">[17]연돌일위집계!#REF!</definedName>
    <definedName name="_10B_24">[17]연돌일위집계!#REF!</definedName>
    <definedName name="_10B_25">[17]연돌일위집계!#REF!</definedName>
    <definedName name="_10B_26">[17]연돌일위집계!#REF!</definedName>
    <definedName name="_10B_27">[17]연돌일위집계!#REF!</definedName>
    <definedName name="_10B_28">[17]연돌일위집계!#REF!</definedName>
    <definedName name="_10B_29">[17]연돌일위집계!#REF!</definedName>
    <definedName name="_10B_3">[17]연돌일위집계!#REF!</definedName>
    <definedName name="_10B_30">[17]연돌일위집계!#REF!</definedName>
    <definedName name="_10B_31">[17]연돌일위집계!#REF!</definedName>
    <definedName name="_10B_32">[17]연돌일위집계!#REF!</definedName>
    <definedName name="_10B_33">[17]연돌일위집계!#REF!</definedName>
    <definedName name="_10B_34">[17]연돌일위집계!#REF!</definedName>
    <definedName name="_10B_35">[17]연돌일위집계!#REF!</definedName>
    <definedName name="_10B_36">[17]연돌일위집계!#REF!</definedName>
    <definedName name="_10B_37">[17]연돌일위집계!#REF!</definedName>
    <definedName name="_10B_38">[17]연돌일위집계!#REF!</definedName>
    <definedName name="_10B_39">[17]연돌일위집계!#REF!</definedName>
    <definedName name="_10B_4">[17]연돌일위집계!#REF!</definedName>
    <definedName name="_10B_40">[17]연돌일위집계!#REF!</definedName>
    <definedName name="_10B_41">[17]연돌일위집계!#REF!</definedName>
    <definedName name="_10B_42">[17]연돌일위집계!#REF!</definedName>
    <definedName name="_10B_43">[17]연돌일위집계!#REF!</definedName>
    <definedName name="_10B_44">[17]연돌일위집계!#REF!</definedName>
    <definedName name="_10B_45">[17]연돌일위집계!#REF!</definedName>
    <definedName name="_10B_46">[17]연돌일위집계!#REF!</definedName>
    <definedName name="_10B_47">[17]연돌일위집계!#REF!</definedName>
    <definedName name="_10B_48">[17]연돌일위집계!#REF!</definedName>
    <definedName name="_10B_49">[17]연돌일위집계!#REF!</definedName>
    <definedName name="_10B_5">[17]연돌일위집계!#REF!</definedName>
    <definedName name="_10B_50">[17]연돌일위집계!#REF!</definedName>
    <definedName name="_10B_51">[17]연돌일위집계!#REF!</definedName>
    <definedName name="_10B_52">[17]연돌일위집계!#REF!</definedName>
    <definedName name="_10B_53">[17]연돌일위집계!#REF!</definedName>
    <definedName name="_10B_54">[17]연돌일위집계!#REF!</definedName>
    <definedName name="_10B_55">[17]연돌일위집계!#REF!</definedName>
    <definedName name="_10B_56">[17]연돌일위집계!#REF!</definedName>
    <definedName name="_10B_57">[17]연돌일위집계!#REF!</definedName>
    <definedName name="_10B_58">[17]연돌일위집계!#REF!</definedName>
    <definedName name="_10B_59">[17]연돌일위집계!#REF!</definedName>
    <definedName name="_10B_6">[17]연돌일위집계!#REF!</definedName>
    <definedName name="_10B_60">[17]연돌일위집계!#REF!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[17]연돌일위집계!#REF!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[17]연돌일위집계!#REF!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[17]연돌일위집계!#REF!</definedName>
    <definedName name="_10B_90">#N/A</definedName>
    <definedName name="_10C_">[17]연돌일위집계!#REF!</definedName>
    <definedName name="_10C_1">[17]연돌일위집계!#REF!</definedName>
    <definedName name="_10C_10">[17]연돌일위집계!#REF!</definedName>
    <definedName name="_10C_11">[17]연돌일위집계!#REF!</definedName>
    <definedName name="_10C_12">[17]연돌일위집계!#REF!</definedName>
    <definedName name="_10C_13">[17]연돌일위집계!#REF!</definedName>
    <definedName name="_10C_14">[17]연돌일위집계!#REF!</definedName>
    <definedName name="_10C_15">[17]연돌일위집계!#REF!</definedName>
    <definedName name="_10C_16">[17]연돌일위집계!#REF!</definedName>
    <definedName name="_10C_17">[17]연돌일위집계!#REF!</definedName>
    <definedName name="_10C_18">[17]연돌일위집계!#REF!</definedName>
    <definedName name="_10C_19">[17]연돌일위집계!#REF!</definedName>
    <definedName name="_10C_2">[17]연돌일위집계!#REF!</definedName>
    <definedName name="_10C_20">[17]연돌일위집계!#REF!</definedName>
    <definedName name="_10C_21">[17]연돌일위집계!#REF!</definedName>
    <definedName name="_10C_22">[17]연돌일위집계!#REF!</definedName>
    <definedName name="_10C_23">[17]연돌일위집계!#REF!</definedName>
    <definedName name="_10C_24">[17]연돌일위집계!#REF!</definedName>
    <definedName name="_10C_25">[17]연돌일위집계!#REF!</definedName>
    <definedName name="_10C_26">[17]연돌일위집계!#REF!</definedName>
    <definedName name="_10C_27">[17]연돌일위집계!#REF!</definedName>
    <definedName name="_10C_28">[17]연돌일위집계!#REF!</definedName>
    <definedName name="_10C_29">[17]연돌일위집계!#REF!</definedName>
    <definedName name="_10C_3">[17]연돌일위집계!#REF!</definedName>
    <definedName name="_10C_30">[17]연돌일위집계!#REF!</definedName>
    <definedName name="_10C_31">[17]연돌일위집계!#REF!</definedName>
    <definedName name="_10C_32">[17]연돌일위집계!#REF!</definedName>
    <definedName name="_10C_33">[17]연돌일위집계!#REF!</definedName>
    <definedName name="_10C_34">[17]연돌일위집계!#REF!</definedName>
    <definedName name="_10C_35">[17]연돌일위집계!#REF!</definedName>
    <definedName name="_10C_36">[17]연돌일위집계!#REF!</definedName>
    <definedName name="_10C_37">[17]연돌일위집계!#REF!</definedName>
    <definedName name="_10C_38">[17]연돌일위집계!#REF!</definedName>
    <definedName name="_10C_39">[17]연돌일위집계!#REF!</definedName>
    <definedName name="_10C_4">[17]연돌일위집계!#REF!</definedName>
    <definedName name="_10C_40">[17]연돌일위집계!#REF!</definedName>
    <definedName name="_10C_41">[17]연돌일위집계!#REF!</definedName>
    <definedName name="_10C_42">[17]연돌일위집계!#REF!</definedName>
    <definedName name="_10C_43">[17]연돌일위집계!#REF!</definedName>
    <definedName name="_10C_44">[17]연돌일위집계!#REF!</definedName>
    <definedName name="_10C_45">[17]연돌일위집계!#REF!</definedName>
    <definedName name="_10C_46">[17]연돌일위집계!#REF!</definedName>
    <definedName name="_10C_47">[17]연돌일위집계!#REF!</definedName>
    <definedName name="_10C_48">[17]연돌일위집계!#REF!</definedName>
    <definedName name="_10C_49">[17]연돌일위집계!#REF!</definedName>
    <definedName name="_10C_5">[17]연돌일위집계!#REF!</definedName>
    <definedName name="_10C_50">[17]연돌일위집계!#REF!</definedName>
    <definedName name="_10C_51">[17]연돌일위집계!#REF!</definedName>
    <definedName name="_10C_52">[17]연돌일위집계!#REF!</definedName>
    <definedName name="_10C_53">[17]연돌일위집계!#REF!</definedName>
    <definedName name="_10C_54">[17]연돌일위집계!#REF!</definedName>
    <definedName name="_10C_55">[17]연돌일위집계!#REF!</definedName>
    <definedName name="_10C_56">[17]연돌일위집계!#REF!</definedName>
    <definedName name="_10C_57">[17]연돌일위집계!#REF!</definedName>
    <definedName name="_10C_58">[17]연돌일위집계!#REF!</definedName>
    <definedName name="_10C_59">[17]연돌일위집계!#REF!</definedName>
    <definedName name="_10C_6">[17]연돌일위집계!#REF!</definedName>
    <definedName name="_10C_60">[17]연돌일위집계!#REF!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[17]연돌일위집계!#REF!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[17]연돌일위집계!#REF!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[17]연돌일위집계!#REF!</definedName>
    <definedName name="_10C_90">#N/A</definedName>
    <definedName name="_112Section_Data_Code_.BtnCancel_Click">[18]!'[Section Data Code].BtnCancel_Click'</definedName>
    <definedName name="_11A_1">[17]연돌일위집계!#REF!</definedName>
    <definedName name="_11A_10">[17]연돌일위집계!#REF!</definedName>
    <definedName name="_11A_11">[17]연돌일위집계!#REF!</definedName>
    <definedName name="_11A_12">[17]연돌일위집계!#REF!</definedName>
    <definedName name="_11A_13">[17]연돌일위집계!#REF!</definedName>
    <definedName name="_11A_14">[17]연돌일위집계!#REF!</definedName>
    <definedName name="_11A_15">[17]연돌일위집계!#REF!</definedName>
    <definedName name="_11A_16">[17]연돌일위집계!#REF!</definedName>
    <definedName name="_11A_17">[17]연돌일위집계!#REF!</definedName>
    <definedName name="_11A_18">[17]연돌일위집계!#REF!</definedName>
    <definedName name="_11A_19">[17]연돌일위집계!#REF!</definedName>
    <definedName name="_11A_2">[17]연돌일위집계!#REF!</definedName>
    <definedName name="_11A_20">[17]연돌일위집계!#REF!</definedName>
    <definedName name="_11A_21">[17]연돌일위집계!#REF!</definedName>
    <definedName name="_11A_22">[17]연돌일위집계!#REF!</definedName>
    <definedName name="_11A_23">[17]연돌일위집계!#REF!</definedName>
    <definedName name="_11A_24">[17]연돌일위집계!#REF!</definedName>
    <definedName name="_11A_25">[17]연돌일위집계!#REF!</definedName>
    <definedName name="_11A_26">[17]연돌일위집계!#REF!</definedName>
    <definedName name="_11A_27">[17]연돌일위집계!#REF!</definedName>
    <definedName name="_11A_28">[17]연돌일위집계!#REF!</definedName>
    <definedName name="_11A_29">[17]연돌일위집계!#REF!</definedName>
    <definedName name="_11A_3">[17]연돌일위집계!#REF!</definedName>
    <definedName name="_11A_30">[17]연돌일위집계!#REF!</definedName>
    <definedName name="_11A_4">[17]연돌일위집계!#REF!</definedName>
    <definedName name="_11A_5">[17]연돌일위집계!#REF!</definedName>
    <definedName name="_11A_6">[17]연돌일위집계!#REF!</definedName>
    <definedName name="_11A_7">[17]연돌일위집계!#REF!</definedName>
    <definedName name="_11A_8">[17]연돌일위집계!#REF!</definedName>
    <definedName name="_11A_9">[17]연돌일위집계!#REF!</definedName>
    <definedName name="_11B_1">[17]연돌일위집계!#REF!</definedName>
    <definedName name="_11B_10">[17]연돌일위집계!#REF!</definedName>
    <definedName name="_11B_11">[17]연돌일위집계!#REF!</definedName>
    <definedName name="_11B_12">[17]연돌일위집계!#REF!</definedName>
    <definedName name="_11B_13">[17]연돌일위집계!#REF!</definedName>
    <definedName name="_11B_14">[17]연돌일위집계!#REF!</definedName>
    <definedName name="_11B_15">[17]연돌일위집계!#REF!</definedName>
    <definedName name="_11B_16">[17]연돌일위집계!#REF!</definedName>
    <definedName name="_11B_17">[17]연돌일위집계!#REF!</definedName>
    <definedName name="_11B_18">[17]연돌일위집계!#REF!</definedName>
    <definedName name="_11B_19">[17]연돌일위집계!#REF!</definedName>
    <definedName name="_11B_2">[17]연돌일위집계!#REF!</definedName>
    <definedName name="_11B_20">[17]연돌일위집계!#REF!</definedName>
    <definedName name="_11B_21">[17]연돌일위집계!#REF!</definedName>
    <definedName name="_11B_22">[17]연돌일위집계!#REF!</definedName>
    <definedName name="_11B_23">[17]연돌일위집계!#REF!</definedName>
    <definedName name="_11B_24">[17]연돌일위집계!#REF!</definedName>
    <definedName name="_11B_25">[17]연돌일위집계!#REF!</definedName>
    <definedName name="_11B_26">[17]연돌일위집계!#REF!</definedName>
    <definedName name="_11B_27">[17]연돌일위집계!#REF!</definedName>
    <definedName name="_11B_28">[17]연돌일위집계!#REF!</definedName>
    <definedName name="_11B_29">[17]연돌일위집계!#REF!</definedName>
    <definedName name="_11B_3">[17]연돌일위집계!#REF!</definedName>
    <definedName name="_11B_30">[17]연돌일위집계!#REF!</definedName>
    <definedName name="_11B_4">[17]연돌일위집계!#REF!</definedName>
    <definedName name="_11B_5">[17]연돌일위집계!#REF!</definedName>
    <definedName name="_11B_6">[17]연돌일위집계!#REF!</definedName>
    <definedName name="_11B_7">[17]연돌일위집계!#REF!</definedName>
    <definedName name="_11B_8">[17]연돌일위집계!#REF!</definedName>
    <definedName name="_11B_9">[17]연돌일위집계!#REF!</definedName>
    <definedName name="_11C_1">[17]연돌일위집계!#REF!</definedName>
    <definedName name="_11C_10">[17]연돌일위집계!#REF!</definedName>
    <definedName name="_11C_11">[17]연돌일위집계!#REF!</definedName>
    <definedName name="_11C_12">[17]연돌일위집계!#REF!</definedName>
    <definedName name="_11C_13">[17]연돌일위집계!#REF!</definedName>
    <definedName name="_11C_14">[17]연돌일위집계!#REF!</definedName>
    <definedName name="_11C_15">[17]연돌일위집계!#REF!</definedName>
    <definedName name="_11C_16">[17]연돌일위집계!#REF!</definedName>
    <definedName name="_11C_17">[17]연돌일위집계!#REF!</definedName>
    <definedName name="_11C_18">[17]연돌일위집계!#REF!</definedName>
    <definedName name="_11C_19">[17]연돌일위집계!#REF!</definedName>
    <definedName name="_11C_2">[17]연돌일위집계!#REF!</definedName>
    <definedName name="_11C_20">[17]연돌일위집계!#REF!</definedName>
    <definedName name="_11C_21">[17]연돌일위집계!#REF!</definedName>
    <definedName name="_11C_22">[17]연돌일위집계!#REF!</definedName>
    <definedName name="_11C_23">[17]연돌일위집계!#REF!</definedName>
    <definedName name="_11C_24">[17]연돌일위집계!#REF!</definedName>
    <definedName name="_11C_25">[17]연돌일위집계!#REF!</definedName>
    <definedName name="_11C_26">[17]연돌일위집계!#REF!</definedName>
    <definedName name="_11C_27">[17]연돌일위집계!#REF!</definedName>
    <definedName name="_11C_28">[17]연돌일위집계!#REF!</definedName>
    <definedName name="_11C_29">[17]연돌일위집계!#REF!</definedName>
    <definedName name="_11C_3">[17]연돌일위집계!#REF!</definedName>
    <definedName name="_11C_30">[17]연돌일위집계!#REF!</definedName>
    <definedName name="_11C_4">[17]연돌일위집계!#REF!</definedName>
    <definedName name="_11C_5">[17]연돌일위집계!#REF!</definedName>
    <definedName name="_11C_6">[17]연돌일위집계!#REF!</definedName>
    <definedName name="_11C_7">[17]연돌일위집계!#REF!</definedName>
    <definedName name="_11C_8">[17]연돌일위집계!#REF!</definedName>
    <definedName name="_11C_9">[17]연돌일위집계!#REF!</definedName>
    <definedName name="_128Section_Data_Code_.BtnOK_Click">[18]!'[Section Data Code].BtnOK_Click'</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A_1">[17]연돌일위집계!#REF!</definedName>
    <definedName name="_13A_10">[17]연돌일위집계!#REF!</definedName>
    <definedName name="_13A_11">[17]연돌일위집계!#REF!</definedName>
    <definedName name="_13A_12">[17]연돌일위집계!#REF!</definedName>
    <definedName name="_13A_13">[17]연돌일위집계!#REF!</definedName>
    <definedName name="_13A_14">[17]연돌일위집계!#REF!</definedName>
    <definedName name="_13A_15">[17]연돌일위집계!#REF!</definedName>
    <definedName name="_13A_16">[17]연돌일위집계!#REF!</definedName>
    <definedName name="_13A_17">[17]연돌일위집계!#REF!</definedName>
    <definedName name="_13A_18">[17]연돌일위집계!#REF!</definedName>
    <definedName name="_13A_19">[17]연돌일위집계!#REF!</definedName>
    <definedName name="_13A_2">[17]연돌일위집계!#REF!</definedName>
    <definedName name="_13A_20">[17]연돌일위집계!#REF!</definedName>
    <definedName name="_13A_21">[17]연돌일위집계!#REF!</definedName>
    <definedName name="_13A_22">[17]연돌일위집계!#REF!</definedName>
    <definedName name="_13A_23">[17]연돌일위집계!#REF!</definedName>
    <definedName name="_13A_24">[17]연돌일위집계!#REF!</definedName>
    <definedName name="_13A_25">[17]연돌일위집계!#REF!</definedName>
    <definedName name="_13A_26">[17]연돌일위집계!#REF!</definedName>
    <definedName name="_13A_27">[17]연돌일위집계!#REF!</definedName>
    <definedName name="_13A_28">[17]연돌일위집계!#REF!</definedName>
    <definedName name="_13A_29">[17]연돌일위집계!#REF!</definedName>
    <definedName name="_13A_3">[17]연돌일위집계!#REF!</definedName>
    <definedName name="_13A_30">[17]연돌일위집계!#REF!</definedName>
    <definedName name="_13A_31">[17]연돌일위집계!#REF!</definedName>
    <definedName name="_13A_32">[17]연돌일위집계!#REF!</definedName>
    <definedName name="_13A_33">[17]연돌일위집계!#REF!</definedName>
    <definedName name="_13A_34">[17]연돌일위집계!#REF!</definedName>
    <definedName name="_13A_35">[17]연돌일위집계!#REF!</definedName>
    <definedName name="_13A_36">[17]연돌일위집계!#REF!</definedName>
    <definedName name="_13A_37">[17]연돌일위집계!#REF!</definedName>
    <definedName name="_13A_38">[17]연돌일위집계!#REF!</definedName>
    <definedName name="_13A_39">[17]연돌일위집계!#REF!</definedName>
    <definedName name="_13A_4">[17]연돌일위집계!#REF!</definedName>
    <definedName name="_13A_40">[17]연돌일위집계!#REF!</definedName>
    <definedName name="_13A_41">[17]연돌일위집계!#REF!</definedName>
    <definedName name="_13A_42">[17]연돌일위집계!#REF!</definedName>
    <definedName name="_13A_43">[17]연돌일위집계!#REF!</definedName>
    <definedName name="_13A_44">[17]연돌일위집계!#REF!</definedName>
    <definedName name="_13A_45">[17]연돌일위집계!#REF!</definedName>
    <definedName name="_13A_46">[17]연돌일위집계!#REF!</definedName>
    <definedName name="_13A_47">[17]연돌일위집계!#REF!</definedName>
    <definedName name="_13A_48">[17]연돌일위집계!#REF!</definedName>
    <definedName name="_13A_49">[17]연돌일위집계!#REF!</definedName>
    <definedName name="_13A_5">[17]연돌일위집계!#REF!</definedName>
    <definedName name="_13A_50">[17]연돌일위집계!#REF!</definedName>
    <definedName name="_13A_51">[17]연돌일위집계!#REF!</definedName>
    <definedName name="_13A_52">[17]연돌일위집계!#REF!</definedName>
    <definedName name="_13A_53">[17]연돌일위집계!#REF!</definedName>
    <definedName name="_13A_54">[17]연돌일위집계!#REF!</definedName>
    <definedName name="_13A_55">[17]연돌일위집계!#REF!</definedName>
    <definedName name="_13A_56">[17]연돌일위집계!#REF!</definedName>
    <definedName name="_13A_57">[17]연돌일위집계!#REF!</definedName>
    <definedName name="_13A_58">[17]연돌일위집계!#REF!</definedName>
    <definedName name="_13A_59">[17]연돌일위집계!#REF!</definedName>
    <definedName name="_13A_6">[17]연돌일위집계!#REF!</definedName>
    <definedName name="_13A_60">[17]연돌일위집계!#REF!</definedName>
    <definedName name="_13A_7">[17]연돌일위집계!#REF!</definedName>
    <definedName name="_13A_8">[17]연돌일위집계!#REF!</definedName>
    <definedName name="_13A_9">[17]연돌일위집계!#REF!</definedName>
    <definedName name="_13B_1">[17]연돌일위집계!#REF!</definedName>
    <definedName name="_13B_10">[17]연돌일위집계!#REF!</definedName>
    <definedName name="_13B_11">[17]연돌일위집계!#REF!</definedName>
    <definedName name="_13B_12">[17]연돌일위집계!#REF!</definedName>
    <definedName name="_13B_13">[17]연돌일위집계!#REF!</definedName>
    <definedName name="_13B_14">[17]연돌일위집계!#REF!</definedName>
    <definedName name="_13B_15">[17]연돌일위집계!#REF!</definedName>
    <definedName name="_13B_16">[17]연돌일위집계!#REF!</definedName>
    <definedName name="_13B_17">[17]연돌일위집계!#REF!</definedName>
    <definedName name="_13B_18">[17]연돌일위집계!#REF!</definedName>
    <definedName name="_13B_19">[17]연돌일위집계!#REF!</definedName>
    <definedName name="_13B_2">[17]연돌일위집계!#REF!</definedName>
    <definedName name="_13B_20">[17]연돌일위집계!#REF!</definedName>
    <definedName name="_13B_21">[17]연돌일위집계!#REF!</definedName>
    <definedName name="_13B_22">[17]연돌일위집계!#REF!</definedName>
    <definedName name="_13B_23">[17]연돌일위집계!#REF!</definedName>
    <definedName name="_13B_24">[17]연돌일위집계!#REF!</definedName>
    <definedName name="_13B_25">[17]연돌일위집계!#REF!</definedName>
    <definedName name="_13B_26">[17]연돌일위집계!#REF!</definedName>
    <definedName name="_13B_27">[17]연돌일위집계!#REF!</definedName>
    <definedName name="_13B_28">[17]연돌일위집계!#REF!</definedName>
    <definedName name="_13B_29">[17]연돌일위집계!#REF!</definedName>
    <definedName name="_13B_3">[17]연돌일위집계!#REF!</definedName>
    <definedName name="_13B_30">[17]연돌일위집계!#REF!</definedName>
    <definedName name="_13B_31">[17]연돌일위집계!#REF!</definedName>
    <definedName name="_13B_32">[17]연돌일위집계!#REF!</definedName>
    <definedName name="_13B_33">[17]연돌일위집계!#REF!</definedName>
    <definedName name="_13B_34">[17]연돌일위집계!#REF!</definedName>
    <definedName name="_13B_35">[17]연돌일위집계!#REF!</definedName>
    <definedName name="_13B_36">[17]연돌일위집계!#REF!</definedName>
    <definedName name="_13B_37">[17]연돌일위집계!#REF!</definedName>
    <definedName name="_13B_38">[17]연돌일위집계!#REF!</definedName>
    <definedName name="_13B_39">[17]연돌일위집계!#REF!</definedName>
    <definedName name="_13B_4">[17]연돌일위집계!#REF!</definedName>
    <definedName name="_13B_40">[17]연돌일위집계!#REF!</definedName>
    <definedName name="_13B_41">[17]연돌일위집계!#REF!</definedName>
    <definedName name="_13B_42">[17]연돌일위집계!#REF!</definedName>
    <definedName name="_13B_43">[17]연돌일위집계!#REF!</definedName>
    <definedName name="_13B_44">[17]연돌일위집계!#REF!</definedName>
    <definedName name="_13B_45">[17]연돌일위집계!#REF!</definedName>
    <definedName name="_13B_46">[17]연돌일위집계!#REF!</definedName>
    <definedName name="_13B_47">[17]연돌일위집계!#REF!</definedName>
    <definedName name="_13B_48">[17]연돌일위집계!#REF!</definedName>
    <definedName name="_13B_49">[17]연돌일위집계!#REF!</definedName>
    <definedName name="_13B_5">[17]연돌일위집계!#REF!</definedName>
    <definedName name="_13B_50">[17]연돌일위집계!#REF!</definedName>
    <definedName name="_13B_51">[17]연돌일위집계!#REF!</definedName>
    <definedName name="_13B_52">[17]연돌일위집계!#REF!</definedName>
    <definedName name="_13B_53">[17]연돌일위집계!#REF!</definedName>
    <definedName name="_13B_54">[17]연돌일위집계!#REF!</definedName>
    <definedName name="_13B_55">[17]연돌일위집계!#REF!</definedName>
    <definedName name="_13B_56">[17]연돌일위집계!#REF!</definedName>
    <definedName name="_13B_57">[17]연돌일위집계!#REF!</definedName>
    <definedName name="_13B_58">[17]연돌일위집계!#REF!</definedName>
    <definedName name="_13B_59">[17]연돌일위집계!#REF!</definedName>
    <definedName name="_13B_6">[17]연돌일위집계!#REF!</definedName>
    <definedName name="_13B_60">[17]연돌일위집계!#REF!</definedName>
    <definedName name="_13B_7">[17]연돌일위집계!#REF!</definedName>
    <definedName name="_13B_8">[17]연돌일위집계!#REF!</definedName>
    <definedName name="_13B_9">[17]연돌일위집계!#REF!</definedName>
    <definedName name="_13C_1">[17]연돌일위집계!#REF!</definedName>
    <definedName name="_13C_10">[17]연돌일위집계!#REF!</definedName>
    <definedName name="_13C_11">[17]연돌일위집계!#REF!</definedName>
    <definedName name="_13C_12">[17]연돌일위집계!#REF!</definedName>
    <definedName name="_13C_13">[17]연돌일위집계!#REF!</definedName>
    <definedName name="_13C_14">[17]연돌일위집계!#REF!</definedName>
    <definedName name="_13C_15">[17]연돌일위집계!#REF!</definedName>
    <definedName name="_13C_16">[17]연돌일위집계!#REF!</definedName>
    <definedName name="_13C_17">[17]연돌일위집계!#REF!</definedName>
    <definedName name="_13C_18">[17]연돌일위집계!#REF!</definedName>
    <definedName name="_13C_19">[17]연돌일위집계!#REF!</definedName>
    <definedName name="_13C_2">[17]연돌일위집계!#REF!</definedName>
    <definedName name="_13C_20">[17]연돌일위집계!#REF!</definedName>
    <definedName name="_13C_21">[17]연돌일위집계!#REF!</definedName>
    <definedName name="_13C_22">[17]연돌일위집계!#REF!</definedName>
    <definedName name="_13C_23">[17]연돌일위집계!#REF!</definedName>
    <definedName name="_13C_24">[17]연돌일위집계!#REF!</definedName>
    <definedName name="_13C_25">[17]연돌일위집계!#REF!</definedName>
    <definedName name="_13C_26">[17]연돌일위집계!#REF!</definedName>
    <definedName name="_13C_27">[17]연돌일위집계!#REF!</definedName>
    <definedName name="_13C_28">[17]연돌일위집계!#REF!</definedName>
    <definedName name="_13C_29">[17]연돌일위집계!#REF!</definedName>
    <definedName name="_13C_3">[17]연돌일위집계!#REF!</definedName>
    <definedName name="_13C_30">[17]연돌일위집계!#REF!</definedName>
    <definedName name="_13C_31">[17]연돌일위집계!#REF!</definedName>
    <definedName name="_13C_32">[17]연돌일위집계!#REF!</definedName>
    <definedName name="_13C_33">[17]연돌일위집계!#REF!</definedName>
    <definedName name="_13C_34">[17]연돌일위집계!#REF!</definedName>
    <definedName name="_13C_35">[17]연돌일위집계!#REF!</definedName>
    <definedName name="_13C_36">[17]연돌일위집계!#REF!</definedName>
    <definedName name="_13C_37">[17]연돌일위집계!#REF!</definedName>
    <definedName name="_13C_38">[17]연돌일위집계!#REF!</definedName>
    <definedName name="_13C_39">[17]연돌일위집계!#REF!</definedName>
    <definedName name="_13C_4">[17]연돌일위집계!#REF!</definedName>
    <definedName name="_13C_40">[17]연돌일위집계!#REF!</definedName>
    <definedName name="_13C_41">[17]연돌일위집계!#REF!</definedName>
    <definedName name="_13C_42">[17]연돌일위집계!#REF!</definedName>
    <definedName name="_13C_43">[17]연돌일위집계!#REF!</definedName>
    <definedName name="_13C_44">[17]연돌일위집계!#REF!</definedName>
    <definedName name="_13C_45">[17]연돌일위집계!#REF!</definedName>
    <definedName name="_13C_46">[17]연돌일위집계!#REF!</definedName>
    <definedName name="_13C_47">[17]연돌일위집계!#REF!</definedName>
    <definedName name="_13C_48">[17]연돌일위집계!#REF!</definedName>
    <definedName name="_13C_49">[17]연돌일위집계!#REF!</definedName>
    <definedName name="_13C_5">[17]연돌일위집계!#REF!</definedName>
    <definedName name="_13C_50">[17]연돌일위집계!#REF!</definedName>
    <definedName name="_13C_51">[17]연돌일위집계!#REF!</definedName>
    <definedName name="_13C_52">[17]연돌일위집계!#REF!</definedName>
    <definedName name="_13C_53">[17]연돌일위집계!#REF!</definedName>
    <definedName name="_13C_54">[17]연돌일위집계!#REF!</definedName>
    <definedName name="_13C_55">[17]연돌일위집계!#REF!</definedName>
    <definedName name="_13C_56">[17]연돌일위집계!#REF!</definedName>
    <definedName name="_13C_57">[17]연돌일위집계!#REF!</definedName>
    <definedName name="_13C_58">[17]연돌일위집계!#REF!</definedName>
    <definedName name="_13C_59">[17]연돌일위집계!#REF!</definedName>
    <definedName name="_13C_6">[17]연돌일위집계!#REF!</definedName>
    <definedName name="_13C_60">[17]연돌일위집계!#REF!</definedName>
    <definedName name="_13C_7">[17]연돌일위집계!#REF!</definedName>
    <definedName name="_13C_8">[17]연돌일위집계!#REF!</definedName>
    <definedName name="_13C_9">[17]연돌일위집계!#REF!</definedName>
    <definedName name="_144SettleOut_Module_.main">[12]!'[SettleOut Module].main'</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3A1_" hidden="1">{#N/A,#N/A,TRUE,"Basic";#N/A,#N/A,TRUE,"EXT-TABLE";#N/A,#N/A,TRUE,"STEEL";#N/A,#N/A,TRUE,"INT-Table";#N/A,#N/A,TRUE,"STEEL";#N/A,#N/A,TRUE,"Door"}</definedName>
    <definedName name="_157A66_">[0]!_KT66</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1ac4_">[0]!ClearSheet</definedName>
    <definedName name="_162B1_">#REF!</definedName>
    <definedName name="_163s3_">'[19]h-013211-2'!$C$5</definedName>
    <definedName name="_166u¨­OUⓒ￡uueⓒ￢A¨­AIee_YA">[20]수입!#REF!</definedName>
    <definedName name="_169uÞOUðuueßAÞAIee_YA">[21]수입!#REF!</definedName>
    <definedName name="_16A_1">[17]연돌일위집계!#REF!</definedName>
    <definedName name="_16A_2">[17]연돌일위집계!#REF!</definedName>
    <definedName name="_16A_3">[17]연돌일위집계!#REF!</definedName>
    <definedName name="_16A_4">[17]연돌일위집계!#REF!</definedName>
    <definedName name="_16A_5">[17]연돌일위집계!#REF!</definedName>
    <definedName name="_16A_6">[17]연돌일위집계!#REF!</definedName>
    <definedName name="_16A_7">[17]연돌일위집계!#REF!</definedName>
    <definedName name="_16B_1">[17]연돌일위집계!#REF!</definedName>
    <definedName name="_16B_2">[17]연돌일위집계!#REF!</definedName>
    <definedName name="_16B_3">[17]연돌일위집계!#REF!</definedName>
    <definedName name="_16B_4">[17]연돌일위집계!#REF!</definedName>
    <definedName name="_16B_5">[17]연돌일위집계!#REF!</definedName>
    <definedName name="_16B_6">[17]연돌일위집계!#REF!</definedName>
    <definedName name="_16B_7">[17]연돌일위집계!#REF!</definedName>
    <definedName name="_16C_1">[17]연돌일위집계!#REF!</definedName>
    <definedName name="_16C_2">[17]연돌일위집계!#REF!</definedName>
    <definedName name="_16C_3">[17]연돌일위집계!#REF!</definedName>
    <definedName name="_16C_4">[17]연돌일위집계!#REF!</definedName>
    <definedName name="_16C_5">[17]연돌일위집계!#REF!</definedName>
    <definedName name="_16C_6">[17]연돌일위집계!#REF!</definedName>
    <definedName name="_16C_7">[17]연돌일위집계!#REF!</definedName>
    <definedName name="_16Etc_code_.BtnCancel_Click">[18]!'[Etc code].BtnCancel_Click'</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A_1">[17]연돌일위집계!#REF!</definedName>
    <definedName name="_1A_10">[17]연돌일위집계!#REF!</definedName>
    <definedName name="_1A_11">[17]연돌일위집계!#REF!</definedName>
    <definedName name="_1A_12">[17]연돌일위집계!#REF!</definedName>
    <definedName name="_1A_13">[17]연돌일위집계!#REF!</definedName>
    <definedName name="_1A_14">[17]연돌일위집계!#REF!</definedName>
    <definedName name="_1A_15">[17]연돌일위집계!#REF!</definedName>
    <definedName name="_1A_16">[17]연돌일위집계!#REF!</definedName>
    <definedName name="_1A_17">[17]연돌일위집계!#REF!</definedName>
    <definedName name="_1A_18">[17]연돌일위집계!#REF!</definedName>
    <definedName name="_1A_19">[17]연돌일위집계!#REF!</definedName>
    <definedName name="_1A_2">[17]연돌일위집계!#REF!</definedName>
    <definedName name="_1A_20">[17]연돌일위집계!#REF!</definedName>
    <definedName name="_1A_21">[17]연돌일위집계!#REF!</definedName>
    <definedName name="_1A_22">[17]연돌일위집계!#REF!</definedName>
    <definedName name="_1A_23">[17]연돌일위집계!#REF!</definedName>
    <definedName name="_1A_24">[17]연돌일위집계!#REF!</definedName>
    <definedName name="_1A_25">[17]연돌일위집계!#REF!</definedName>
    <definedName name="_1A_26">[17]연돌일위집계!#REF!</definedName>
    <definedName name="_1A_27">[17]연돌일위집계!#REF!</definedName>
    <definedName name="_1A_28">[17]연돌일위집계!#REF!</definedName>
    <definedName name="_1A_29">[17]연돌일위집계!#REF!</definedName>
    <definedName name="_1A_3">[17]연돌일위집계!#REF!</definedName>
    <definedName name="_1A_30">[17]연돌일위집계!#REF!</definedName>
    <definedName name="_1A_4">[17]연돌일위집계!#REF!</definedName>
    <definedName name="_1A_5">[17]연돌일위집계!#REF!</definedName>
    <definedName name="_1A_6">[17]연돌일위집계!#REF!</definedName>
    <definedName name="_1A_7">[17]연돌일위집계!#REF!</definedName>
    <definedName name="_1A_8">[17]연돌일위집계!#REF!</definedName>
    <definedName name="_1A_9">[17]연돌일위집계!#REF!</definedName>
    <definedName name="_1B_1">[17]연돌일위집계!#REF!</definedName>
    <definedName name="_1B_10">[17]연돌일위집계!#REF!</definedName>
    <definedName name="_1B_11">[17]연돌일위집계!#REF!</definedName>
    <definedName name="_1B_12">[17]연돌일위집계!#REF!</definedName>
    <definedName name="_1B_13">[17]연돌일위집계!#REF!</definedName>
    <definedName name="_1B_14">[17]연돌일위집계!#REF!</definedName>
    <definedName name="_1B_15">[17]연돌일위집계!#REF!</definedName>
    <definedName name="_1B_16">[17]연돌일위집계!#REF!</definedName>
    <definedName name="_1B_17">[17]연돌일위집계!#REF!</definedName>
    <definedName name="_1B_18">[17]연돌일위집계!#REF!</definedName>
    <definedName name="_1B_19">[17]연돌일위집계!#REF!</definedName>
    <definedName name="_1B_2">[17]연돌일위집계!#REF!</definedName>
    <definedName name="_1B_20">[17]연돌일위집계!#REF!</definedName>
    <definedName name="_1B_21">[17]연돌일위집계!#REF!</definedName>
    <definedName name="_1B_22">[17]연돌일위집계!#REF!</definedName>
    <definedName name="_1B_23">[17]연돌일위집계!#REF!</definedName>
    <definedName name="_1B_24">[17]연돌일위집계!#REF!</definedName>
    <definedName name="_1B_25">[17]연돌일위집계!#REF!</definedName>
    <definedName name="_1B_26">[17]연돌일위집계!#REF!</definedName>
    <definedName name="_1B_27">[17]연돌일위집계!#REF!</definedName>
    <definedName name="_1B_28">[17]연돌일위집계!#REF!</definedName>
    <definedName name="_1B_29">[17]연돌일위집계!#REF!</definedName>
    <definedName name="_1B_3">[17]연돌일위집계!#REF!</definedName>
    <definedName name="_1B_30">[17]연돌일위집계!#REF!</definedName>
    <definedName name="_1B_4">[17]연돌일위집계!#REF!</definedName>
    <definedName name="_1B_5">[17]연돌일위집계!#REF!</definedName>
    <definedName name="_1B_6">[17]연돌일위집계!#REF!</definedName>
    <definedName name="_1B_7">[17]연돌일위집계!#REF!</definedName>
    <definedName name="_1B_8">[17]연돌일위집계!#REF!</definedName>
    <definedName name="_1B_9">[17]연돌일위집계!#REF!</definedName>
    <definedName name="_1C_1">[17]연돌일위집계!#REF!</definedName>
    <definedName name="_1C_10">[17]연돌일위집계!#REF!</definedName>
    <definedName name="_1C_11">[17]연돌일위집계!#REF!</definedName>
    <definedName name="_1C_12">[17]연돌일위집계!#REF!</definedName>
    <definedName name="_1C_13">[17]연돌일위집계!#REF!</definedName>
    <definedName name="_1C_14">[17]연돌일위집계!#REF!</definedName>
    <definedName name="_1C_15">[17]연돌일위집계!#REF!</definedName>
    <definedName name="_1C_16">[17]연돌일위집계!#REF!</definedName>
    <definedName name="_1C_17">[17]연돌일위집계!#REF!</definedName>
    <definedName name="_1C_18">[17]연돌일위집계!#REF!</definedName>
    <definedName name="_1C_19">[17]연돌일위집계!#REF!</definedName>
    <definedName name="_1C_2">[17]연돌일위집계!#REF!</definedName>
    <definedName name="_1C_20">[17]연돌일위집계!#REF!</definedName>
    <definedName name="_1C_21">[17]연돌일위집계!#REF!</definedName>
    <definedName name="_1C_22">[17]연돌일위집계!#REF!</definedName>
    <definedName name="_1C_23">[17]연돌일위집계!#REF!</definedName>
    <definedName name="_1C_24">[17]연돌일위집계!#REF!</definedName>
    <definedName name="_1C_25">[17]연돌일위집계!#REF!</definedName>
    <definedName name="_1C_26">[17]연돌일위집계!#REF!</definedName>
    <definedName name="_1C_27">[17]연돌일위집계!#REF!</definedName>
    <definedName name="_1C_28">[17]연돌일위집계!#REF!</definedName>
    <definedName name="_1C_29">[17]연돌일위집계!#REF!</definedName>
    <definedName name="_1C_3">[17]연돌일위집계!#REF!</definedName>
    <definedName name="_1C_30">[17]연돌일위집계!#REF!</definedName>
    <definedName name="_1C_4">[17]연돌일위집계!#REF!</definedName>
    <definedName name="_1C_5">[17]연돌일위집계!#REF!</definedName>
    <definedName name="_1C_6">[17]연돌일위집계!#REF!</definedName>
    <definedName name="_1C_7">[17]연돌일위집계!#REF!</definedName>
    <definedName name="_1C_8">[17]연돌일위집계!#REF!</definedName>
    <definedName name="_1C_9">[17]연돌일위집계!#REF!</definedName>
    <definedName name="_1u¨­OUⓒ￡uueⓒ￢A¨­AIee_YA">[22]수입!#REF!</definedName>
    <definedName name="_2A_1">[17]연돌일위집계!#REF!</definedName>
    <definedName name="_2A_10">[17]연돌일위집계!#REF!</definedName>
    <definedName name="_2A_11">[17]연돌일위집계!#REF!</definedName>
    <definedName name="_2A_12">[17]연돌일위집계!#REF!</definedName>
    <definedName name="_2A_13">[17]연돌일위집계!#REF!</definedName>
    <definedName name="_2A_14">[17]연돌일위집계!#REF!</definedName>
    <definedName name="_2A_15">[17]연돌일위집계!#REF!</definedName>
    <definedName name="_2A_16">[17]연돌일위집계!#REF!</definedName>
    <definedName name="_2A_17">[17]연돌일위집계!#REF!</definedName>
    <definedName name="_2A_18">[17]연돌일위집계!#REF!</definedName>
    <definedName name="_2A_19">[17]연돌일위집계!#REF!</definedName>
    <definedName name="_2A_2">[17]연돌일위집계!#REF!</definedName>
    <definedName name="_2A_20">[17]연돌일위집계!#REF!</definedName>
    <definedName name="_2A_21">[17]연돌일위집계!#REF!</definedName>
    <definedName name="_2A_22">[17]연돌일위집계!#REF!</definedName>
    <definedName name="_2A_23">[17]연돌일위집계!#REF!</definedName>
    <definedName name="_2A_24">[17]연돌일위집계!#REF!</definedName>
    <definedName name="_2A_25">[17]연돌일위집계!#REF!</definedName>
    <definedName name="_2A_26">[17]연돌일위집계!#REF!</definedName>
    <definedName name="_2A_27">[17]연돌일위집계!#REF!</definedName>
    <definedName name="_2A_28">[17]연돌일위집계!#REF!</definedName>
    <definedName name="_2A_29">[17]연돌일위집계!#REF!</definedName>
    <definedName name="_2A_3">[17]연돌일위집계!#REF!</definedName>
    <definedName name="_2A_30">[17]연돌일위집계!#REF!</definedName>
    <definedName name="_2A_4">[17]연돌일위집계!#REF!</definedName>
    <definedName name="_2A_5">[17]연돌일위집계!#REF!</definedName>
    <definedName name="_2A_6">[17]연돌일위집계!#REF!</definedName>
    <definedName name="_2A_7">[17]연돌일위집계!#REF!</definedName>
    <definedName name="_2A_8">[17]연돌일위집계!#REF!</definedName>
    <definedName name="_2A_9">[17]연돌일위집계!#REF!</definedName>
    <definedName name="_2B_1">[17]연돌일위집계!#REF!</definedName>
    <definedName name="_2B_10">[17]연돌일위집계!#REF!</definedName>
    <definedName name="_2B_11">[17]연돌일위집계!#REF!</definedName>
    <definedName name="_2B_12">[17]연돌일위집계!#REF!</definedName>
    <definedName name="_2B_13">[17]연돌일위집계!#REF!</definedName>
    <definedName name="_2B_14">[17]연돌일위집계!#REF!</definedName>
    <definedName name="_2B_15">[17]연돌일위집계!#REF!</definedName>
    <definedName name="_2B_16">[17]연돌일위집계!#REF!</definedName>
    <definedName name="_2B_17">[17]연돌일위집계!#REF!</definedName>
    <definedName name="_2B_18">[17]연돌일위집계!#REF!</definedName>
    <definedName name="_2B_19">[17]연돌일위집계!#REF!</definedName>
    <definedName name="_2B_2">[17]연돌일위집계!#REF!</definedName>
    <definedName name="_2B_20">[17]연돌일위집계!#REF!</definedName>
    <definedName name="_2B_21">[17]연돌일위집계!#REF!</definedName>
    <definedName name="_2B_22">[17]연돌일위집계!#REF!</definedName>
    <definedName name="_2B_23">[17]연돌일위집계!#REF!</definedName>
    <definedName name="_2B_24">[17]연돌일위집계!#REF!</definedName>
    <definedName name="_2B_25">[17]연돌일위집계!#REF!</definedName>
    <definedName name="_2B_26">[17]연돌일위집계!#REF!</definedName>
    <definedName name="_2B_27">[17]연돌일위집계!#REF!</definedName>
    <definedName name="_2B_28">[17]연돌일위집계!#REF!</definedName>
    <definedName name="_2B_29">[17]연돌일위집계!#REF!</definedName>
    <definedName name="_2B_3">[17]연돌일위집계!#REF!</definedName>
    <definedName name="_2B_30">[17]연돌일위집계!#REF!</definedName>
    <definedName name="_2B_4">[17]연돌일위집계!#REF!</definedName>
    <definedName name="_2B_5">[17]연돌일위집계!#REF!</definedName>
    <definedName name="_2B_6">[17]연돌일위집계!#REF!</definedName>
    <definedName name="_2B_7">[17]연돌일위집계!#REF!</definedName>
    <definedName name="_2B_8">[17]연돌일위집계!#REF!</definedName>
    <definedName name="_2B_9">[17]연돌일위집계!#REF!</definedName>
    <definedName name="_2C_1">[17]연돌일위집계!#REF!</definedName>
    <definedName name="_2C_10">[17]연돌일위집계!#REF!</definedName>
    <definedName name="_2C_11">[17]연돌일위집계!#REF!</definedName>
    <definedName name="_2C_12">[17]연돌일위집계!#REF!</definedName>
    <definedName name="_2C_13">[17]연돌일위집계!#REF!</definedName>
    <definedName name="_2C_14">[17]연돌일위집계!#REF!</definedName>
    <definedName name="_2C_15">[17]연돌일위집계!#REF!</definedName>
    <definedName name="_2C_16">[17]연돌일위집계!#REF!</definedName>
    <definedName name="_2C_17">[17]연돌일위집계!#REF!</definedName>
    <definedName name="_2C_18">[17]연돌일위집계!#REF!</definedName>
    <definedName name="_2C_19">[17]연돌일위집계!#REF!</definedName>
    <definedName name="_2C_2">[17]연돌일위집계!#REF!</definedName>
    <definedName name="_2C_20">[17]연돌일위집계!#REF!</definedName>
    <definedName name="_2C_21">[17]연돌일위집계!#REF!</definedName>
    <definedName name="_2C_22">[17]연돌일위집계!#REF!</definedName>
    <definedName name="_2C_23">[17]연돌일위집계!#REF!</definedName>
    <definedName name="_2C_24">[17]연돌일위집계!#REF!</definedName>
    <definedName name="_2C_25">[17]연돌일위집계!#REF!</definedName>
    <definedName name="_2C_26">[17]연돌일위집계!#REF!</definedName>
    <definedName name="_2C_27">[17]연돌일위집계!#REF!</definedName>
    <definedName name="_2C_28">[17]연돌일위집계!#REF!</definedName>
    <definedName name="_2C_29">[17]연돌일위집계!#REF!</definedName>
    <definedName name="_2C_3">[17]연돌일위집계!#REF!</definedName>
    <definedName name="_2C_30">[17]연돌일위집계!#REF!</definedName>
    <definedName name="_2C_4">[17]연돌일위집계!#REF!</definedName>
    <definedName name="_2C_5">[17]연돌일위집계!#REF!</definedName>
    <definedName name="_2C_6">[17]연돌일위집계!#REF!</definedName>
    <definedName name="_2C_7">[17]연돌일위집계!#REF!</definedName>
    <definedName name="_2C_8">[17]연돌일위집계!#REF!</definedName>
    <definedName name="_2C_9">[17]연돌일위집계!#REF!</definedName>
    <definedName name="_2uÞOUðuueßAÞAIee_YA">[23]수입!#REF!</definedName>
    <definedName name="_32Etc_code_.BtnOK_Click">[18]!'[Etc code].BtnOK_Click'</definedName>
    <definedName name="_3A_1">[17]연돌일위집계!#REF!</definedName>
    <definedName name="_3A_10">[17]연돌일위집계!#REF!</definedName>
    <definedName name="_3A_11">[17]연돌일위집계!#REF!</definedName>
    <definedName name="_3A_12">[17]연돌일위집계!#REF!</definedName>
    <definedName name="_3A_13">[17]연돌일위집계!#REF!</definedName>
    <definedName name="_3A_14">[17]연돌일위집계!#REF!</definedName>
    <definedName name="_3A_15">[17]연돌일위집계!#REF!</definedName>
    <definedName name="_3A_16">[17]연돌일위집계!#REF!</definedName>
    <definedName name="_3A_17">[17]연돌일위집계!#REF!</definedName>
    <definedName name="_3A_18">[17]연돌일위집계!#REF!</definedName>
    <definedName name="_3A_19">[17]연돌일위집계!#REF!</definedName>
    <definedName name="_3A_2">[17]연돌일위집계!#REF!</definedName>
    <definedName name="_3A_20">[17]연돌일위집계!#REF!</definedName>
    <definedName name="_3A_21">[17]연돌일위집계!#REF!</definedName>
    <definedName name="_3A_22">[17]연돌일위집계!#REF!</definedName>
    <definedName name="_3A_23">[17]연돌일위집계!#REF!</definedName>
    <definedName name="_3A_24">[17]연돌일위집계!#REF!</definedName>
    <definedName name="_3A_25">[17]연돌일위집계!#REF!</definedName>
    <definedName name="_3A_26">[17]연돌일위집계!#REF!</definedName>
    <definedName name="_3A_27">[17]연돌일위집계!#REF!</definedName>
    <definedName name="_3A_28">[17]연돌일위집계!#REF!</definedName>
    <definedName name="_3A_29">[17]연돌일위집계!#REF!</definedName>
    <definedName name="_3A_3">[17]연돌일위집계!#REF!</definedName>
    <definedName name="_3A_30">[17]연돌일위집계!#REF!</definedName>
    <definedName name="_3A_4">[17]연돌일위집계!#REF!</definedName>
    <definedName name="_3A_5">[17]연돌일위집계!#REF!</definedName>
    <definedName name="_3A_6">[17]연돌일위집계!#REF!</definedName>
    <definedName name="_3A_7">[17]연돌일위집계!#REF!</definedName>
    <definedName name="_3A_8">[17]연돌일위집계!#REF!</definedName>
    <definedName name="_3A_9">[17]연돌일위집계!#REF!</definedName>
    <definedName name="_3B_1">[17]연돌일위집계!#REF!</definedName>
    <definedName name="_3B_10">[17]연돌일위집계!#REF!</definedName>
    <definedName name="_3B_11">[17]연돌일위집계!#REF!</definedName>
    <definedName name="_3B_12">[17]연돌일위집계!#REF!</definedName>
    <definedName name="_3B_13">[17]연돌일위집계!#REF!</definedName>
    <definedName name="_3B_14">[17]연돌일위집계!#REF!</definedName>
    <definedName name="_3B_15">[17]연돌일위집계!#REF!</definedName>
    <definedName name="_3B_16">[17]연돌일위집계!#REF!</definedName>
    <definedName name="_3B_17">[17]연돌일위집계!#REF!</definedName>
    <definedName name="_3B_18">[17]연돌일위집계!#REF!</definedName>
    <definedName name="_3B_19">[17]연돌일위집계!#REF!</definedName>
    <definedName name="_3B_2">[17]연돌일위집계!#REF!</definedName>
    <definedName name="_3B_20">[17]연돌일위집계!#REF!</definedName>
    <definedName name="_3B_21">[17]연돌일위집계!#REF!</definedName>
    <definedName name="_3B_22">[17]연돌일위집계!#REF!</definedName>
    <definedName name="_3B_23">[17]연돌일위집계!#REF!</definedName>
    <definedName name="_3B_24">[17]연돌일위집계!#REF!</definedName>
    <definedName name="_3B_25">[17]연돌일위집계!#REF!</definedName>
    <definedName name="_3B_26">[17]연돌일위집계!#REF!</definedName>
    <definedName name="_3B_27">[17]연돌일위집계!#REF!</definedName>
    <definedName name="_3B_28">[17]연돌일위집계!#REF!</definedName>
    <definedName name="_3B_29">[17]연돌일위집계!#REF!</definedName>
    <definedName name="_3B_3">[17]연돌일위집계!#REF!</definedName>
    <definedName name="_3B_30">[17]연돌일위집계!#REF!</definedName>
    <definedName name="_3B_4">[17]연돌일위집계!#REF!</definedName>
    <definedName name="_3B_5">[17]연돌일위집계!#REF!</definedName>
    <definedName name="_3B_6">[17]연돌일위집계!#REF!</definedName>
    <definedName name="_3B_7">[17]연돌일위집계!#REF!</definedName>
    <definedName name="_3B_8">[17]연돌일위집계!#REF!</definedName>
    <definedName name="_3B_9">[17]연돌일위집계!#REF!</definedName>
    <definedName name="_3C_1">[17]연돌일위집계!#REF!</definedName>
    <definedName name="_3C_10">[17]연돌일위집계!#REF!</definedName>
    <definedName name="_3C_11">[17]연돌일위집계!#REF!</definedName>
    <definedName name="_3C_12">[17]연돌일위집계!#REF!</definedName>
    <definedName name="_3C_13">[17]연돌일위집계!#REF!</definedName>
    <definedName name="_3C_14">[17]연돌일위집계!#REF!</definedName>
    <definedName name="_3C_15">[17]연돌일위집계!#REF!</definedName>
    <definedName name="_3C_16">[17]연돌일위집계!#REF!</definedName>
    <definedName name="_3C_17">[17]연돌일위집계!#REF!</definedName>
    <definedName name="_3C_18">[17]연돌일위집계!#REF!</definedName>
    <definedName name="_3C_19">[17]연돌일위집계!#REF!</definedName>
    <definedName name="_3C_2">[17]연돌일위집계!#REF!</definedName>
    <definedName name="_3C_20">[17]연돌일위집계!#REF!</definedName>
    <definedName name="_3C_21">[17]연돌일위집계!#REF!</definedName>
    <definedName name="_3C_22">[17]연돌일위집계!#REF!</definedName>
    <definedName name="_3C_23">[17]연돌일위집계!#REF!</definedName>
    <definedName name="_3C_24">[17]연돌일위집계!#REF!</definedName>
    <definedName name="_3C_25">[17]연돌일위집계!#REF!</definedName>
    <definedName name="_3C_26">[17]연돌일위집계!#REF!</definedName>
    <definedName name="_3C_27">[17]연돌일위집계!#REF!</definedName>
    <definedName name="_3C_28">[17]연돌일위집계!#REF!</definedName>
    <definedName name="_3C_29">[17]연돌일위집계!#REF!</definedName>
    <definedName name="_3C_3">[17]연돌일위집계!#REF!</definedName>
    <definedName name="_3C_30">[17]연돌일위집계!#REF!</definedName>
    <definedName name="_3C_4">[17]연돌일위집계!#REF!</definedName>
    <definedName name="_3C_5">[17]연돌일위집계!#REF!</definedName>
    <definedName name="_3C_6">[17]연돌일위집계!#REF!</definedName>
    <definedName name="_3C_7">[17]연돌일위집계!#REF!</definedName>
    <definedName name="_3C_8">[17]연돌일위집계!#REF!</definedName>
    <definedName name="_3C_9">[17]연돌일위집계!#REF!</definedName>
    <definedName name="_48Part_Code_.BtnCancel_Click">[18]!'[Part Code].BtnCancel_Click'</definedName>
    <definedName name="_4A_1">[17]연돌일위집계!#REF!</definedName>
    <definedName name="_4A_10">[17]연돌일위집계!#REF!</definedName>
    <definedName name="_4A_11">[17]연돌일위집계!#REF!</definedName>
    <definedName name="_4A_12">[17]연돌일위집계!#REF!</definedName>
    <definedName name="_4A_13">[17]연돌일위집계!#REF!</definedName>
    <definedName name="_4A_14">[17]연돌일위집계!#REF!</definedName>
    <definedName name="_4A_15">[17]연돌일위집계!#REF!</definedName>
    <definedName name="_4A_16">[17]연돌일위집계!#REF!</definedName>
    <definedName name="_4A_17">[17]연돌일위집계!#REF!</definedName>
    <definedName name="_4A_18">[17]연돌일위집계!#REF!</definedName>
    <definedName name="_4A_19">[17]연돌일위집계!#REF!</definedName>
    <definedName name="_4A_2">[17]연돌일위집계!#REF!</definedName>
    <definedName name="_4A_20">[17]연돌일위집계!#REF!</definedName>
    <definedName name="_4A_21">[17]연돌일위집계!#REF!</definedName>
    <definedName name="_4A_22">[17]연돌일위집계!#REF!</definedName>
    <definedName name="_4A_23">[17]연돌일위집계!#REF!</definedName>
    <definedName name="_4A_24">[17]연돌일위집계!#REF!</definedName>
    <definedName name="_4A_25">[17]연돌일위집계!#REF!</definedName>
    <definedName name="_4A_26">[17]연돌일위집계!#REF!</definedName>
    <definedName name="_4A_27">[17]연돌일위집계!#REF!</definedName>
    <definedName name="_4A_28">[17]연돌일위집계!#REF!</definedName>
    <definedName name="_4A_29">[17]연돌일위집계!#REF!</definedName>
    <definedName name="_4A_3">[17]연돌일위집계!#REF!</definedName>
    <definedName name="_4A_30">[17]연돌일위집계!#REF!</definedName>
    <definedName name="_4A_4">[17]연돌일위집계!#REF!</definedName>
    <definedName name="_4A_5">[17]연돌일위집계!#REF!</definedName>
    <definedName name="_4A_6">[17]연돌일위집계!#REF!</definedName>
    <definedName name="_4A_7">[17]연돌일위집계!#REF!</definedName>
    <definedName name="_4A_8">[17]연돌일위집계!#REF!</definedName>
    <definedName name="_4A_9">[17]연돌일위집계!#REF!</definedName>
    <definedName name="_4A1_" hidden="1">{#N/A,#N/A,TRUE,"Basic";#N/A,#N/A,TRUE,"EXT-TABLE";#N/A,#N/A,TRUE,"STEEL";#N/A,#N/A,TRUE,"INT-Table";#N/A,#N/A,TRUE,"STEEL";#N/A,#N/A,TRUE,"Door"}</definedName>
    <definedName name="_4B_1">[17]연돌일위집계!#REF!</definedName>
    <definedName name="_4B_10">[17]연돌일위집계!#REF!</definedName>
    <definedName name="_4B_11">[17]연돌일위집계!#REF!</definedName>
    <definedName name="_4B_12">[17]연돌일위집계!#REF!</definedName>
    <definedName name="_4B_13">[17]연돌일위집계!#REF!</definedName>
    <definedName name="_4B_14">[17]연돌일위집계!#REF!</definedName>
    <definedName name="_4B_15">[17]연돌일위집계!#REF!</definedName>
    <definedName name="_4B_16">[17]연돌일위집계!#REF!</definedName>
    <definedName name="_4B_17">[17]연돌일위집계!#REF!</definedName>
    <definedName name="_4B_18">[17]연돌일위집계!#REF!</definedName>
    <definedName name="_4B_19">[17]연돌일위집계!#REF!</definedName>
    <definedName name="_4B_2">[17]연돌일위집계!#REF!</definedName>
    <definedName name="_4B_20">[17]연돌일위집계!#REF!</definedName>
    <definedName name="_4B_21">[17]연돌일위집계!#REF!</definedName>
    <definedName name="_4B_22">[17]연돌일위집계!#REF!</definedName>
    <definedName name="_4B_23">[17]연돌일위집계!#REF!</definedName>
    <definedName name="_4B_24">[17]연돌일위집계!#REF!</definedName>
    <definedName name="_4B_25">[17]연돌일위집계!#REF!</definedName>
    <definedName name="_4B_26">[17]연돌일위집계!#REF!</definedName>
    <definedName name="_4B_27">[17]연돌일위집계!#REF!</definedName>
    <definedName name="_4B_28">[17]연돌일위집계!#REF!</definedName>
    <definedName name="_4B_29">[17]연돌일위집계!#REF!</definedName>
    <definedName name="_4B_3">[17]연돌일위집계!#REF!</definedName>
    <definedName name="_4B_30">[17]연돌일위집계!#REF!</definedName>
    <definedName name="_4B_4">[17]연돌일위집계!#REF!</definedName>
    <definedName name="_4B_5">[17]연돌일위집계!#REF!</definedName>
    <definedName name="_4B_6">[17]연돌일위집계!#REF!</definedName>
    <definedName name="_4B_7">[17]연돌일위집계!#REF!</definedName>
    <definedName name="_4B_8">[17]연돌일위집계!#REF!</definedName>
    <definedName name="_4B_9">[17]연돌일위집계!#REF!</definedName>
    <definedName name="_4C_1">[17]연돌일위집계!#REF!</definedName>
    <definedName name="_4C_10">[17]연돌일위집계!#REF!</definedName>
    <definedName name="_4C_11">[17]연돌일위집계!#REF!</definedName>
    <definedName name="_4C_12">[17]연돌일위집계!#REF!</definedName>
    <definedName name="_4C_13">[17]연돌일위집계!#REF!</definedName>
    <definedName name="_4C_14">[17]연돌일위집계!#REF!</definedName>
    <definedName name="_4C_15">[17]연돌일위집계!#REF!</definedName>
    <definedName name="_4C_16">[17]연돌일위집계!#REF!</definedName>
    <definedName name="_4C_17">[17]연돌일위집계!#REF!</definedName>
    <definedName name="_4C_18">[17]연돌일위집계!#REF!</definedName>
    <definedName name="_4C_19">[17]연돌일위집계!#REF!</definedName>
    <definedName name="_4C_2">[17]연돌일위집계!#REF!</definedName>
    <definedName name="_4C_20">[17]연돌일위집계!#REF!</definedName>
    <definedName name="_4C_21">[17]연돌일위집계!#REF!</definedName>
    <definedName name="_4C_22">[17]연돌일위집계!#REF!</definedName>
    <definedName name="_4C_23">[17]연돌일위집계!#REF!</definedName>
    <definedName name="_4C_24">[17]연돌일위집계!#REF!</definedName>
    <definedName name="_4C_25">[17]연돌일위집계!#REF!</definedName>
    <definedName name="_4C_26">[17]연돌일위집계!#REF!</definedName>
    <definedName name="_4C_27">[17]연돌일위집계!#REF!</definedName>
    <definedName name="_4C_28">[17]연돌일위집계!#REF!</definedName>
    <definedName name="_4C_29">[17]연돌일위집계!#REF!</definedName>
    <definedName name="_4C_3">[17]연돌일위집계!#REF!</definedName>
    <definedName name="_4C_30">[17]연돌일위집계!#REF!</definedName>
    <definedName name="_4C_4">[17]연돌일위집계!#REF!</definedName>
    <definedName name="_4C_5">[17]연돌일위집계!#REF!</definedName>
    <definedName name="_4C_6">[17]연돌일위집계!#REF!</definedName>
    <definedName name="_4C_7">[17]연돌일위집계!#REF!</definedName>
    <definedName name="_4C_8">[17]연돌일위집계!#REF!</definedName>
    <definedName name="_4C_9">[17]연돌일위집계!#REF!</definedName>
    <definedName name="_5A_1">[17]연돌일위집계!#REF!</definedName>
    <definedName name="_5A_10">[17]연돌일위집계!#REF!</definedName>
    <definedName name="_5A_11">[17]연돌일위집계!#REF!</definedName>
    <definedName name="_5A_12">[17]연돌일위집계!#REF!</definedName>
    <definedName name="_5A_13">[17]연돌일위집계!#REF!</definedName>
    <definedName name="_5A_14">[17]연돌일위집계!#REF!</definedName>
    <definedName name="_5A_15">[17]연돌일위집계!#REF!</definedName>
    <definedName name="_5A_16">[17]연돌일위집계!#REF!</definedName>
    <definedName name="_5A_17">[17]연돌일위집계!#REF!</definedName>
    <definedName name="_5A_18">[17]연돌일위집계!#REF!</definedName>
    <definedName name="_5A_19">[17]연돌일위집계!#REF!</definedName>
    <definedName name="_5A_2">[17]연돌일위집계!#REF!</definedName>
    <definedName name="_5A_20">[17]연돌일위집계!#REF!</definedName>
    <definedName name="_5A_21">[17]연돌일위집계!#REF!</definedName>
    <definedName name="_5A_22">[17]연돌일위집계!#REF!</definedName>
    <definedName name="_5A_23">[17]연돌일위집계!#REF!</definedName>
    <definedName name="_5A_24">[17]연돌일위집계!#REF!</definedName>
    <definedName name="_5A_25">[17]연돌일위집계!#REF!</definedName>
    <definedName name="_5A_26">[17]연돌일위집계!#REF!</definedName>
    <definedName name="_5A_27">[17]연돌일위집계!#REF!</definedName>
    <definedName name="_5A_28">[17]연돌일위집계!#REF!</definedName>
    <definedName name="_5A_29">[17]연돌일위집계!#REF!</definedName>
    <definedName name="_5A_3">[17]연돌일위집계!#REF!</definedName>
    <definedName name="_5A_30">[17]연돌일위집계!#REF!</definedName>
    <definedName name="_5A_4">[17]연돌일위집계!#REF!</definedName>
    <definedName name="_5A_5">[17]연돌일위집계!#REF!</definedName>
    <definedName name="_5A_6">[17]연돌일위집계!#REF!</definedName>
    <definedName name="_5A_7">[17]연돌일위집계!#REF!</definedName>
    <definedName name="_5A_8">[17]연돌일위집계!#REF!</definedName>
    <definedName name="_5A_9">[17]연돌일위집계!#REF!</definedName>
    <definedName name="_5B_1">[17]연돌일위집계!#REF!</definedName>
    <definedName name="_5B_10">[17]연돌일위집계!#REF!</definedName>
    <definedName name="_5B_11">[17]연돌일위집계!#REF!</definedName>
    <definedName name="_5B_12">[17]연돌일위집계!#REF!</definedName>
    <definedName name="_5B_13">[17]연돌일위집계!#REF!</definedName>
    <definedName name="_5B_14">[17]연돌일위집계!#REF!</definedName>
    <definedName name="_5B_15">[17]연돌일위집계!#REF!</definedName>
    <definedName name="_5B_16">[17]연돌일위집계!#REF!</definedName>
    <definedName name="_5B_17">[17]연돌일위집계!#REF!</definedName>
    <definedName name="_5B_18">[17]연돌일위집계!#REF!</definedName>
    <definedName name="_5B_19">[17]연돌일위집계!#REF!</definedName>
    <definedName name="_5B_2">[17]연돌일위집계!#REF!</definedName>
    <definedName name="_5B_20">[17]연돌일위집계!#REF!</definedName>
    <definedName name="_5B_21">[17]연돌일위집계!#REF!</definedName>
    <definedName name="_5B_22">[17]연돌일위집계!#REF!</definedName>
    <definedName name="_5B_23">[17]연돌일위집계!#REF!</definedName>
    <definedName name="_5B_24">[17]연돌일위집계!#REF!</definedName>
    <definedName name="_5B_25">[17]연돌일위집계!#REF!</definedName>
    <definedName name="_5B_26">[17]연돌일위집계!#REF!</definedName>
    <definedName name="_5B_27">[17]연돌일위집계!#REF!</definedName>
    <definedName name="_5B_28">[17]연돌일위집계!#REF!</definedName>
    <definedName name="_5B_29">[17]연돌일위집계!#REF!</definedName>
    <definedName name="_5B_3">[17]연돌일위집계!#REF!</definedName>
    <definedName name="_5B_30">[17]연돌일위집계!#REF!</definedName>
    <definedName name="_5B_4">[17]연돌일위집계!#REF!</definedName>
    <definedName name="_5B_5">[17]연돌일위집계!#REF!</definedName>
    <definedName name="_5B_6">[17]연돌일위집계!#REF!</definedName>
    <definedName name="_5B_7">[17]연돌일위집계!#REF!</definedName>
    <definedName name="_5B_8">[17]연돌일위집계!#REF!</definedName>
    <definedName name="_5B_9">[17]연돌일위집계!#REF!</definedName>
    <definedName name="_5B1_">#REF!</definedName>
    <definedName name="_5C_1">[17]연돌일위집계!#REF!</definedName>
    <definedName name="_5C_10">[17]연돌일위집계!#REF!</definedName>
    <definedName name="_5C_11">[17]연돌일위집계!#REF!</definedName>
    <definedName name="_5C_12">[17]연돌일위집계!#REF!</definedName>
    <definedName name="_5C_13">[17]연돌일위집계!#REF!</definedName>
    <definedName name="_5C_14">[17]연돌일위집계!#REF!</definedName>
    <definedName name="_5C_15">[17]연돌일위집계!#REF!</definedName>
    <definedName name="_5C_16">[17]연돌일위집계!#REF!</definedName>
    <definedName name="_5C_17">[17]연돌일위집계!#REF!</definedName>
    <definedName name="_5C_18">[17]연돌일위집계!#REF!</definedName>
    <definedName name="_5C_19">[17]연돌일위집계!#REF!</definedName>
    <definedName name="_5C_2">[17]연돌일위집계!#REF!</definedName>
    <definedName name="_5C_20">[17]연돌일위집계!#REF!</definedName>
    <definedName name="_5C_21">[17]연돌일위집계!#REF!</definedName>
    <definedName name="_5C_22">[17]연돌일위집계!#REF!</definedName>
    <definedName name="_5C_23">[17]연돌일위집계!#REF!</definedName>
    <definedName name="_5C_24">[17]연돌일위집계!#REF!</definedName>
    <definedName name="_5C_25">[17]연돌일위집계!#REF!</definedName>
    <definedName name="_5C_26">[17]연돌일위집계!#REF!</definedName>
    <definedName name="_5C_27">[17]연돌일위집계!#REF!</definedName>
    <definedName name="_5C_28">[17]연돌일위집계!#REF!</definedName>
    <definedName name="_5C_29">[17]연돌일위집계!#REF!</definedName>
    <definedName name="_5C_3">[17]연돌일위집계!#REF!</definedName>
    <definedName name="_5C_30">[17]연돌일위집계!#REF!</definedName>
    <definedName name="_5C_4">[17]연돌일위집계!#REF!</definedName>
    <definedName name="_5C_5">[17]연돌일위집계!#REF!</definedName>
    <definedName name="_5C_6">[17]연돌일위집계!#REF!</definedName>
    <definedName name="_5C_7">[17]연돌일위집계!#REF!</definedName>
    <definedName name="_5C_8">[17]연돌일위집계!#REF!</definedName>
    <definedName name="_5C_9">[17]연돌일위집계!#REF!</definedName>
    <definedName name="_64Part_Code_.BtnOK_Click">[18]!'[Part Code].BtnOK_Click'</definedName>
    <definedName name="_6A_1">[17]연돌일위집계!#REF!</definedName>
    <definedName name="_6A_10">[17]연돌일위집계!#REF!</definedName>
    <definedName name="_6A_11">[17]연돌일위집계!#REF!</definedName>
    <definedName name="_6A_12">[17]연돌일위집계!#REF!</definedName>
    <definedName name="_6A_13">[17]연돌일위집계!#REF!</definedName>
    <definedName name="_6A_14">[17]연돌일위집계!#REF!</definedName>
    <definedName name="_6A_15">[17]연돌일위집계!#REF!</definedName>
    <definedName name="_6A_16">[17]연돌일위집계!#REF!</definedName>
    <definedName name="_6A_17">[17]연돌일위집계!#REF!</definedName>
    <definedName name="_6A_18">[17]연돌일위집계!#REF!</definedName>
    <definedName name="_6A_19">[17]연돌일위집계!#REF!</definedName>
    <definedName name="_6A_2">[17]연돌일위집계!#REF!</definedName>
    <definedName name="_6A_20">[17]연돌일위집계!#REF!</definedName>
    <definedName name="_6A_21">[17]연돌일위집계!#REF!</definedName>
    <definedName name="_6A_22">[17]연돌일위집계!#REF!</definedName>
    <definedName name="_6A_23">[17]연돌일위집계!#REF!</definedName>
    <definedName name="_6A_24">[17]연돌일위집계!#REF!</definedName>
    <definedName name="_6A_25">[17]연돌일위집계!#REF!</definedName>
    <definedName name="_6A_26">[17]연돌일위집계!#REF!</definedName>
    <definedName name="_6A_27">[17]연돌일위집계!#REF!</definedName>
    <definedName name="_6A_28">[17]연돌일위집계!#REF!</definedName>
    <definedName name="_6A_29">[17]연돌일위집계!#REF!</definedName>
    <definedName name="_6A_3">[17]연돌일위집계!#REF!</definedName>
    <definedName name="_6A_30">[17]연돌일위집계!#REF!</definedName>
    <definedName name="_6A_4">[17]연돌일위집계!#REF!</definedName>
    <definedName name="_6A_5">[17]연돌일위집계!#REF!</definedName>
    <definedName name="_6A_6">[17]연돌일위집계!#REF!</definedName>
    <definedName name="_6A_7">[17]연돌일위집계!#REF!</definedName>
    <definedName name="_6A_8">[17]연돌일위집계!#REF!</definedName>
    <definedName name="_6A_9">[17]연돌일위집계!#REF!</definedName>
    <definedName name="_6B_1">[17]연돌일위집계!#REF!</definedName>
    <definedName name="_6B_10">[17]연돌일위집계!#REF!</definedName>
    <definedName name="_6B_11">[17]연돌일위집계!#REF!</definedName>
    <definedName name="_6B_12">[17]연돌일위집계!#REF!</definedName>
    <definedName name="_6B_13">[17]연돌일위집계!#REF!</definedName>
    <definedName name="_6B_14">[17]연돌일위집계!#REF!</definedName>
    <definedName name="_6B_15">[17]연돌일위집계!#REF!</definedName>
    <definedName name="_6B_16">[17]연돌일위집계!#REF!</definedName>
    <definedName name="_6B_17">[17]연돌일위집계!#REF!</definedName>
    <definedName name="_6B_18">[17]연돌일위집계!#REF!</definedName>
    <definedName name="_6B_19">[17]연돌일위집계!#REF!</definedName>
    <definedName name="_6B_2">[17]연돌일위집계!#REF!</definedName>
    <definedName name="_6B_20">[17]연돌일위집계!#REF!</definedName>
    <definedName name="_6B_21">[17]연돌일위집계!#REF!</definedName>
    <definedName name="_6B_22">[17]연돌일위집계!#REF!</definedName>
    <definedName name="_6B_23">[17]연돌일위집계!#REF!</definedName>
    <definedName name="_6B_24">[17]연돌일위집계!#REF!</definedName>
    <definedName name="_6B_25">[17]연돌일위집계!#REF!</definedName>
    <definedName name="_6B_26">[17]연돌일위집계!#REF!</definedName>
    <definedName name="_6B_27">[17]연돌일위집계!#REF!</definedName>
    <definedName name="_6B_28">[17]연돌일위집계!#REF!</definedName>
    <definedName name="_6B_29">[17]연돌일위집계!#REF!</definedName>
    <definedName name="_6B_3">[17]연돌일위집계!#REF!</definedName>
    <definedName name="_6B_30">[17]연돌일위집계!#REF!</definedName>
    <definedName name="_6B_4">[17]연돌일위집계!#REF!</definedName>
    <definedName name="_6B_5">[17]연돌일위집계!#REF!</definedName>
    <definedName name="_6B_6">[17]연돌일위집계!#REF!</definedName>
    <definedName name="_6B_7">[17]연돌일위집계!#REF!</definedName>
    <definedName name="_6B_8">[17]연돌일위집계!#REF!</definedName>
    <definedName name="_6B_9">[17]연돌일위집계!#REF!</definedName>
    <definedName name="_6C_1">[17]연돌일위집계!#REF!</definedName>
    <definedName name="_6C_10">[17]연돌일위집계!#REF!</definedName>
    <definedName name="_6C_11">[17]연돌일위집계!#REF!</definedName>
    <definedName name="_6C_12">[17]연돌일위집계!#REF!</definedName>
    <definedName name="_6C_13">[17]연돌일위집계!#REF!</definedName>
    <definedName name="_6C_14">[17]연돌일위집계!#REF!</definedName>
    <definedName name="_6C_15">[17]연돌일위집계!#REF!</definedName>
    <definedName name="_6C_16">[17]연돌일위집계!#REF!</definedName>
    <definedName name="_6C_17">[17]연돌일위집계!#REF!</definedName>
    <definedName name="_6C_18">[17]연돌일위집계!#REF!</definedName>
    <definedName name="_6C_19">[17]연돌일위집계!#REF!</definedName>
    <definedName name="_6C_2">[17]연돌일위집계!#REF!</definedName>
    <definedName name="_6C_20">[17]연돌일위집계!#REF!</definedName>
    <definedName name="_6C_21">[17]연돌일위집계!#REF!</definedName>
    <definedName name="_6C_22">[17]연돌일위집계!#REF!</definedName>
    <definedName name="_6C_23">[17]연돌일위집계!#REF!</definedName>
    <definedName name="_6C_24">[17]연돌일위집계!#REF!</definedName>
    <definedName name="_6C_25">[17]연돌일위집계!#REF!</definedName>
    <definedName name="_6C_26">[17]연돌일위집계!#REF!</definedName>
    <definedName name="_6C_27">[17]연돌일위집계!#REF!</definedName>
    <definedName name="_6C_28">[17]연돌일위집계!#REF!</definedName>
    <definedName name="_6C_29">[17]연돌일위집계!#REF!</definedName>
    <definedName name="_6C_3">[17]연돌일위집계!#REF!</definedName>
    <definedName name="_6C_30">[17]연돌일위집계!#REF!</definedName>
    <definedName name="_6C_4">[17]연돌일위집계!#REF!</definedName>
    <definedName name="_6C_5">[17]연돌일위집계!#REF!</definedName>
    <definedName name="_6C_6">[17]연돌일위집계!#REF!</definedName>
    <definedName name="_6C_7">[17]연돌일위집계!#REF!</definedName>
    <definedName name="_6C_8">[17]연돌일위집계!#REF!</definedName>
    <definedName name="_6C_9">[17]연돌일위집계!#REF!</definedName>
    <definedName name="_7A_1">[17]연돌일위집계!#REF!</definedName>
    <definedName name="_7A_10">[17]연돌일위집계!#REF!</definedName>
    <definedName name="_7A_11">[17]연돌일위집계!#REF!</definedName>
    <definedName name="_7A_12">[17]연돌일위집계!#REF!</definedName>
    <definedName name="_7A_13">[17]연돌일위집계!#REF!</definedName>
    <definedName name="_7A_14">[17]연돌일위집계!#REF!</definedName>
    <definedName name="_7A_15">[17]연돌일위집계!#REF!</definedName>
    <definedName name="_7A_16">[17]연돌일위집계!#REF!</definedName>
    <definedName name="_7A_17">[17]연돌일위집계!#REF!</definedName>
    <definedName name="_7A_18">[17]연돌일위집계!#REF!</definedName>
    <definedName name="_7A_19">[17]연돌일위집계!#REF!</definedName>
    <definedName name="_7A_2">[17]연돌일위집계!#REF!</definedName>
    <definedName name="_7A_20">[17]연돌일위집계!#REF!</definedName>
    <definedName name="_7A_21">[17]연돌일위집계!#REF!</definedName>
    <definedName name="_7A_22">[17]연돌일위집계!#REF!</definedName>
    <definedName name="_7A_23">[17]연돌일위집계!#REF!</definedName>
    <definedName name="_7A_24">[17]연돌일위집계!#REF!</definedName>
    <definedName name="_7A_25">[17]연돌일위집계!#REF!</definedName>
    <definedName name="_7A_26">[17]연돌일위집계!#REF!</definedName>
    <definedName name="_7A_27">[17]연돌일위집계!#REF!</definedName>
    <definedName name="_7A_28">[17]연돌일위집계!#REF!</definedName>
    <definedName name="_7A_29">[17]연돌일위집계!#REF!</definedName>
    <definedName name="_7A_3">[17]연돌일위집계!#REF!</definedName>
    <definedName name="_7A_30">[17]연돌일위집계!#REF!</definedName>
    <definedName name="_7A_4">[17]연돌일위집계!#REF!</definedName>
    <definedName name="_7A_5">[17]연돌일위집계!#REF!</definedName>
    <definedName name="_7A_6">[17]연돌일위집계!#REF!</definedName>
    <definedName name="_7A_7">[17]연돌일위집계!#REF!</definedName>
    <definedName name="_7A_8">[17]연돌일위집계!#REF!</definedName>
    <definedName name="_7A_9">[17]연돌일위집계!#REF!</definedName>
    <definedName name="_7B_1">[17]연돌일위집계!#REF!</definedName>
    <definedName name="_7B_10">[17]연돌일위집계!#REF!</definedName>
    <definedName name="_7B_11">[17]연돌일위집계!#REF!</definedName>
    <definedName name="_7B_12">[17]연돌일위집계!#REF!</definedName>
    <definedName name="_7B_13">[17]연돌일위집계!#REF!</definedName>
    <definedName name="_7B_14">[17]연돌일위집계!#REF!</definedName>
    <definedName name="_7B_15">[17]연돌일위집계!#REF!</definedName>
    <definedName name="_7B_16">[17]연돌일위집계!#REF!</definedName>
    <definedName name="_7B_17">[17]연돌일위집계!#REF!</definedName>
    <definedName name="_7B_18">[17]연돌일위집계!#REF!</definedName>
    <definedName name="_7B_19">[17]연돌일위집계!#REF!</definedName>
    <definedName name="_7B_2">[17]연돌일위집계!#REF!</definedName>
    <definedName name="_7B_20">[17]연돌일위집계!#REF!</definedName>
    <definedName name="_7B_21">[17]연돌일위집계!#REF!</definedName>
    <definedName name="_7B_22">[17]연돌일위집계!#REF!</definedName>
    <definedName name="_7B_23">[17]연돌일위집계!#REF!</definedName>
    <definedName name="_7B_24">[17]연돌일위집계!#REF!</definedName>
    <definedName name="_7B_25">[17]연돌일위집계!#REF!</definedName>
    <definedName name="_7B_26">[17]연돌일위집계!#REF!</definedName>
    <definedName name="_7B_27">[17]연돌일위집계!#REF!</definedName>
    <definedName name="_7B_28">[17]연돌일위집계!#REF!</definedName>
    <definedName name="_7B_29">[17]연돌일위집계!#REF!</definedName>
    <definedName name="_7B_3">[17]연돌일위집계!#REF!</definedName>
    <definedName name="_7B_30">[17]연돌일위집계!#REF!</definedName>
    <definedName name="_7B_4">[17]연돌일위집계!#REF!</definedName>
    <definedName name="_7B_5">[17]연돌일위집계!#REF!</definedName>
    <definedName name="_7B_6">[17]연돌일위집계!#REF!</definedName>
    <definedName name="_7B_7">[17]연돌일위집계!#REF!</definedName>
    <definedName name="_7B_8">[17]연돌일위집계!#REF!</definedName>
    <definedName name="_7B_9">[17]연돌일위집계!#REF!</definedName>
    <definedName name="_7C_1">[17]연돌일위집계!#REF!</definedName>
    <definedName name="_7C_10">[17]연돌일위집계!#REF!</definedName>
    <definedName name="_7C_11">[17]연돌일위집계!#REF!</definedName>
    <definedName name="_7C_12">[17]연돌일위집계!#REF!</definedName>
    <definedName name="_7C_13">[17]연돌일위집계!#REF!</definedName>
    <definedName name="_7C_14">[17]연돌일위집계!#REF!</definedName>
    <definedName name="_7C_15">[17]연돌일위집계!#REF!</definedName>
    <definedName name="_7C_16">[17]연돌일위집계!#REF!</definedName>
    <definedName name="_7C_17">[17]연돌일위집계!#REF!</definedName>
    <definedName name="_7C_18">[17]연돌일위집계!#REF!</definedName>
    <definedName name="_7C_19">[17]연돌일위집계!#REF!</definedName>
    <definedName name="_7C_2">[17]연돌일위집계!#REF!</definedName>
    <definedName name="_7C_20">[17]연돌일위집계!#REF!</definedName>
    <definedName name="_7C_21">[17]연돌일위집계!#REF!</definedName>
    <definedName name="_7C_22">[17]연돌일위집계!#REF!</definedName>
    <definedName name="_7C_23">[17]연돌일위집계!#REF!</definedName>
    <definedName name="_7C_24">[17]연돌일위집계!#REF!</definedName>
    <definedName name="_7C_25">[17]연돌일위집계!#REF!</definedName>
    <definedName name="_7C_26">[17]연돌일위집계!#REF!</definedName>
    <definedName name="_7C_27">[17]연돌일위집계!#REF!</definedName>
    <definedName name="_7C_28">[17]연돌일위집계!#REF!</definedName>
    <definedName name="_7C_29">[17]연돌일위집계!#REF!</definedName>
    <definedName name="_7C_3">[17]연돌일위집계!#REF!</definedName>
    <definedName name="_7C_30">[17]연돌일위집계!#REF!</definedName>
    <definedName name="_7C_4">[17]연돌일위집계!#REF!</definedName>
    <definedName name="_7C_5">[17]연돌일위집계!#REF!</definedName>
    <definedName name="_7C_6">[17]연돌일위집계!#REF!</definedName>
    <definedName name="_7C_7">[17]연돌일위집계!#REF!</definedName>
    <definedName name="_7C_8">[17]연돌일위집계!#REF!</definedName>
    <definedName name="_7C_9">[17]연돌일위집계!#REF!</definedName>
    <definedName name="_80Section_Code_.BtnCancel_Click">[18]!'[Section Code].BtnCancel_Click'</definedName>
    <definedName name="_8A_1">[17]연돌일위집계!#REF!</definedName>
    <definedName name="_8A_10">[17]연돌일위집계!#REF!</definedName>
    <definedName name="_8A_11">[17]연돌일위집계!#REF!</definedName>
    <definedName name="_8A_12">[17]연돌일위집계!#REF!</definedName>
    <definedName name="_8A_13">[17]연돌일위집계!#REF!</definedName>
    <definedName name="_8A_14">[17]연돌일위집계!#REF!</definedName>
    <definedName name="_8A_15">[17]연돌일위집계!#REF!</definedName>
    <definedName name="_8A_16">[17]연돌일위집계!#REF!</definedName>
    <definedName name="_8A_17">[17]연돌일위집계!#REF!</definedName>
    <definedName name="_8A_18">[17]연돌일위집계!#REF!</definedName>
    <definedName name="_8A_19">[17]연돌일위집계!#REF!</definedName>
    <definedName name="_8A_2">[17]연돌일위집계!#REF!</definedName>
    <definedName name="_8A_20">[17]연돌일위집계!#REF!</definedName>
    <definedName name="_8A_21">[17]연돌일위집계!#REF!</definedName>
    <definedName name="_8A_22">[17]연돌일위집계!#REF!</definedName>
    <definedName name="_8A_23">[17]연돌일위집계!#REF!</definedName>
    <definedName name="_8A_24">[17]연돌일위집계!#REF!</definedName>
    <definedName name="_8A_25">[17]연돌일위집계!#REF!</definedName>
    <definedName name="_8A_26">[17]연돌일위집계!#REF!</definedName>
    <definedName name="_8A_27">[17]연돌일위집계!#REF!</definedName>
    <definedName name="_8A_28">[17]연돌일위집계!#REF!</definedName>
    <definedName name="_8A_29">[17]연돌일위집계!#REF!</definedName>
    <definedName name="_8A_3">[17]연돌일위집계!#REF!</definedName>
    <definedName name="_8A_30">[17]연돌일위집계!#REF!</definedName>
    <definedName name="_8A_4">[17]연돌일위집계!#REF!</definedName>
    <definedName name="_8A_5">[17]연돌일위집계!#REF!</definedName>
    <definedName name="_8A_6">[17]연돌일위집계!#REF!</definedName>
    <definedName name="_8A_7">[17]연돌일위집계!#REF!</definedName>
    <definedName name="_8A_8">[17]연돌일위집계!#REF!</definedName>
    <definedName name="_8A_9">[17]연돌일위집계!#REF!</definedName>
    <definedName name="_8B_1">[17]연돌일위집계!#REF!</definedName>
    <definedName name="_8B_10">[17]연돌일위집계!#REF!</definedName>
    <definedName name="_8B_11">[17]연돌일위집계!#REF!</definedName>
    <definedName name="_8B_12">[17]연돌일위집계!#REF!</definedName>
    <definedName name="_8B_13">[17]연돌일위집계!#REF!</definedName>
    <definedName name="_8B_14">[17]연돌일위집계!#REF!</definedName>
    <definedName name="_8B_15">[17]연돌일위집계!#REF!</definedName>
    <definedName name="_8B_16">[17]연돌일위집계!#REF!</definedName>
    <definedName name="_8B_17">[17]연돌일위집계!#REF!</definedName>
    <definedName name="_8B_18">[17]연돌일위집계!#REF!</definedName>
    <definedName name="_8B_19">[17]연돌일위집계!#REF!</definedName>
    <definedName name="_8B_2">[17]연돌일위집계!#REF!</definedName>
    <definedName name="_8B_20">[17]연돌일위집계!#REF!</definedName>
    <definedName name="_8B_21">[17]연돌일위집계!#REF!</definedName>
    <definedName name="_8B_22">[17]연돌일위집계!#REF!</definedName>
    <definedName name="_8B_23">[17]연돌일위집계!#REF!</definedName>
    <definedName name="_8B_24">[17]연돌일위집계!#REF!</definedName>
    <definedName name="_8B_25">[17]연돌일위집계!#REF!</definedName>
    <definedName name="_8B_26">[17]연돌일위집계!#REF!</definedName>
    <definedName name="_8B_27">[17]연돌일위집계!#REF!</definedName>
    <definedName name="_8B_28">[17]연돌일위집계!#REF!</definedName>
    <definedName name="_8B_29">[17]연돌일위집계!#REF!</definedName>
    <definedName name="_8B_3">[17]연돌일위집계!#REF!</definedName>
    <definedName name="_8B_30">[17]연돌일위집계!#REF!</definedName>
    <definedName name="_8B_4">[17]연돌일위집계!#REF!</definedName>
    <definedName name="_8B_5">[17]연돌일위집계!#REF!</definedName>
    <definedName name="_8B_6">[17]연돌일위집계!#REF!</definedName>
    <definedName name="_8B_7">[17]연돌일위집계!#REF!</definedName>
    <definedName name="_8B_8">[17]연돌일위집계!#REF!</definedName>
    <definedName name="_8B_9">[17]연돌일위집계!#REF!</definedName>
    <definedName name="_8C_1">[17]연돌일위집계!#REF!</definedName>
    <definedName name="_8C_10">[17]연돌일위집계!#REF!</definedName>
    <definedName name="_8C_11">[17]연돌일위집계!#REF!</definedName>
    <definedName name="_8C_12">[17]연돌일위집계!#REF!</definedName>
    <definedName name="_8C_13">[17]연돌일위집계!#REF!</definedName>
    <definedName name="_8C_14">[17]연돌일위집계!#REF!</definedName>
    <definedName name="_8C_15">[17]연돌일위집계!#REF!</definedName>
    <definedName name="_8C_16">[17]연돌일위집계!#REF!</definedName>
    <definedName name="_8C_17">[17]연돌일위집계!#REF!</definedName>
    <definedName name="_8C_18">[17]연돌일위집계!#REF!</definedName>
    <definedName name="_8C_19">[17]연돌일위집계!#REF!</definedName>
    <definedName name="_8C_2">[17]연돌일위집계!#REF!</definedName>
    <definedName name="_8C_20">[17]연돌일위집계!#REF!</definedName>
    <definedName name="_8C_21">[17]연돌일위집계!#REF!</definedName>
    <definedName name="_8C_22">[17]연돌일위집계!#REF!</definedName>
    <definedName name="_8C_23">[17]연돌일위집계!#REF!</definedName>
    <definedName name="_8C_24">[17]연돌일위집계!#REF!</definedName>
    <definedName name="_8C_25">[17]연돌일위집계!#REF!</definedName>
    <definedName name="_8C_26">[17]연돌일위집계!#REF!</definedName>
    <definedName name="_8C_27">[17]연돌일위집계!#REF!</definedName>
    <definedName name="_8C_28">[17]연돌일위집계!#REF!</definedName>
    <definedName name="_8C_29">[17]연돌일위집계!#REF!</definedName>
    <definedName name="_8C_3">[17]연돌일위집계!#REF!</definedName>
    <definedName name="_8C_30">[17]연돌일위집계!#REF!</definedName>
    <definedName name="_8C_4">[17]연돌일위집계!#REF!</definedName>
    <definedName name="_8C_5">[17]연돌일위집계!#REF!</definedName>
    <definedName name="_8C_6">[17]연돌일위집계!#REF!</definedName>
    <definedName name="_8C_7">[17]연돌일위집계!#REF!</definedName>
    <definedName name="_8C_8">[17]연돌일위집계!#REF!</definedName>
    <definedName name="_8C_9">[17]연돌일위집계!#REF!</definedName>
    <definedName name="_96Section_Code_.BtnOK_Click">[18]!'[Section Code].BtnOK_Click'</definedName>
    <definedName name="_9A_1">[17]연돌일위집계!#REF!</definedName>
    <definedName name="_9A_10">[17]연돌일위집계!#REF!</definedName>
    <definedName name="_9A_11">[17]연돌일위집계!#REF!</definedName>
    <definedName name="_9A_12">[17]연돌일위집계!#REF!</definedName>
    <definedName name="_9A_13">[17]연돌일위집계!#REF!</definedName>
    <definedName name="_9A_14">[17]연돌일위집계!#REF!</definedName>
    <definedName name="_9A_15">[17]연돌일위집계!#REF!</definedName>
    <definedName name="_9A_16">[17]연돌일위집계!#REF!</definedName>
    <definedName name="_9A_17">[17]연돌일위집계!#REF!</definedName>
    <definedName name="_9A_18">[17]연돌일위집계!#REF!</definedName>
    <definedName name="_9A_19">[17]연돌일위집계!#REF!</definedName>
    <definedName name="_9A_2">[17]연돌일위집계!#REF!</definedName>
    <definedName name="_9A_20">[17]연돌일위집계!#REF!</definedName>
    <definedName name="_9A_21">[17]연돌일위집계!#REF!</definedName>
    <definedName name="_9A_22">[17]연돌일위집계!#REF!</definedName>
    <definedName name="_9A_23">[17]연돌일위집계!#REF!</definedName>
    <definedName name="_9A_24">[17]연돌일위집계!#REF!</definedName>
    <definedName name="_9A_25">[17]연돌일위집계!#REF!</definedName>
    <definedName name="_9A_26">[17]연돌일위집계!#REF!</definedName>
    <definedName name="_9A_27">[17]연돌일위집계!#REF!</definedName>
    <definedName name="_9A_28">[17]연돌일위집계!#REF!</definedName>
    <definedName name="_9A_29">[17]연돌일위집계!#REF!</definedName>
    <definedName name="_9A_3">[17]연돌일위집계!#REF!</definedName>
    <definedName name="_9A_30">[17]연돌일위집계!#REF!</definedName>
    <definedName name="_9A_4">[17]연돌일위집계!#REF!</definedName>
    <definedName name="_9A_5">[17]연돌일위집계!#REF!</definedName>
    <definedName name="_9A_6">[17]연돌일위집계!#REF!</definedName>
    <definedName name="_9A_7">[17]연돌일위집계!#REF!</definedName>
    <definedName name="_9A_8">[17]연돌일위집계!#REF!</definedName>
    <definedName name="_9A_9">[17]연돌일위집계!#REF!</definedName>
    <definedName name="_9B_1">[17]연돌일위집계!#REF!</definedName>
    <definedName name="_9B_10">[17]연돌일위집계!#REF!</definedName>
    <definedName name="_9B_11">[17]연돌일위집계!#REF!</definedName>
    <definedName name="_9B_12">[17]연돌일위집계!#REF!</definedName>
    <definedName name="_9B_13">[17]연돌일위집계!#REF!</definedName>
    <definedName name="_9B_14">[17]연돌일위집계!#REF!</definedName>
    <definedName name="_9B_15">[17]연돌일위집계!#REF!</definedName>
    <definedName name="_9B_16">[17]연돌일위집계!#REF!</definedName>
    <definedName name="_9B_17">[17]연돌일위집계!#REF!</definedName>
    <definedName name="_9B_18">[17]연돌일위집계!#REF!</definedName>
    <definedName name="_9B_19">[17]연돌일위집계!#REF!</definedName>
    <definedName name="_9B_2">[17]연돌일위집계!#REF!</definedName>
    <definedName name="_9B_20">[17]연돌일위집계!#REF!</definedName>
    <definedName name="_9B_21">[17]연돌일위집계!#REF!</definedName>
    <definedName name="_9B_22">[17]연돌일위집계!#REF!</definedName>
    <definedName name="_9B_23">[17]연돌일위집계!#REF!</definedName>
    <definedName name="_9B_24">[17]연돌일위집계!#REF!</definedName>
    <definedName name="_9B_25">[17]연돌일위집계!#REF!</definedName>
    <definedName name="_9B_26">[17]연돌일위집계!#REF!</definedName>
    <definedName name="_9B_27">[17]연돌일위집계!#REF!</definedName>
    <definedName name="_9B_28">[17]연돌일위집계!#REF!</definedName>
    <definedName name="_9B_29">[17]연돌일위집계!#REF!</definedName>
    <definedName name="_9B_3">[17]연돌일위집계!#REF!</definedName>
    <definedName name="_9B_30">[17]연돌일위집계!#REF!</definedName>
    <definedName name="_9B_4">[17]연돌일위집계!#REF!</definedName>
    <definedName name="_9B_5">[17]연돌일위집계!#REF!</definedName>
    <definedName name="_9B_6">[17]연돌일위집계!#REF!</definedName>
    <definedName name="_9B_7">[17]연돌일위집계!#REF!</definedName>
    <definedName name="_9B_8">[17]연돌일위집계!#REF!</definedName>
    <definedName name="_9B_9">[17]연돌일위집계!#REF!</definedName>
    <definedName name="_9C_1">[17]연돌일위집계!#REF!</definedName>
    <definedName name="_9C_10">[17]연돌일위집계!#REF!</definedName>
    <definedName name="_9C_11">[17]연돌일위집계!#REF!</definedName>
    <definedName name="_9C_12">[17]연돌일위집계!#REF!</definedName>
    <definedName name="_9C_13">[17]연돌일위집계!#REF!</definedName>
    <definedName name="_9C_14">[17]연돌일위집계!#REF!</definedName>
    <definedName name="_9C_15">[17]연돌일위집계!#REF!</definedName>
    <definedName name="_9C_16">[17]연돌일위집계!#REF!</definedName>
    <definedName name="_9C_17">[17]연돌일위집계!#REF!</definedName>
    <definedName name="_9C_18">[17]연돌일위집계!#REF!</definedName>
    <definedName name="_9C_19">[17]연돌일위집계!#REF!</definedName>
    <definedName name="_9C_2">[17]연돌일위집계!#REF!</definedName>
    <definedName name="_9C_20">[17]연돌일위집계!#REF!</definedName>
    <definedName name="_9C_21">[17]연돌일위집계!#REF!</definedName>
    <definedName name="_9C_22">[17]연돌일위집계!#REF!</definedName>
    <definedName name="_9C_23">[17]연돌일위집계!#REF!</definedName>
    <definedName name="_9C_24">[17]연돌일위집계!#REF!</definedName>
    <definedName name="_9C_25">[17]연돌일위집계!#REF!</definedName>
    <definedName name="_9C_26">[17]연돌일위집계!#REF!</definedName>
    <definedName name="_9C_27">[17]연돌일위집계!#REF!</definedName>
    <definedName name="_9C_28">[17]연돌일위집계!#REF!</definedName>
    <definedName name="_9C_29">[17]연돌일위집계!#REF!</definedName>
    <definedName name="_9C_3">[17]연돌일위집계!#REF!</definedName>
    <definedName name="_9C_30">[17]연돌일위집계!#REF!</definedName>
    <definedName name="_9C_4">[17]연돌일위집계!#REF!</definedName>
    <definedName name="_9C_5">[17]연돌일위집계!#REF!</definedName>
    <definedName name="_9C_6">[17]연돌일위집계!#REF!</definedName>
    <definedName name="_9C_7">[17]연돌일위집계!#REF!</definedName>
    <definedName name="_9C_8">[17]연돌일위집계!#REF!</definedName>
    <definedName name="_9C_9">[17]연돌일위집계!#REF!</definedName>
    <definedName name="_A1" localSheetId="0" hidden="1">{#N/A,#N/A,TRUE,"Basic";#N/A,#N/A,TRUE,"EXT-TABLE";#N/A,#N/A,TRUE,"STEEL";#N/A,#N/A,TRUE,"INT-Table";#N/A,#N/A,TRUE,"STEEL";#N/A,#N/A,TRUE,"Door"}</definedName>
    <definedName name="_A1" hidden="1">{#N/A,#N/A,TRUE,"Basic";#N/A,#N/A,TRUE,"EXT-TABLE";#N/A,#N/A,TRUE,"STEEL";#N/A,#N/A,TRUE,"INT-Table";#N/A,#N/A,TRUE,"STEEL";#N/A,#N/A,TRUE,"Door"}</definedName>
    <definedName name="_A66" localSheetId="0">[9]!_KT66</definedName>
    <definedName name="_A66">#N/A</definedName>
    <definedName name="_ac4" localSheetId="0">[9]!ClearSheet</definedName>
    <definedName name="_ac4">#N/A</definedName>
    <definedName name="_add">#REF!</definedName>
    <definedName name="_B1">#REF!</definedName>
    <definedName name="_BBJ3" localSheetId="0">'[6]95삼성급(본사)'!#REF!</definedName>
    <definedName name="_BBJ3">'[7]95삼성급(본사)'!#REF!</definedName>
    <definedName name="_BCJ3" localSheetId="0">'[6]95삼성급(본사)'!#REF!</definedName>
    <definedName name="_BCJ3">'[7]95삼성급(본사)'!#REF!</definedName>
    <definedName name="_BDR3" localSheetId="0">'[6]95삼성급(본사)'!#REF!</definedName>
    <definedName name="_BDR3">'[7]95삼성급(본사)'!#REF!</definedName>
    <definedName name="_BGJ3" localSheetId="0">'[6]95삼성급(본사)'!#REF!</definedName>
    <definedName name="_BGJ3">'[7]95삼성급(본사)'!#REF!</definedName>
    <definedName name="_BPbu">#REF!</definedName>
    <definedName name="_BPconst">#REF!</definedName>
    <definedName name="_clientloc">#REF!</definedName>
    <definedName name="_clientname">#REF!</definedName>
    <definedName name="_clientnumber">#REF!</definedName>
    <definedName name="_compfact">#REF!</definedName>
    <definedName name="_cpcvgas">#REF!</definedName>
    <definedName name="_D12">#REF!</definedName>
    <definedName name="_datasheet">#REF!</definedName>
    <definedName name="_doc_name" localSheetId="0">#REF!</definedName>
    <definedName name="_doc_name">#REF!</definedName>
    <definedName name="_END1">'[10]개시대사 (2)'!$G$49</definedName>
    <definedName name="_Fill" localSheetId="0" hidden="1">#REF!</definedName>
    <definedName name="_Fill" hidden="1">#REF!</definedName>
    <definedName name="_xlnm._FilterDatabase" localSheetId="1" hidden="1">Cable!$A$5:$AN$197</definedName>
    <definedName name="_xlnm._FilterDatabase" localSheetId="4" hidden="1">'Cable Gland'!$A$5:$AV$80</definedName>
    <definedName name="_xlnm._FilterDatabase" localSheetId="2" hidden="1">'Cable Tray'!$A$5:$BF$181</definedName>
    <definedName name="_xlnm._FilterDatabase" localSheetId="3" hidden="1">Conduit!$A$5:$AW$76</definedName>
    <definedName name="_xlnm._FilterDatabase" localSheetId="5" hidden="1">Support!$A$5:$AJ$151</definedName>
    <definedName name="_xlnm._FilterDatabase" localSheetId="6" hidden="1">'Telecom &amp; Security System'!$A$5:$AW$287</definedName>
    <definedName name="_FLL2" hidden="1">#REF!</definedName>
    <definedName name="_Fluidcon">#REF!</definedName>
    <definedName name="_Fluidgas">#REF!</definedName>
    <definedName name="_Fluidliq">#REF!</definedName>
    <definedName name="_ipsv">#REF!</definedName>
    <definedName name="_Key1" localSheetId="0" hidden="1">#REF!</definedName>
    <definedName name="_Key1" hidden="1">#REF!</definedName>
    <definedName name="_Key2" localSheetId="0" hidden="1">#REF!</definedName>
    <definedName name="_Key2" hidden="1">#REF!</definedName>
    <definedName name="_KT66" localSheetId="0">#N/A</definedName>
    <definedName name="_KT66">#N/A</definedName>
    <definedName name="_lhcon">#REF!</definedName>
    <definedName name="_lhliq">#REF!</definedName>
    <definedName name="_ltag">#REF!</definedName>
    <definedName name="_manufact">#REF!</definedName>
    <definedName name="_manufactr" localSheetId="0">#REF!</definedName>
    <definedName name="_manufactr">#REF!</definedName>
    <definedName name="_model" localSheetId="0">#REF!</definedName>
    <definedName name="_model">#REF!</definedName>
    <definedName name="_MWgas">#REF!</definedName>
    <definedName name="_NO11">#REF!</definedName>
    <definedName name="_NO13">#REF!</definedName>
    <definedName name="_NO17">#REF!</definedName>
    <definedName name="_NO21">#REF!</definedName>
    <definedName name="_NO26">#REF!</definedName>
    <definedName name="_NO32">#REF!</definedName>
    <definedName name="_NO39">#REF!</definedName>
    <definedName name="_NO49">#REF!</definedName>
    <definedName name="_NO61">#REF!</definedName>
    <definedName name="_NO7">#REF!</definedName>
    <definedName name="_NO74">#REF!</definedName>
    <definedName name="_NO9">#REF!</definedName>
    <definedName name="_NO92">#REF!</definedName>
    <definedName name="_of_sheet" localSheetId="0">#REF!</definedName>
    <definedName name="_of_sheet">#REF!</definedName>
    <definedName name="_Order1" hidden="1">255</definedName>
    <definedName name="_Order2" hidden="1">255</definedName>
    <definedName name="_p_order" localSheetId="0">#REF!</definedName>
    <definedName name="_p_order">#REF!</definedName>
    <definedName name="_Parse_Out" localSheetId="0" hidden="1">#REF!</definedName>
    <definedName name="_Parse_Out" hidden="1">#REF!</definedName>
    <definedName name="_pid_no" localSheetId="0">#REF!</definedName>
    <definedName name="_pid_no">#REF!</definedName>
    <definedName name="_plc1">[8]INSTR!$A$5:$M$208</definedName>
    <definedName name="_PRO1">#REF!</definedName>
    <definedName name="_PRO2">#REF!</definedName>
    <definedName name="_PRO3">[15]PRO_DCI!#REF!</definedName>
    <definedName name="_PRO4">#REF!</definedName>
    <definedName name="_PRO5">#REF!</definedName>
    <definedName name="_PRO6">#REF!</definedName>
    <definedName name="_PRO7">#REF!</definedName>
    <definedName name="_PRO8">#REF!</definedName>
    <definedName name="_PRO9">#REF!</definedName>
    <definedName name="_ProjectDescript" localSheetId="0">#REF!</definedName>
    <definedName name="_ProjectDescript">#REF!</definedName>
    <definedName name="_projectnumber">[24]Orbit!#REF!</definedName>
    <definedName name="_pspec">#REF!</definedName>
    <definedName name="_Qcon">#REF!</definedName>
    <definedName name="_Qgas">#REF!</definedName>
    <definedName name="_Qliq">#REF!</definedName>
    <definedName name="_req_no" localSheetId="0">#REF!</definedName>
    <definedName name="_req_no">#REF!</definedName>
    <definedName name="_rev" localSheetId="0">#REF!</definedName>
    <definedName name="_rev">#REF!</definedName>
    <definedName name="_s3" localSheetId="0">'[11]h-013211-2'!$C$5</definedName>
    <definedName name="_s3">'[16]h-013211-2'!$C$5</definedName>
    <definedName name="_service" localSheetId="0">#REF!</definedName>
    <definedName name="_service">#REF!</definedName>
    <definedName name="_service_desc">#REF!</definedName>
    <definedName name="_setpoint">#REF!</definedName>
    <definedName name="_sgcon">#REF!</definedName>
    <definedName name="_sgliq">#REF!</definedName>
    <definedName name="_sheet_no" localSheetId="0">#REF!</definedName>
    <definedName name="_sheet_no">#REF!</definedName>
    <definedName name="_SHT1">'[12]L V Separator'!$A$1:$AC$65</definedName>
    <definedName name="_SHT2">'[25]L V Separator'!#REF!</definedName>
    <definedName name="_SHT3">'[25]L V Separator'!#REF!</definedName>
    <definedName name="_Sort" localSheetId="0" hidden="1">#REF!</definedName>
    <definedName name="_Sort" hidden="1">#REF!</definedName>
    <definedName name="_STM11">#REF!</definedName>
    <definedName name="_t1" localSheetId="0" hidden="1">#REF!</definedName>
    <definedName name="_t1" hidden="1">#REF!</definedName>
    <definedName name="_t2" localSheetId="0" hidden="1">#REF!</definedName>
    <definedName name="_t2" hidden="1">#REF!</definedName>
    <definedName name="_t3">#REF!</definedName>
    <definedName name="_t4">#REF!</definedName>
    <definedName name="_tag_no" localSheetId="0">#REF!</definedName>
    <definedName name="_tag_no">#REF!</definedName>
    <definedName name="_TB1">#REF!</definedName>
    <definedName name="_viscon">#REF!</definedName>
    <definedName name="_visgas">#REF!</definedName>
    <definedName name="_visliq">#REF!</definedName>
    <definedName name="¡ÆC">#N/A</definedName>
    <definedName name="´cAE°eE¹" localSheetId="0" hidden="1">#REF!</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 localSheetId="0">[26]상반기손익차2총괄!#REF!</definedName>
    <definedName name="￠´￠￢">[27]상반기손익차2총괄!#REF!</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 localSheetId="0">'[28]9-1차이내역'!#REF!</definedName>
    <definedName name="￠´I">'[26]9-1차이내역'!#REF!</definedName>
    <definedName name="￠´I￠´I￠´I">#N/A</definedName>
    <definedName name="￠￥cAE¡ÆeEⓒo" localSheetId="0" hidden="1">#REF!</definedName>
    <definedName name="￠￥cAE¡ÆeEⓒo" hidden="1">#REF!</definedName>
    <definedName name="¤¸" localSheetId="0">[29]상반기손익차2총괄!#REF!</definedName>
    <definedName name="¤¸">[30]상반기손익차2총괄!#REF!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 localSheetId="0">'[28]9-1차이내역'!#REF!</definedName>
    <definedName name="¤I">'[26]9-1차이내역'!#REF!</definedName>
    <definedName name="¤I¤I¤I">#N/A</definedName>
    <definedName name="°C">#N/A</definedName>
    <definedName name="¹eºI³≫¿ª" localSheetId="0">[31]주관사업!#REF!</definedName>
    <definedName name="¹eºI³≫¿ª">[4]주관사업!#REF!</definedName>
    <definedName name="a" localSheetId="0">#REF!</definedName>
    <definedName name="a">#REF!</definedName>
    <definedName name="a_dash" localSheetId="0">#REF!</definedName>
    <definedName name="a_dash">#REF!</definedName>
    <definedName name="A¡þ_¡¤ⓒo_AO">#N/A</definedName>
    <definedName name="A￢_·¹_AO">#N/A</definedName>
    <definedName name="A0">#REF!</definedName>
    <definedName name="A3_" localSheetId="0">#REF!</definedName>
    <definedName name="A3_">#REF!</definedName>
    <definedName name="A4_" localSheetId="0">#REF!</definedName>
    <definedName name="A4_">#REF!</definedName>
    <definedName name="A5_" localSheetId="0">#REF!</definedName>
    <definedName name="A5_">#REF!</definedName>
    <definedName name="A6_" localSheetId="0">#REF!</definedName>
    <definedName name="A6_">#REF!</definedName>
    <definedName name="A7_" localSheetId="0">#REF!</definedName>
    <definedName name="A7_">#REF!</definedName>
    <definedName name="AA" localSheetId="0">#REF!</definedName>
    <definedName name="aa">BlankMacro1</definedName>
    <definedName name="AAA" localSheetId="0">#REF!</definedName>
    <definedName name="AAA">#REF!</definedName>
    <definedName name="aaaa" localSheetId="0">'[32]7.6.3(B) UG Piping'!$C$5:$M$535</definedName>
    <definedName name="aaaa">'[33]7.6.3(B) UG Piping'!$C$5:$M$535</definedName>
    <definedName name="aaaaa" localSheetId="0" hidden="1">{#N/A,#N/A,TRUE,"Basic";#N/A,#N/A,TRUE,"EXT-TABLE";#N/A,#N/A,TRUE,"STEEL";#N/A,#N/A,TRUE,"INT-Table";#N/A,#N/A,TRUE,"STEEL";#N/A,#N/A,TRUE,"Door"}</definedName>
    <definedName name="aaaaa" hidden="1">{#N/A,#N/A,TRUE,"Basic";#N/A,#N/A,TRUE,"EXT-TABLE";#N/A,#N/A,TRUE,"STEEL";#N/A,#N/A,TRUE,"INT-Table";#N/A,#N/A,TRUE,"STEEL";#N/A,#N/A,TRUE,"Door"}</definedName>
    <definedName name="AAAAA1" localSheetId="0" hidden="1">{#N/A,#N/A,TRUE,"Basic";#N/A,#N/A,TRUE,"EXT-TABLE";#N/A,#N/A,TRUE,"STEEL";#N/A,#N/A,TRUE,"INT-Table";#N/A,#N/A,TRUE,"STEEL";#N/A,#N/A,TRUE,"Door"}</definedName>
    <definedName name="AAAAA1" hidden="1">{#N/A,#N/A,TRUE,"Basic";#N/A,#N/A,TRUE,"EXT-TABLE";#N/A,#N/A,TRUE,"STEEL";#N/A,#N/A,TRUE,"INT-Table";#N/A,#N/A,TRUE,"STEEL";#N/A,#N/A,TRUE,"Door"}</definedName>
    <definedName name="aaaaaaa" localSheetId="0" hidden="1">#REF!</definedName>
    <definedName name="aaaaaaa" hidden="1">#REF!</definedName>
    <definedName name="aæÐRIiÞA_Iª">#N/A</definedName>
    <definedName name="ab" localSheetId="0" hidden="1">{#N/A,#N/A,TRUE,"Basic";#N/A,#N/A,TRUE,"EXT-TABLE";#N/A,#N/A,TRUE,"STEEL";#N/A,#N/A,TRUE,"INT-Table";#N/A,#N/A,TRUE,"STEEL";#N/A,#N/A,TRUE,"Door"}</definedName>
    <definedName name="ab" hidden="1">{#N/A,#N/A,TRUE,"Basic";#N/A,#N/A,TRUE,"EXT-TABLE";#N/A,#N/A,TRUE,"STEEL";#N/A,#N/A,TRUE,"INT-Table";#N/A,#N/A,TRUE,"STEEL";#N/A,#N/A,TRUE,"Door"}</definedName>
    <definedName name="abc" localSheetId="0" hidden="1">{#N/A,#N/A,TRUE,"Basic";#N/A,#N/A,TRUE,"EXT-TABLE";#N/A,#N/A,TRUE,"STEEL";#N/A,#N/A,TRUE,"INT-Table";#N/A,#N/A,TRUE,"STEEL";#N/A,#N/A,TRUE,"Door"}</definedName>
    <definedName name="abc" hidden="1">{#N/A,#N/A,TRUE,"Basic";#N/A,#N/A,TRUE,"EXT-TABLE";#N/A,#N/A,TRUE,"STEEL";#N/A,#N/A,TRUE,"INT-Table";#N/A,#N/A,TRUE,"STEEL";#N/A,#N/A,TRUE,"Door"}</definedName>
    <definedName name="AC_3" localSheetId="0">[0]!ClearSheet</definedName>
    <definedName name="AC_3">#N/A</definedName>
    <definedName name="AC_4" localSheetId="0">[0]!ClearSheet</definedName>
    <definedName name="AC_4">#N/A</definedName>
    <definedName name="aⓒ¡¨￠RIi¨­A_I¨￡">#N/A</definedName>
    <definedName name="ACC_2" localSheetId="0">[0]!ClearSheet</definedName>
    <definedName name="ACC_2">#N/A</definedName>
    <definedName name="ACC_IMPORT">#REF!</definedName>
    <definedName name="AddBorders">#REF!</definedName>
    <definedName name="AFC" localSheetId="0">[34]data_dci!$K$8:$K$746</definedName>
    <definedName name="AFC">[35]data_dci!$K$8:$K$746</definedName>
    <definedName name="agdump" localSheetId="0">#REF!</definedName>
    <definedName name="agdump">#REF!</definedName>
    <definedName name="agedump" localSheetId="0">#REF!</definedName>
    <definedName name="agedump">#REF!</definedName>
    <definedName name="agencydump" localSheetId="0">#REF!</definedName>
    <definedName name="agencydump">#REF!</definedName>
    <definedName name="AGENCYLY" localSheetId="0">#REF!</definedName>
    <definedName name="AGENCYLY">#REF!</definedName>
    <definedName name="AGENCYPLAN" localSheetId="0">#REF!</definedName>
    <definedName name="AGENCYPLAN">#REF!</definedName>
    <definedName name="Agreement">#REF!</definedName>
    <definedName name="air">#REF!</definedName>
    <definedName name="allow">#REF!</definedName>
    <definedName name="Amend_Matl">#REF!</definedName>
    <definedName name="Amend_MD">#REF!</definedName>
    <definedName name="Amend_Total_Matl">#REF!</definedName>
    <definedName name="Amend_Total_MD">#REF!</definedName>
    <definedName name="analyzer_flg_001" localSheetId="0">#REF!</definedName>
    <definedName name="analyzer_flg_001">#REF!</definedName>
    <definedName name="anchor" localSheetId="0">#REF!</definedName>
    <definedName name="anchor">#REF!</definedName>
    <definedName name="anscount" hidden="1">1</definedName>
    <definedName name="APP" localSheetId="0">[34]data_mci!$M$8:$M$126</definedName>
    <definedName name="APP">[35]data_mci!$M$8:$M$126</definedName>
    <definedName name="APP_V" localSheetId="0">[34]data_mci!$O$8:$O$126</definedName>
    <definedName name="APP_V">[35]data_mci!$O$8:$O$126</definedName>
    <definedName name="area_id_001" localSheetId="0">#REF!</definedName>
    <definedName name="area_id_001">#REF!</definedName>
    <definedName name="area_sum" localSheetId="0">#REF!</definedName>
    <definedName name="area_sum">#REF!</definedName>
    <definedName name="Arial">#REF!</definedName>
    <definedName name="as" localSheetId="0">#REF!</definedName>
    <definedName name="as">#REF!</definedName>
    <definedName name="AS1_">#REF!</definedName>
    <definedName name="asas" localSheetId="0" hidden="1">{#N/A,#N/A,TRUE,"Basic";#N/A,#N/A,TRUE,"EXT-TABLE";#N/A,#N/A,TRUE,"STEEL";#N/A,#N/A,TRUE,"INT-Table";#N/A,#N/A,TRUE,"STEEL";#N/A,#N/A,TRUE,"Door"}</definedName>
    <definedName name="asas" hidden="1">{#N/A,#N/A,TRUE,"Basic";#N/A,#N/A,TRUE,"EXT-TABLE";#N/A,#N/A,TRUE,"STEEL";#N/A,#N/A,TRUE,"INT-Table";#N/A,#N/A,TRUE,"STEEL";#N/A,#N/A,TRUE,"Door"}</definedName>
    <definedName name="asd" localSheetId="0">#REF!</definedName>
    <definedName name="asd">#REF!</definedName>
    <definedName name="asdf">#REF!</definedName>
    <definedName name="ass" localSheetId="0">[0]!ClearSheet</definedName>
    <definedName name="ass">#N/A</definedName>
    <definedName name="Au">#N/A</definedName>
    <definedName name="b" localSheetId="0">#REF!</definedName>
    <definedName name="b">#REF!</definedName>
    <definedName name="b_dash" localSheetId="0">#REF!</definedName>
    <definedName name="b_dash">#REF!</definedName>
    <definedName name="B4S3" localSheetId="0">'[6]95삼성급(본사)'!#REF!</definedName>
    <definedName name="B4S3">'[7]95삼성급(본사)'!#REF!</definedName>
    <definedName name="B6M3" localSheetId="0">'[6]95삼성급(본사)'!#REF!</definedName>
    <definedName name="B6M3">'[7]95삼성급(본사)'!#REF!</definedName>
    <definedName name="B6S3" localSheetId="0">'[6]95삼성급(본사)'!#REF!</definedName>
    <definedName name="B6S3">'[7]95삼성급(본사)'!#REF!</definedName>
    <definedName name="B6W3" localSheetId="0">'[6]95삼성급(본사)'!#REF!</definedName>
    <definedName name="B6W3">'[7]95삼성급(본사)'!#REF!</definedName>
    <definedName name="babo" localSheetId="0">[36]VA_code!$Q$1:$R$31</definedName>
    <definedName name="babo">[37]VA_code!$Q$1:$R$31</definedName>
    <definedName name="backup_link_master_001" localSheetId="0">#REF!</definedName>
    <definedName name="backup_link_master_001">#REF!</definedName>
    <definedName name="BASE" localSheetId="0" hidden="1">{#N/A,#N/A,TRUE,"Basic";#N/A,#N/A,TRUE,"EXT-TABLE";#N/A,#N/A,TRUE,"STEEL";#N/A,#N/A,TRUE,"INT-Table";#N/A,#N/A,TRUE,"STEEL";#N/A,#N/A,TRUE,"Door"}</definedName>
    <definedName name="BASE" hidden="1">{#N/A,#N/A,TRUE,"Basic";#N/A,#N/A,TRUE,"EXT-TABLE";#N/A,#N/A,TRUE,"STEEL";#N/A,#N/A,TRUE,"INT-Table";#N/A,#N/A,TRUE,"STEEL";#N/A,#N/A,TRUE,"Door"}</definedName>
    <definedName name="Base_MATL">#REF!</definedName>
    <definedName name="Base_MD">#REF!</definedName>
    <definedName name="Base_Total_Matl">#REF!</definedName>
    <definedName name="Base_Total_MD">#REF!</definedName>
    <definedName name="basetrav">#REF!</definedName>
    <definedName name="BAT" localSheetId="0">#REF!</definedName>
    <definedName name="BAT">#REF!</definedName>
    <definedName name="BB">#N/A</definedName>
    <definedName name="BBB" localSheetId="0">#REF!</definedName>
    <definedName name="BBB">#REF!</definedName>
    <definedName name="bcd" localSheetId="0" hidden="1">{#N/A,#N/A,TRUE,"Basic";#N/A,#N/A,TRUE,"EXT-TABLE";#N/A,#N/A,TRUE,"STEEL";#N/A,#N/A,TRUE,"INT-Table";#N/A,#N/A,TRUE,"STEEL";#N/A,#N/A,TRUE,"Door"}</definedName>
    <definedName name="bcd" hidden="1">{#N/A,#N/A,TRUE,"Basic";#N/A,#N/A,TRUE,"EXT-TABLE";#N/A,#N/A,TRUE,"STEEL";#N/A,#N/A,TRUE,"INT-Table";#N/A,#N/A,TRUE,"STEEL";#N/A,#N/A,TRUE,"Door"}</definedName>
    <definedName name="bcrclcl100rt" localSheetId="0">'[38]9-1차이내역'!#REF!</definedName>
    <definedName name="bcrclcl100rt">'[39]9-1차이내역'!#REF!</definedName>
    <definedName name="bcrclcl100rtrkrk" localSheetId="0">'[38]9-1차이내역'!#REF!</definedName>
    <definedName name="bcrclcl100rtrkrk">'[39]9-1차이내역'!#REF!</definedName>
    <definedName name="BD1M" localSheetId="0">#REF!</definedName>
    <definedName name="BD1M">#REF!</definedName>
    <definedName name="BD1Y" localSheetId="0">#REF!</definedName>
    <definedName name="BD1Y">#REF!</definedName>
    <definedName name="BD3M" localSheetId="0">#REF!</definedName>
    <definedName name="BD3M">#REF!</definedName>
    <definedName name="BD3Y" localSheetId="0">#REF!</definedName>
    <definedName name="BD3Y">#REF!</definedName>
    <definedName name="Bechtel">#REF!</definedName>
    <definedName name="BELL" localSheetId="0" hidden="1">{#N/A,#N/A,TRUE,"Basic";#N/A,#N/A,TRUE,"EXT-TABLE";#N/A,#N/A,TRUE,"STEEL";#N/A,#N/A,TRUE,"INT-Table";#N/A,#N/A,TRUE,"STEEL";#N/A,#N/A,TRUE,"Door"}</definedName>
    <definedName name="BELL" hidden="1">{#N/A,#N/A,TRUE,"Basic";#N/A,#N/A,TRUE,"EXT-TABLE";#N/A,#N/A,TRUE,"STEEL";#N/A,#N/A,TRUE,"INT-Table";#N/A,#N/A,TRUE,"STEEL";#N/A,#N/A,TRUE,"Door"}</definedName>
    <definedName name="beta" localSheetId="0">#REF!</definedName>
    <definedName name="beta">#REF!</definedName>
    <definedName name="Bfill">#REF!</definedName>
    <definedName name="BJ1M" localSheetId="0">#REF!</definedName>
    <definedName name="BJ1M">#REF!</definedName>
    <definedName name="BJ1Y" localSheetId="0">#REF!</definedName>
    <definedName name="BJ1Y">#REF!</definedName>
    <definedName name="BJ3M" localSheetId="0">#REF!</definedName>
    <definedName name="BJ3M">#REF!</definedName>
    <definedName name="BJ3Y" localSheetId="0">#REF!</definedName>
    <definedName name="BJ3Y">#REF!</definedName>
    <definedName name="BKW">#REF!</definedName>
    <definedName name="bldg1" localSheetId="0">[40]BLDG_DCI!$G$10:$G$121</definedName>
    <definedName name="bldg1">[41]BLDG_DCI!$G$10:$G$121</definedName>
    <definedName name="BLDG1_MCI" localSheetId="0">[40]BLDG_MCI!$E$8:$E$13</definedName>
    <definedName name="BLDG1_MCI">[41]BLDG_MCI!$E$8:$E$13</definedName>
    <definedName name="bldg2" localSheetId="0">[40]BLDG_DCI!$H$10:$H$121</definedName>
    <definedName name="bldg2">[41]BLDG_DCI!$H$10:$H$121</definedName>
    <definedName name="BLDG2_MCI" localSheetId="0">[40]BLDG_MCI!$F$8:$F$13</definedName>
    <definedName name="BLDG2_MCI">[41]BLDG_MCI!$F$8:$F$13</definedName>
    <definedName name="bldg3" localSheetId="0">[40]BLDG_DCI!$I$10:$I$121</definedName>
    <definedName name="bldg3">[41]BLDG_DCI!$I$10:$I$121</definedName>
    <definedName name="BLDG3_MCI" localSheetId="0">[40]BLDG_MCI!$G$8:$G$13</definedName>
    <definedName name="BLDG3_MCI">[41]BLDG_MCI!$G$8:$G$13</definedName>
    <definedName name="bldg4" localSheetId="0">[40]BLDG_DCI!$J$10:$J$121</definedName>
    <definedName name="bldg4">[41]BLDG_DCI!$J$10:$J$121</definedName>
    <definedName name="BLDG4_MCI" localSheetId="0">[40]BLDG_MCI!$H$8:$H$139</definedName>
    <definedName name="BLDG4_MCI">[41]BLDG_MCI!$H$8:$H$139</definedName>
    <definedName name="bldg5" localSheetId="0">[40]BLDG_DCI!$K$10:$K$121</definedName>
    <definedName name="bldg5">[41]BLDG_DCI!$K$10:$K$121</definedName>
    <definedName name="BLDG5_MCI" localSheetId="0">[40]BLDG_MCI!$I$8:$I$13</definedName>
    <definedName name="BLDG5_MCI">[41]BLDG_MCI!$I$8:$I$13</definedName>
    <definedName name="bldg6" localSheetId="0">[40]BLDG_DCI!$L$10:$L$121</definedName>
    <definedName name="bldg6">[41]BLDG_DCI!$L$10:$L$121</definedName>
    <definedName name="BLDG6_MCI" localSheetId="0">[40]BLDG_MCI!$J$8:$J$13</definedName>
    <definedName name="BLDG6_MCI">[41]BLDG_MCI!$J$8:$J$13</definedName>
    <definedName name="bldg7" localSheetId="0">[40]BLDG_DCI!$M$10:$M$121</definedName>
    <definedName name="bldg7">[41]BLDG_DCI!$M$10:$M$121</definedName>
    <definedName name="BLDG7_MCI" localSheetId="0">[40]BLDG_MCI!$K$8:$K$13</definedName>
    <definedName name="BLDG7_MCI">[41]BLDG_MCI!$K$8:$K$13</definedName>
    <definedName name="BLDG8">[41]BLDG_MCI!#REF!</definedName>
    <definedName name="BLDG9">[41]BLDG_MCI!#REF!</definedName>
    <definedName name="BM.1">#REF!</definedName>
    <definedName name="BM.AFC">#REF!</definedName>
    <definedName name="bmsum" localSheetId="0">#REF!</definedName>
    <definedName name="bmsum">#REF!</definedName>
    <definedName name="bmsum_IdentGroup" localSheetId="0">#REF!</definedName>
    <definedName name="bmsum_IdentGroup">#REF!</definedName>
    <definedName name="BOQ_SUM_area" localSheetId="0">#REF!</definedName>
    <definedName name="BOQ_SUM_area">#REF!</definedName>
    <definedName name="BP">#REF!</definedName>
    <definedName name="BQ_Area">#REF!</definedName>
    <definedName name="BSD">'[42]BSD (2)'!#REF!</definedName>
    <definedName name="BTW" localSheetId="0">#REF!</definedName>
    <definedName name="BTW">#REF!</definedName>
    <definedName name="bu" localSheetId="0">[43]PRO_A!$B$133:$B$147</definedName>
    <definedName name="bu">[44]PRO_A!$B$133:$B$147</definedName>
    <definedName name="BUDGQTY">[45]Sheet5!#REF!</definedName>
    <definedName name="Build">#REF!</definedName>
    <definedName name="BY4S3" localSheetId="0">'[6]95삼성급(본사)'!#REF!</definedName>
    <definedName name="BY4S3">'[7]95삼성급(본사)'!#REF!</definedName>
    <definedName name="BY6M3" localSheetId="0">'[6]95삼성급(본사)'!#REF!</definedName>
    <definedName name="BY6M3">'[7]95삼성급(본사)'!#REF!</definedName>
    <definedName name="BY6S3" localSheetId="0">'[6]95삼성급(본사)'!#REF!</definedName>
    <definedName name="BY6S3">'[7]95삼성급(본사)'!#REF!</definedName>
    <definedName name="BY6W3" localSheetId="0">'[6]95삼성급(본사)'!#REF!</definedName>
    <definedName name="BY6W3">'[7]95삼성급(본사)'!#REF!</definedName>
    <definedName name="BYBJ3" localSheetId="0">'[6]95삼성급(본사)'!#REF!</definedName>
    <definedName name="BYBJ3">'[7]95삼성급(본사)'!#REF!</definedName>
    <definedName name="BYCJ3" localSheetId="0">'[6]95삼성급(본사)'!#REF!</definedName>
    <definedName name="BYCJ3">'[7]95삼성급(본사)'!#REF!</definedName>
    <definedName name="BYDR3" localSheetId="0">'[6]95삼성급(본사)'!#REF!</definedName>
    <definedName name="BYDR3">'[7]95삼성급(본사)'!#REF!</definedName>
    <definedName name="BYGJ3" localSheetId="0">'[6]95삼성급(본사)'!#REF!</definedName>
    <definedName name="BYGJ3">'[7]95삼성급(본사)'!#REF!</definedName>
    <definedName name="c_bldg" localSheetId="0">[40]BLDG_DCI!$D$10:$D$121</definedName>
    <definedName name="c_bldg">[41]BLDG_DCI!$D$10:$D$121</definedName>
    <definedName name="c_elec" localSheetId="0">#REF!</definedName>
    <definedName name="c_elec">#REF!</definedName>
    <definedName name="c_inst" localSheetId="0">#REF!</definedName>
    <definedName name="c_inst">#REF!</definedName>
    <definedName name="c_margin" localSheetId="0">#REF!</definedName>
    <definedName name="c_margin">#REF!</definedName>
    <definedName name="c_mech" localSheetId="0">#REF!</definedName>
    <definedName name="c_mech">#REF!</definedName>
    <definedName name="c_pipe" localSheetId="0">#REF!</definedName>
    <definedName name="c_pipe">#REF!</definedName>
    <definedName name="c_pro" localSheetId="0">#REF!</definedName>
    <definedName name="c_pro">#REF!</definedName>
    <definedName name="C¨ª￠?UAI￠?ⓒªAⓒ￢AI" localSheetId="0">[46]주관사업!#REF!</definedName>
    <definedName name="C¨ª￠?UAI￠?ⓒªAⓒ￢AI">[47]주관사업!#REF!</definedName>
    <definedName name="CA">#N/A</definedName>
    <definedName name="calc_program_note_001" localSheetId="0">#REF!</definedName>
    <definedName name="calc_program_note_001">#REF!</definedName>
    <definedName name="calc_user_note_001" localSheetId="0">#REF!</definedName>
    <definedName name="calc_user_note_001">#REF!</definedName>
    <definedName name="CalcAgencyPrice" localSheetId="0">#REF!</definedName>
    <definedName name="CalcAgencyPrice">#REF!</definedName>
    <definedName name="calib_range_max_001" localSheetId="0">#REF!</definedName>
    <definedName name="calib_range_max_001">#REF!</definedName>
    <definedName name="calib_range_min_001" localSheetId="0">#REF!</definedName>
    <definedName name="calib_range_min_001">#REF!</definedName>
    <definedName name="calib_range_uflg_max_001" localSheetId="0">#REF!</definedName>
    <definedName name="calib_range_uflg_max_001">#REF!</definedName>
    <definedName name="calib_range_uflg_min_001" localSheetId="0">#REF!</definedName>
    <definedName name="calib_range_uflg_min_001">#REF!</definedName>
    <definedName name="calib_range_uom_max_001" localSheetId="0">#REF!</definedName>
    <definedName name="calib_range_uom_max_001">#REF!</definedName>
    <definedName name="calib_range_uom_min_001" localSheetId="0">#REF!</definedName>
    <definedName name="calib_range_uom_min_001">#REF!</definedName>
    <definedName name="capacitance_001" localSheetId="0">#REF!</definedName>
    <definedName name="capacitance_001">#REF!</definedName>
    <definedName name="capacitance_uom_001" localSheetId="0">#REF!</definedName>
    <definedName name="capacitance_uom_001">#REF!</definedName>
    <definedName name="case_id_001" localSheetId="0">#REF!</definedName>
    <definedName name="case_id_001">#REF!</definedName>
    <definedName name="CATEGORY" localSheetId="0">#REF!</definedName>
    <definedName name="CATEGORY">#REF!</definedName>
    <definedName name="CBL600V" localSheetId="0">#REF!</definedName>
    <definedName name="CBL600V">#REF!</definedName>
    <definedName name="CBL6KV" localSheetId="0">#REF!</definedName>
    <definedName name="CBL6KV">#REF!</definedName>
    <definedName name="CC">#N/A</definedName>
    <definedName name="CCC" localSheetId="0">#REF!</definedName>
    <definedName name="CCC">#REF!</definedName>
    <definedName name="CD">#REF!</definedName>
    <definedName name="cell_001" localSheetId="0">#REF!</definedName>
    <definedName name="cell_001">#REF!</definedName>
    <definedName name="CellReferencingOff">"Option Button 2"</definedName>
    <definedName name="CellReferencingOn">"Option Button 1"</definedName>
    <definedName name="CERT" localSheetId="0">[34]data_mci!$P$8:$P$126</definedName>
    <definedName name="CERT">[35]data_mci!$P$8:$P$126</definedName>
    <definedName name="CHECK" localSheetId="0">#REF!</definedName>
    <definedName name="CHECK">#REF!</definedName>
    <definedName name="chg_date_001" localSheetId="0">#REF!</definedName>
    <definedName name="chg_date_001">#REF!</definedName>
    <definedName name="chg_num_001" localSheetId="0">#REF!</definedName>
    <definedName name="chg_num_001">#REF!</definedName>
    <definedName name="chg_status_001" localSheetId="0">#REF!</definedName>
    <definedName name="chg_status_001">#REF!</definedName>
    <definedName name="chl" localSheetId="0" hidden="1">{#N/A,#N/A,TRUE,"Basic";#N/A,#N/A,TRUE,"EXT-TABLE";#N/A,#N/A,TRUE,"STEEL";#N/A,#N/A,TRUE,"INT-Table";#N/A,#N/A,TRUE,"STEEL";#N/A,#N/A,TRUE,"Door"}</definedName>
    <definedName name="chl" hidden="1">{#N/A,#N/A,TRUE,"Basic";#N/A,#N/A,TRUE,"EXT-TABLE";#N/A,#N/A,TRUE,"STEEL";#N/A,#N/A,TRUE,"INT-Table";#N/A,#N/A,TRUE,"STEEL";#N/A,#N/A,TRUE,"Door"}</definedName>
    <definedName name="CIB" localSheetId="0">#REF!</definedName>
    <definedName name="CIB">#REF!</definedName>
    <definedName name="circuit_001" localSheetId="0">#REF!</definedName>
    <definedName name="circuit_001">#REF!</definedName>
    <definedName name="circuit_id_001" localSheetId="0">#REF!</definedName>
    <definedName name="circuit_id_001">#REF!</definedName>
    <definedName name="CJ1M" localSheetId="0">#REF!</definedName>
    <definedName name="CJ1M">#REF!</definedName>
    <definedName name="CJ1Y" localSheetId="0">#REF!</definedName>
    <definedName name="CJ1Y">#REF!</definedName>
    <definedName name="CJ3M" localSheetId="0">#REF!</definedName>
    <definedName name="CJ3M">#REF!</definedName>
    <definedName name="CJ3Y" localSheetId="0">#REF!</definedName>
    <definedName name="CJ3Y">#REF!</definedName>
    <definedName name="ClearSheet" localSheetId="0">[0]!ClearSheet</definedName>
    <definedName name="ClearSheet">#N/A</definedName>
    <definedName name="ClearSheet1" localSheetId="0">Cover!ClearSheet</definedName>
    <definedName name="ClearSheet1">[0]!ClearSheet</definedName>
    <definedName name="Clearsheet2" localSheetId="0">[0]!Clearsheet2</definedName>
    <definedName name="Clearsheet2">#N/A</definedName>
    <definedName name="cli">#REF!</definedName>
    <definedName name="clss" localSheetId="0">[36]VA_code!$Q$1:$R$31</definedName>
    <definedName name="clss">[37]VA_code!$Q$1:$R$31</definedName>
    <definedName name="cmpnt_certif_id_001" localSheetId="0">#REF!</definedName>
    <definedName name="cmpnt_certif_id_001">#REF!</definedName>
    <definedName name="cmpnt_critical_id_001" localSheetId="0">#REF!</definedName>
    <definedName name="cmpnt_critical_id_001">#REF!</definedName>
    <definedName name="cmpnt_find_rem_001" localSheetId="0">#REF!</definedName>
    <definedName name="cmpnt_find_rem_001">#REF!</definedName>
    <definedName name="cmpnt_func_type_id_001" localSheetId="0">#REF!</definedName>
    <definedName name="cmpnt_func_type_id_001">#REF!</definedName>
    <definedName name="cmpnt_id_001" localSheetId="0">#REF!</definedName>
    <definedName name="cmpnt_id_001">#REF!</definedName>
    <definedName name="cmpnt_is_circuite_type_id_001" localSheetId="0">#REF!</definedName>
    <definedName name="cmpnt_is_circuite_type_id_001">#REF!</definedName>
    <definedName name="cmpnt_loc_id_001" localSheetId="0">#REF!</definedName>
    <definedName name="cmpnt_loc_id_001">#REF!</definedName>
    <definedName name="cmpnt_mfr_id_001" localSheetId="0">#REF!</definedName>
    <definedName name="cmpnt_mfr_id_001">#REF!</definedName>
    <definedName name="cmpnt_mod_id_001" localSheetId="0">#REF!</definedName>
    <definedName name="cmpnt_mod_id_001">#REF!</definedName>
    <definedName name="cmpnt_name" localSheetId="0">#REF!</definedName>
    <definedName name="cmpnt_name">#REF!</definedName>
    <definedName name="cmpnt_name_001" localSheetId="0">#REF!</definedName>
    <definedName name="cmpnt_name_001">#REF!</definedName>
    <definedName name="cmpnt_serv" localSheetId="0">#REF!</definedName>
    <definedName name="cmpnt_serv">#REF!</definedName>
    <definedName name="cmpnt_serv_001" localSheetId="0">#REF!</definedName>
    <definedName name="cmpnt_serv_001">#REF!</definedName>
    <definedName name="cmpnt_sys_io_type_id_001" localSheetId="0">#REF!</definedName>
    <definedName name="cmpnt_sys_io_type_id_001">#REF!</definedName>
    <definedName name="cmpnt_type_id_001" localSheetId="0">#REF!</definedName>
    <definedName name="cmpnt_type_id_001">#REF!</definedName>
    <definedName name="CØ¿UAI¿øAßAI" localSheetId="0">[46]주관사업!#REF!</definedName>
    <definedName name="CØ¿UAI¿øAßAI">[47]주관사업!#REF!</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l" localSheetId="0">#REF!</definedName>
    <definedName name="Coal">#REF!</definedName>
    <definedName name="coat" localSheetId="0">#REF!</definedName>
    <definedName name="coat">#REF!</definedName>
    <definedName name="Coating">#REF!</definedName>
    <definedName name="ⓒoe¨￢Iⓒø¡i￠?¨￡" localSheetId="0">[31]주관사업!#REF!</definedName>
    <definedName name="ⓒoe¨￢Iⓒø¡i￠?¨￡">[4]주관사업!#REF!</definedName>
    <definedName name="col_I" localSheetId="0">#REF!</definedName>
    <definedName name="col_I">#REF!</definedName>
    <definedName name="Cold_Insulation" localSheetId="0">#REF!</definedName>
    <definedName name="Cold_Insulation">#REF!</definedName>
    <definedName name="Commission" localSheetId="0">#REF!</definedName>
    <definedName name="Commission">#REF!</definedName>
    <definedName name="comp_pd_design_temp_uid_001" localSheetId="0">#REF!</definedName>
    <definedName name="comp_pd_design_temp_uid_001">#REF!</definedName>
    <definedName name="comp_pd_press_des_min_uid_001" localSheetId="0">#REF!</definedName>
    <definedName name="comp_pd_press_des_min_uid_001">#REF!</definedName>
    <definedName name="comp_pd_press_des_uid_001" localSheetId="0">#REF!</definedName>
    <definedName name="comp_pd_press_des_uid_001">#REF!</definedName>
    <definedName name="comp_pd_temp_uid_001" localSheetId="0">#REF!</definedName>
    <definedName name="comp_pd_temp_uid_001">#REF!</definedName>
    <definedName name="comp_press_uom_001" localSheetId="0">#REF!</definedName>
    <definedName name="comp_press_uom_001">#REF!</definedName>
    <definedName name="comp_press_uom_1_001" localSheetId="0">#REF!</definedName>
    <definedName name="comp_press_uom_1_001">#REF!</definedName>
    <definedName name="Company">#REF!</definedName>
    <definedName name="ConcatenateFrom">#REF!</definedName>
    <definedName name="ConcatenateTo">#REF!</definedName>
    <definedName name="ConCatLine">#REF!</definedName>
    <definedName name="ConCatSPPID">#REF!</definedName>
    <definedName name="CONFIT">[48]PBS!$2:$7</definedName>
    <definedName name="CONSUM">#REF!</definedName>
    <definedName name="Contract">#REF!</definedName>
    <definedName name="Contractor">#REF!</definedName>
    <definedName name="COS">#REF!</definedName>
    <definedName name="cost" localSheetId="0" hidden="1">{#N/A,#N/A,TRUE,"Basic";#N/A,#N/A,TRUE,"EXT-TABLE";#N/A,#N/A,TRUE,"STEEL";#N/A,#N/A,TRUE,"INT-Table";#N/A,#N/A,TRUE,"STEEL";#N/A,#N/A,TRUE,"Door"}</definedName>
    <definedName name="cost" hidden="1">{#N/A,#N/A,TRUE,"Basic";#N/A,#N/A,TRUE,"EXT-TABLE";#N/A,#N/A,TRUE,"STEEL";#N/A,#N/A,TRUE,"INT-Table";#N/A,#N/A,TRUE,"STEEL";#N/A,#N/A,TRUE,"Door"}</definedName>
    <definedName name="COST2" localSheetId="0" hidden="1">{#N/A,#N/A,TRUE,"Basic";#N/A,#N/A,TRUE,"EXT-TABLE";#N/A,#N/A,TRUE,"STEEL";#N/A,#N/A,TRUE,"INT-Table";#N/A,#N/A,TRUE,"STEEL";#N/A,#N/A,TRUE,"Door"}</definedName>
    <definedName name="COST2" hidden="1">{#N/A,#N/A,TRUE,"Basic";#N/A,#N/A,TRUE,"EXT-TABLE";#N/A,#N/A,TRUE,"STEEL";#N/A,#N/A,TRUE,"INT-Table";#N/A,#N/A,TRUE,"STEEL";#N/A,#N/A,TRUE,"Door"}</definedName>
    <definedName name="cover" localSheetId="0" hidden="1">#REF!</definedName>
    <definedName name="cover" hidden="1">#REF!</definedName>
    <definedName name="Cover_Type" localSheetId="0">#REF!</definedName>
    <definedName name="Cover_Type">#REF!</definedName>
    <definedName name="cover_Type2" localSheetId="0">#REF!</definedName>
    <definedName name="cover_Type2">#REF!</definedName>
    <definedName name="COVER1111" localSheetId="0" hidden="1">#REF!</definedName>
    <definedName name="COVER1111" hidden="1">#REF!</definedName>
    <definedName name="cpf" localSheetId="0" hidden="1">{#N/A,#N/A,TRUE,"Basic";#N/A,#N/A,TRUE,"EXT-TABLE";#N/A,#N/A,TRUE,"STEEL";#N/A,#N/A,TRUE,"INT-Table";#N/A,#N/A,TRUE,"STEEL";#N/A,#N/A,TRUE,"Door"}</definedName>
    <definedName name="cpf" hidden="1">{#N/A,#N/A,TRUE,"Basic";#N/A,#N/A,TRUE,"EXT-TABLE";#N/A,#N/A,TRUE,"STEEL";#N/A,#N/A,TRUE,"INT-Table";#N/A,#N/A,TRUE,"STEEL";#N/A,#N/A,TRUE,"Door"}</definedName>
    <definedName name="crush_s" localSheetId="0">#REF!</definedName>
    <definedName name="crush_s">#REF!</definedName>
    <definedName name="Currency">#REF!</definedName>
    <definedName name="Currency_Mat">#REF!</definedName>
    <definedName name="CurrentData" localSheetId="0">#REF!</definedName>
    <definedName name="CurrentData">#REF!</definedName>
    <definedName name="cut" localSheetId="0">[34]behind!$F$4</definedName>
    <definedName name="cut">[35]behind!$F$4</definedName>
    <definedName name="cutoff" localSheetId="0">[34]Main!$C$3</definedName>
    <definedName name="cutoff">[35]Main!$C$3</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ycl11" localSheetId="0">#REF!</definedName>
    <definedName name="cycl11">#REF!</definedName>
    <definedName name="cycl12" localSheetId="0">#REF!</definedName>
    <definedName name="cycl12">#REF!</definedName>
    <definedName name="D" localSheetId="0">#REF!</definedName>
    <definedName name="d">BlankMacro1</definedName>
    <definedName name="D01_">[45]Sheet5!#REF!</definedName>
    <definedName name="D02_">[45]Sheet5!#REF!</definedName>
    <definedName name="D03_">[45]Sheet5!#REF!</definedName>
    <definedName name="D04_">[45]Sheet5!#REF!</definedName>
    <definedName name="DaRWk1" localSheetId="0">#REF!</definedName>
    <definedName name="DaRWk1">#REF!</definedName>
    <definedName name="DaRWk10" localSheetId="0">#REF!</definedName>
    <definedName name="DaRWk10">#REF!</definedName>
    <definedName name="DaRWk11" localSheetId="0">#REF!</definedName>
    <definedName name="DaRWk11">#REF!</definedName>
    <definedName name="DaRWk12" localSheetId="0">#REF!</definedName>
    <definedName name="DaRWk12">#REF!</definedName>
    <definedName name="DaRWk2" localSheetId="0">#REF!</definedName>
    <definedName name="DaRWk2">#REF!</definedName>
    <definedName name="DaRWk3" localSheetId="0">#REF!</definedName>
    <definedName name="DaRWk3">#REF!</definedName>
    <definedName name="DaRWk4" localSheetId="0">#REF!</definedName>
    <definedName name="DaRWk4">#REF!</definedName>
    <definedName name="DaRWk5" localSheetId="0">#REF!</definedName>
    <definedName name="DaRWk5">#REF!</definedName>
    <definedName name="DaRWk6" localSheetId="0">#REF!</definedName>
    <definedName name="DaRWk6">#REF!</definedName>
    <definedName name="DaRWk8" localSheetId="0">#REF!</definedName>
    <definedName name="DaRWk8">#REF!</definedName>
    <definedName name="DaRwk9" localSheetId="0">#REF!</definedName>
    <definedName name="DaRwk9">#REF!</definedName>
    <definedName name="Data">#REF!</definedName>
    <definedName name="_xlnm.Database" localSheetId="0">#REF!</definedName>
    <definedName name="_xlnm.Database">#REF!</definedName>
    <definedName name="Database_MI">#REF!</definedName>
    <definedName name="database2">#REF!</definedName>
    <definedName name="DATACURRENT" localSheetId="0">#REF!</definedName>
    <definedName name="DATACURRENT">#REF!</definedName>
    <definedName name="datb">#REF!</definedName>
    <definedName name="datc">#REF!</definedName>
    <definedName name="DATE" localSheetId="0">#REF!</definedName>
    <definedName name="DATE">#REF!</definedName>
    <definedName name="DaWk7" localSheetId="0">#REF!</definedName>
    <definedName name="DaWk7">#REF!</definedName>
    <definedName name="dbrwk1" localSheetId="0">#REF!</definedName>
    <definedName name="dbrwk1">#REF!</definedName>
    <definedName name="dbrwk10" localSheetId="0">#REF!</definedName>
    <definedName name="dbrwk10">#REF!</definedName>
    <definedName name="dbrwk11" localSheetId="0">#REF!</definedName>
    <definedName name="dbrwk11">#REF!</definedName>
    <definedName name="dbrwk12" localSheetId="0">#REF!</definedName>
    <definedName name="dbrwk12">#REF!</definedName>
    <definedName name="dbrwk2" localSheetId="0">#REF!</definedName>
    <definedName name="dbrwk2">#REF!</definedName>
    <definedName name="dbrwk3" localSheetId="0">#REF!</definedName>
    <definedName name="dbrwk3">#REF!</definedName>
    <definedName name="dbrwk4" localSheetId="0">#REF!</definedName>
    <definedName name="dbrwk4">#REF!</definedName>
    <definedName name="dbrwk5" localSheetId="0">#REF!</definedName>
    <definedName name="dbrwk5">#REF!</definedName>
    <definedName name="dbrwk6" localSheetId="0">#REF!</definedName>
    <definedName name="dbrwk6">#REF!</definedName>
    <definedName name="dbrwk7" localSheetId="0">#REF!</definedName>
    <definedName name="dbrwk7">#REF!</definedName>
    <definedName name="dbrwk8" localSheetId="0">#REF!</definedName>
    <definedName name="dbrwk8">#REF!</definedName>
    <definedName name="dbrwk9" localSheetId="0">#REF!</definedName>
    <definedName name="dbrwk9">#REF!</definedName>
    <definedName name="dcrwk1" localSheetId="0">#REF!</definedName>
    <definedName name="dcrwk1">#REF!</definedName>
    <definedName name="dcrwk10" localSheetId="0">#REF!</definedName>
    <definedName name="dcrwk10">#REF!</definedName>
    <definedName name="dcrwk11" localSheetId="0">#REF!</definedName>
    <definedName name="dcrwk11">#REF!</definedName>
    <definedName name="dcrwk12" localSheetId="0">#REF!</definedName>
    <definedName name="dcrwk12">#REF!</definedName>
    <definedName name="dcrwk2" localSheetId="0">#REF!</definedName>
    <definedName name="dcrwk2">#REF!</definedName>
    <definedName name="dcrwk3" localSheetId="0">#REF!</definedName>
    <definedName name="dcrwk3">#REF!</definedName>
    <definedName name="dcrwk4" localSheetId="0">#REF!</definedName>
    <definedName name="dcrwk4">#REF!</definedName>
    <definedName name="dcrwk5" localSheetId="0">#REF!</definedName>
    <definedName name="dcrwk5">#REF!</definedName>
    <definedName name="dcrwk6" localSheetId="0">#REF!</definedName>
    <definedName name="dcrwk6">#REF!</definedName>
    <definedName name="dcrwk7" localSheetId="0">#REF!</definedName>
    <definedName name="dcrwk7">#REF!</definedName>
    <definedName name="dcrwk8" localSheetId="0">#REF!</definedName>
    <definedName name="dcrwk8">#REF!</definedName>
    <definedName name="dcrwk9" localSheetId="0">#REF!</definedName>
    <definedName name="dcrwk9">#REF!</definedName>
    <definedName name="dcs_range_max_001" localSheetId="0">#REF!</definedName>
    <definedName name="dcs_range_max_001">#REF!</definedName>
    <definedName name="dcs_range_min_001" localSheetId="0">#REF!</definedName>
    <definedName name="dcs_range_min_001">#REF!</definedName>
    <definedName name="dcs_range_uflg_001" localSheetId="0">#REF!</definedName>
    <definedName name="dcs_range_uflg_001">#REF!</definedName>
    <definedName name="dcs_range_uom_001" localSheetId="0">#REF!</definedName>
    <definedName name="dcs_range_uom_001">#REF!</definedName>
    <definedName name="dd" localSheetId="0">[49]eq_data!$C$5:$C$54</definedName>
    <definedName name="DD">'[3]97 사업추정(WEKI)'!#REF!</definedName>
    <definedName name="DDD" localSheetId="0">'[50]97 사업추정(WEKI)'!#REF!</definedName>
    <definedName name="DDD">'[51]97 사업추정(WEKI)'!#REF!</definedName>
    <definedName name="ddddd" localSheetId="0" hidden="1">{#N/A,#N/A,TRUE,"Basic";#N/A,#N/A,TRUE,"EXT-TABLE";#N/A,#N/A,TRUE,"STEEL";#N/A,#N/A,TRUE,"INT-Table";#N/A,#N/A,TRUE,"STEEL";#N/A,#N/A,TRUE,"Door"}</definedName>
    <definedName name="ddddd" hidden="1">{#N/A,#N/A,TRUE,"Basic";#N/A,#N/A,TRUE,"EXT-TABLE";#N/A,#N/A,TRUE,"STEEL";#N/A,#N/A,TRUE,"INT-Table";#N/A,#N/A,TRUE,"STEEL";#N/A,#N/A,TRUE,"Door"}</definedName>
    <definedName name="dddddddddddddd" localSheetId="0" hidden="1">{#N/A,#N/A,TRUE,"Basic";#N/A,#N/A,TRUE,"EXT-TABLE";#N/A,#N/A,TRUE,"STEEL";#N/A,#N/A,TRUE,"INT-Table";#N/A,#N/A,TRUE,"STEEL";#N/A,#N/A,TRUE,"Door"}</definedName>
    <definedName name="dddddddddddddd" hidden="1">{#N/A,#N/A,TRUE,"Basic";#N/A,#N/A,TRUE,"EXT-TABLE";#N/A,#N/A,TRUE,"STEEL";#N/A,#N/A,TRUE,"INT-Table";#N/A,#N/A,TRUE,"STEEL";#N/A,#N/A,TRUE,"Door"}</definedName>
    <definedName name="ddf" localSheetId="0">[0]!ddf</definedName>
    <definedName name="ddf">#N/A</definedName>
    <definedName name="DEC.GH">#REF!</definedName>
    <definedName name="Del_P">#REF!</definedName>
    <definedName name="DelDC" localSheetId="0">#REF!</definedName>
    <definedName name="DelDC">#REF!</definedName>
    <definedName name="DelDm" localSheetId="0">#REF!</definedName>
    <definedName name="DelDm">#REF!</definedName>
    <definedName name="DELET">#REF!</definedName>
    <definedName name="Delivery" localSheetId="0">#REF!</definedName>
    <definedName name="Delivery">#REF!</definedName>
    <definedName name="DelType" localSheetId="0">#REF!</definedName>
    <definedName name="DelType">#REF!</definedName>
    <definedName name="DelUnWantedLines">#REF!</definedName>
    <definedName name="deptLookup" localSheetId="0">#REF!</definedName>
    <definedName name="deptLookup">#REF!</definedName>
    <definedName name="DESC">#REF!</definedName>
    <definedName name="desu11" localSheetId="0">#REF!</definedName>
    <definedName name="desu11">#REF!</definedName>
    <definedName name="desu12" localSheetId="0">#REF!</definedName>
    <definedName name="desu12">#REF!</definedName>
    <definedName name="DETAIL">#N/A</definedName>
    <definedName name="DF" localSheetId="0">[22]수입!#REF!</definedName>
    <definedName name="DF">[52]수입!#REF!</definedName>
    <definedName name="DFAF">#REF!</definedName>
    <definedName name="dfe">#REF!</definedName>
    <definedName name="DG">#REF!</definedName>
    <definedName name="dgagd" localSheetId="0" hidden="1">{#N/A,#N/A,TRUE,"Basic";#N/A,#N/A,TRUE,"EXT-TABLE";#N/A,#N/A,TRUE,"STEEL";#N/A,#N/A,TRUE,"INT-Table";#N/A,#N/A,TRUE,"STEEL";#N/A,#N/A,TRUE,"Door"}</definedName>
    <definedName name="dgagd" hidden="1">{#N/A,#N/A,TRUE,"Basic";#N/A,#N/A,TRUE,"EXT-TABLE";#N/A,#N/A,TRUE,"STEEL";#N/A,#N/A,TRUE,"INT-Table";#N/A,#N/A,TRUE,"STEEL";#N/A,#N/A,TRUE,"Door"}</definedName>
    <definedName name="dge">#REF!</definedName>
    <definedName name="Dia.1" localSheetId="0">#REF!</definedName>
    <definedName name="Dia.1">#REF!</definedName>
    <definedName name="Dia.2">#REF!</definedName>
    <definedName name="DIGN" localSheetId="0" hidden="1">{#N/A,#N/A,TRUE,"Basic";#N/A,#N/A,TRUE,"EXT-TABLE";#N/A,#N/A,TRUE,"STEEL";#N/A,#N/A,TRUE,"INT-Table";#N/A,#N/A,TRUE,"STEEL";#N/A,#N/A,TRUE,"Door"}</definedName>
    <definedName name="DIGN" hidden="1">{#N/A,#N/A,TRUE,"Basic";#N/A,#N/A,TRUE,"EXT-TABLE";#N/A,#N/A,TRUE,"STEEL";#N/A,#N/A,TRUE,"INT-Table";#N/A,#N/A,TRUE,"STEEL";#N/A,#N/A,TRUE,"Door"}</definedName>
    <definedName name="disc" localSheetId="0">[34]data_dci!$E$8:$E$746</definedName>
    <definedName name="disc">[35]data_dci!$E$8:$E$746</definedName>
    <definedName name="DJDJ" localSheetId="0">BlankMacro1</definedName>
    <definedName name="DJDJ">BlankMacro1</definedName>
    <definedName name="DK">#REF!</definedName>
    <definedName name="DKDLFJKDS" localSheetId="0" hidden="1">{#N/A,#N/A,TRUE,"Basic";#N/A,#N/A,TRUE,"EXT-TABLE";#N/A,#N/A,TRUE,"STEEL";#N/A,#N/A,TRUE,"INT-Table";#N/A,#N/A,TRUE,"STEEL";#N/A,#N/A,TRUE,"Door"}</definedName>
    <definedName name="DKDLFJKDS" hidden="1">{#N/A,#N/A,TRUE,"Basic";#N/A,#N/A,TRUE,"EXT-TABLE";#N/A,#N/A,TRUE,"STEEL";#N/A,#N/A,TRUE,"INT-Table";#N/A,#N/A,TRUE,"STEEL";#N/A,#N/A,TRUE,"Door"}</definedName>
    <definedName name="DM">#REF!</definedName>
    <definedName name="DOC" localSheetId="0">#REF!</definedName>
    <definedName name="DOC">#REF!</definedName>
    <definedName name="Doc_No">#REF!</definedName>
    <definedName name="DR1M" localSheetId="0">#REF!</definedName>
    <definedName name="DR1M">#REF!</definedName>
    <definedName name="DR1Y" localSheetId="0">#REF!</definedName>
    <definedName name="DR1Y">#REF!</definedName>
    <definedName name="DR3M" localSheetId="0">#REF!</definedName>
    <definedName name="DR3M">#REF!</definedName>
    <definedName name="DR3Y" localSheetId="0">#REF!</definedName>
    <definedName name="DR3Y">#REF!</definedName>
    <definedName name="drum11" localSheetId="0">#REF!</definedName>
    <definedName name="drum11">#REF!</definedName>
    <definedName name="drum12" localSheetId="0">#REF!</definedName>
    <definedName name="drum12">#REF!</definedName>
    <definedName name="drum21" localSheetId="0">#REF!</definedName>
    <definedName name="drum21">#REF!</definedName>
    <definedName name="drum22" localSheetId="0">#REF!</definedName>
    <definedName name="drum22">#REF!</definedName>
    <definedName name="dry_weight_001" localSheetId="0">#REF!</definedName>
    <definedName name="dry_weight_001">#REF!</definedName>
    <definedName name="dsa" localSheetId="0" hidden="1">#REF!</definedName>
    <definedName name="dsa" hidden="1">#REF!</definedName>
    <definedName name="DUCT_GONG">#REF!</definedName>
    <definedName name="dumppr" localSheetId="0">#REF!</definedName>
    <definedName name="dumppr">#REF!</definedName>
    <definedName name="dwg_id_001" localSheetId="0">#REF!</definedName>
    <definedName name="dwg_id_001">#REF!</definedName>
    <definedName name="dwg_name" localSheetId="0">#REF!</definedName>
    <definedName name="dwg_name">#REF!</definedName>
    <definedName name="dwg_name_001" localSheetId="0">#REF!</definedName>
    <definedName name="dwg_name_001">#REF!</definedName>
    <definedName name="dwg_schematic_id_001" localSheetId="0">#REF!</definedName>
    <definedName name="dwg_schematic_id_001">#REF!</definedName>
    <definedName name="dwv" localSheetId="0" hidden="1">{#N/A,#N/A,TRUE,"Basic";#N/A,#N/A,TRUE,"EXT-TABLE";#N/A,#N/A,TRUE,"STEEL";#N/A,#N/A,TRUE,"INT-Table";#N/A,#N/A,TRUE,"STEEL";#N/A,#N/A,TRUE,"Door"}</definedName>
    <definedName name="dwv" hidden="1">{#N/A,#N/A,TRUE,"Basic";#N/A,#N/A,TRUE,"EXT-TABLE";#N/A,#N/A,TRUE,"STEEL";#N/A,#N/A,TRUE,"INT-Table";#N/A,#N/A,TRUE,"STEEL";#N/A,#N/A,TRUE,"Door"}</definedName>
    <definedName name="dx_shape" localSheetId="0">#REF!</definedName>
    <definedName name="dx_shape">#REF!</definedName>
    <definedName name="E" localSheetId="0">#REF!</definedName>
    <definedName name="E">#REF!</definedName>
    <definedName name="e_margin" localSheetId="0">#REF!</definedName>
    <definedName name="e_margin">#REF!</definedName>
    <definedName name="ECF">#REF!</definedName>
    <definedName name="eCIiIi¨­A_I¨￡">#N/A</definedName>
    <definedName name="eCIiIiÞA_Iª">#N/A</definedName>
    <definedName name="EE" localSheetId="0">#REF!</definedName>
    <definedName name="EE">#REF!</definedName>
    <definedName name="eee" localSheetId="0">'[15]h-013211-2'!$Q$4</definedName>
    <definedName name="eee">'[53]h-013211-2'!$Q$4</definedName>
    <definedName name="Ef">#REF!</definedName>
    <definedName name="EH_001_1" localSheetId="0">#REF!</definedName>
    <definedName name="EH_001_1">#REF!</definedName>
    <definedName name="EH_001_10" localSheetId="0">#REF!</definedName>
    <definedName name="EH_001_10">#REF!</definedName>
    <definedName name="EH_001_11" localSheetId="0">#REF!</definedName>
    <definedName name="EH_001_11">#REF!</definedName>
    <definedName name="EH_001_12" localSheetId="0">#REF!</definedName>
    <definedName name="EH_001_12">#REF!</definedName>
    <definedName name="EH_001_13" localSheetId="0">#REF!</definedName>
    <definedName name="EH_001_13">#REF!</definedName>
    <definedName name="EH_001_14" localSheetId="0">#REF!</definedName>
    <definedName name="EH_001_14">#REF!</definedName>
    <definedName name="EH_001_15" localSheetId="0">#REF!</definedName>
    <definedName name="EH_001_15">#REF!</definedName>
    <definedName name="EH_001_16" localSheetId="0">#REF!</definedName>
    <definedName name="EH_001_16">#REF!</definedName>
    <definedName name="EH_001_17" localSheetId="0">#REF!</definedName>
    <definedName name="EH_001_17">#REF!</definedName>
    <definedName name="EH_001_18" localSheetId="0">#REF!</definedName>
    <definedName name="EH_001_18">#REF!</definedName>
    <definedName name="EH_001_2" localSheetId="0">#REF!</definedName>
    <definedName name="EH_001_2">#REF!</definedName>
    <definedName name="EH_001_3" localSheetId="0">#REF!</definedName>
    <definedName name="EH_001_3">#REF!</definedName>
    <definedName name="EH_001_4" localSheetId="0">#REF!</definedName>
    <definedName name="EH_001_4">#REF!</definedName>
    <definedName name="EH_001_5" localSheetId="0">#REF!</definedName>
    <definedName name="EH_001_5">#REF!</definedName>
    <definedName name="EH_001_6" localSheetId="0">#REF!</definedName>
    <definedName name="EH_001_6">#REF!</definedName>
    <definedName name="EH_001_7" localSheetId="0">#REF!</definedName>
    <definedName name="EH_001_7">#REF!</definedName>
    <definedName name="EH_001_8" localSheetId="0">#REF!</definedName>
    <definedName name="EH_001_8">#REF!</definedName>
    <definedName name="EH_001_9" localSheetId="0">#REF!</definedName>
    <definedName name="EH_001_9">#REF!</definedName>
    <definedName name="EH_002_1" localSheetId="0">#REF!</definedName>
    <definedName name="EH_002_1">#REF!</definedName>
    <definedName name="EH_002_10" localSheetId="0">#REF!</definedName>
    <definedName name="EH_002_10">#REF!</definedName>
    <definedName name="EH_002_11" localSheetId="0">#REF!</definedName>
    <definedName name="EH_002_11">#REF!</definedName>
    <definedName name="EH_002_12" localSheetId="0">#REF!</definedName>
    <definedName name="EH_002_12">#REF!</definedName>
    <definedName name="EH_002_13" localSheetId="0">#REF!</definedName>
    <definedName name="EH_002_13">#REF!</definedName>
    <definedName name="EH_002_14" localSheetId="0">#REF!</definedName>
    <definedName name="EH_002_14">#REF!</definedName>
    <definedName name="EH_002_15" localSheetId="0">#REF!</definedName>
    <definedName name="EH_002_15">#REF!</definedName>
    <definedName name="EH_002_16" localSheetId="0">#REF!</definedName>
    <definedName name="EH_002_16">#REF!</definedName>
    <definedName name="EH_002_17" localSheetId="0">#REF!</definedName>
    <definedName name="EH_002_17">#REF!</definedName>
    <definedName name="EH_002_18" localSheetId="0">#REF!</definedName>
    <definedName name="EH_002_18">#REF!</definedName>
    <definedName name="EH_002_2" localSheetId="0">#REF!</definedName>
    <definedName name="EH_002_2">#REF!</definedName>
    <definedName name="EH_002_3" localSheetId="0">#REF!</definedName>
    <definedName name="EH_002_3">#REF!</definedName>
    <definedName name="EH_002_4" localSheetId="0">#REF!</definedName>
    <definedName name="EH_002_4">#REF!</definedName>
    <definedName name="EH_002_5" localSheetId="0">#REF!</definedName>
    <definedName name="EH_002_5">#REF!</definedName>
    <definedName name="EH_002_6" localSheetId="0">#REF!</definedName>
    <definedName name="EH_002_6">#REF!</definedName>
    <definedName name="EH_002_7" localSheetId="0">#REF!</definedName>
    <definedName name="EH_002_7">#REF!</definedName>
    <definedName name="EH_002_8" localSheetId="0">#REF!</definedName>
    <definedName name="EH_002_8">#REF!</definedName>
    <definedName name="EH_002_9" localSheetId="0">#REF!</definedName>
    <definedName name="EH_002_9">#REF!</definedName>
    <definedName name="ELEC">[54]ELEC_DCI!#REF!</definedName>
    <definedName name="ELEC_DO">[54]ELEC_DCI!#REF!</definedName>
    <definedName name="ELEC1" localSheetId="0">#REF!</definedName>
    <definedName name="ELEC1">#REF!</definedName>
    <definedName name="ELEC1_MCI" localSheetId="0">#REF!</definedName>
    <definedName name="ELEC1_MCI">#REF!</definedName>
    <definedName name="ELEC2" localSheetId="0">#REF!</definedName>
    <definedName name="ELEC2">#REF!</definedName>
    <definedName name="ELEC2_MCI" localSheetId="0">#REF!</definedName>
    <definedName name="ELEC2_MCI">#REF!</definedName>
    <definedName name="ELEC3">[54]ELEC_DCI!#REF!</definedName>
    <definedName name="ELEC3_MCI" localSheetId="0">#REF!</definedName>
    <definedName name="ELEC3_MCI">#REF!</definedName>
    <definedName name="ELEC4" localSheetId="0">#REF!</definedName>
    <definedName name="ELEC4">#REF!</definedName>
    <definedName name="ELEC4_MCI" localSheetId="0">#REF!</definedName>
    <definedName name="ELEC4_MCI">#REF!</definedName>
    <definedName name="ELEC5" localSheetId="0">#REF!</definedName>
    <definedName name="ELEC5">#REF!</definedName>
    <definedName name="ELEC5_MCI" localSheetId="0">#REF!</definedName>
    <definedName name="ELEC5_MCI">#REF!</definedName>
    <definedName name="elec6" localSheetId="0">#REF!</definedName>
    <definedName name="elec6">#REF!</definedName>
    <definedName name="ELEC6_MCI" localSheetId="0">#REF!</definedName>
    <definedName name="ELEC6_MCI">#REF!</definedName>
    <definedName name="elec7" localSheetId="0">#REF!</definedName>
    <definedName name="elec7">#REF!</definedName>
    <definedName name="ELEC7_MCI" localSheetId="0">#REF!</definedName>
    <definedName name="ELEC7_MCI">#REF!</definedName>
    <definedName name="ELEC8">[44]ELEC_MCI!#REF!</definedName>
    <definedName name="ELEC9">[44]ELEC_MCI!#REF!</definedName>
    <definedName name="ELECT">#N/A</definedName>
    <definedName name="elect_equip_id_001" localSheetId="0">#REF!</definedName>
    <definedName name="elect_equip_id_001">#REF!</definedName>
    <definedName name="elect_load_equip_id_001" localSheetId="0">#REF!</definedName>
    <definedName name="elect_load_equip_id_001">#REF!</definedName>
    <definedName name="ELECTSUM">#REF!</definedName>
    <definedName name="EM_001_1" localSheetId="0">#REF!</definedName>
    <definedName name="EM_001_1">#REF!</definedName>
    <definedName name="EM_001_10" localSheetId="0">#REF!</definedName>
    <definedName name="EM_001_10">#REF!</definedName>
    <definedName name="EM_001_11" localSheetId="0">#REF!</definedName>
    <definedName name="EM_001_11">#REF!</definedName>
    <definedName name="EM_001_12" localSheetId="0">#REF!</definedName>
    <definedName name="EM_001_12">#REF!</definedName>
    <definedName name="EM_001_13" localSheetId="0">#REF!</definedName>
    <definedName name="EM_001_13">#REF!</definedName>
    <definedName name="EM_001_14" localSheetId="0">#REF!</definedName>
    <definedName name="EM_001_14">#REF!</definedName>
    <definedName name="EM_001_15" localSheetId="0">#REF!</definedName>
    <definedName name="EM_001_15">#REF!</definedName>
    <definedName name="EM_001_16" localSheetId="0">#REF!</definedName>
    <definedName name="EM_001_16">#REF!</definedName>
    <definedName name="EM_001_17" localSheetId="0">#REF!</definedName>
    <definedName name="EM_001_17">#REF!</definedName>
    <definedName name="EM_001_18" localSheetId="0">#REF!</definedName>
    <definedName name="EM_001_18">#REF!</definedName>
    <definedName name="EM_001_2" localSheetId="0">#REF!</definedName>
    <definedName name="EM_001_2">#REF!</definedName>
    <definedName name="EM_001_3" localSheetId="0">#REF!</definedName>
    <definedName name="EM_001_3">#REF!</definedName>
    <definedName name="EM_001_4" localSheetId="0">#REF!</definedName>
    <definedName name="EM_001_4">#REF!</definedName>
    <definedName name="EM_001_5" localSheetId="0">#REF!</definedName>
    <definedName name="EM_001_5">#REF!</definedName>
    <definedName name="EM_001_6" localSheetId="0">#REF!</definedName>
    <definedName name="EM_001_6">#REF!</definedName>
    <definedName name="EM_001_7" localSheetId="0">#REF!</definedName>
    <definedName name="EM_001_7">#REF!</definedName>
    <definedName name="EM_001_8" localSheetId="0">#REF!</definedName>
    <definedName name="EM_001_8">#REF!</definedName>
    <definedName name="EM_001_9" localSheetId="0">#REF!</definedName>
    <definedName name="EM_001_9">#REF!</definedName>
    <definedName name="EM_002_1" localSheetId="0">#REF!</definedName>
    <definedName name="EM_002_1">#REF!</definedName>
    <definedName name="EM_002_10" localSheetId="0">#REF!</definedName>
    <definedName name="EM_002_10">#REF!</definedName>
    <definedName name="EM_002_11" localSheetId="0">#REF!</definedName>
    <definedName name="EM_002_11">#REF!</definedName>
    <definedName name="EM_002_12" localSheetId="0">#REF!</definedName>
    <definedName name="EM_002_12">#REF!</definedName>
    <definedName name="EM_002_13" localSheetId="0">#REF!</definedName>
    <definedName name="EM_002_13">#REF!</definedName>
    <definedName name="EM_002_14" localSheetId="0">#REF!</definedName>
    <definedName name="EM_002_14">#REF!</definedName>
    <definedName name="EM_002_15" localSheetId="0">#REF!</definedName>
    <definedName name="EM_002_15">#REF!</definedName>
    <definedName name="EM_002_16" localSheetId="0">#REF!</definedName>
    <definedName name="EM_002_16">#REF!</definedName>
    <definedName name="EM_002_17" localSheetId="0">#REF!</definedName>
    <definedName name="EM_002_17">#REF!</definedName>
    <definedName name="EM_002_18" localSheetId="0">#REF!</definedName>
    <definedName name="EM_002_18">#REF!</definedName>
    <definedName name="EM_002_2" localSheetId="0">#REF!</definedName>
    <definedName name="EM_002_2">#REF!</definedName>
    <definedName name="EM_002_3" localSheetId="0">#REF!</definedName>
    <definedName name="EM_002_3">#REF!</definedName>
    <definedName name="EM_002_4" localSheetId="0">#REF!</definedName>
    <definedName name="EM_002_4">#REF!</definedName>
    <definedName name="EM_002_5" localSheetId="0">#REF!</definedName>
    <definedName name="EM_002_5">#REF!</definedName>
    <definedName name="EM_002_6" localSheetId="0">#REF!</definedName>
    <definedName name="EM_002_6">#REF!</definedName>
    <definedName name="EM_002_7" localSheetId="0">#REF!</definedName>
    <definedName name="EM_002_7">#REF!</definedName>
    <definedName name="EM_002_8" localSheetId="0">#REF!</definedName>
    <definedName name="EM_002_8">#REF!</definedName>
    <definedName name="EM_002_9" localSheetId="0">#REF!</definedName>
    <definedName name="EM_002_9">#REF!</definedName>
    <definedName name="EM_003_1" localSheetId="0">#REF!</definedName>
    <definedName name="EM_003_1">#REF!</definedName>
    <definedName name="EM_003_10" localSheetId="0">#REF!</definedName>
    <definedName name="EM_003_10">#REF!</definedName>
    <definedName name="EM_003_11" localSheetId="0">#REF!</definedName>
    <definedName name="EM_003_11">#REF!</definedName>
    <definedName name="EM_003_12" localSheetId="0">#REF!</definedName>
    <definedName name="EM_003_12">#REF!</definedName>
    <definedName name="EM_003_13" localSheetId="0">#REF!</definedName>
    <definedName name="EM_003_13">#REF!</definedName>
    <definedName name="EM_003_14" localSheetId="0">#REF!</definedName>
    <definedName name="EM_003_14">#REF!</definedName>
    <definedName name="EM_003_15" localSheetId="0">#REF!</definedName>
    <definedName name="EM_003_15">#REF!</definedName>
    <definedName name="EM_003_16" localSheetId="0">#REF!</definedName>
    <definedName name="EM_003_16">#REF!</definedName>
    <definedName name="EM_003_17" localSheetId="0">#REF!</definedName>
    <definedName name="EM_003_17">#REF!</definedName>
    <definedName name="EM_003_18" localSheetId="0">#REF!</definedName>
    <definedName name="EM_003_18">#REF!</definedName>
    <definedName name="EM_003_2" localSheetId="0">#REF!</definedName>
    <definedName name="EM_003_2">#REF!</definedName>
    <definedName name="EM_003_3" localSheetId="0">#REF!</definedName>
    <definedName name="EM_003_3">#REF!</definedName>
    <definedName name="EM_003_4" localSheetId="0">#REF!</definedName>
    <definedName name="EM_003_4">#REF!</definedName>
    <definedName name="EM_003_5" localSheetId="0">#REF!</definedName>
    <definedName name="EM_003_5">#REF!</definedName>
    <definedName name="EM_003_6" localSheetId="0">#REF!</definedName>
    <definedName name="EM_003_6">#REF!</definedName>
    <definedName name="EM_003_7" localSheetId="0">#REF!</definedName>
    <definedName name="EM_003_7">#REF!</definedName>
    <definedName name="EM_003_8" localSheetId="0">#REF!</definedName>
    <definedName name="EM_003_8">#REF!</definedName>
    <definedName name="EM_003_9" localSheetId="0">#REF!</definedName>
    <definedName name="EM_003_9">#REF!</definedName>
    <definedName name="EM_004_1" localSheetId="0">#REF!</definedName>
    <definedName name="EM_004_1">#REF!</definedName>
    <definedName name="EM_004_10" localSheetId="0">#REF!</definedName>
    <definedName name="EM_004_10">#REF!</definedName>
    <definedName name="EM_004_11" localSheetId="0">#REF!</definedName>
    <definedName name="EM_004_11">#REF!</definedName>
    <definedName name="EM_004_12" localSheetId="0">#REF!</definedName>
    <definedName name="EM_004_12">#REF!</definedName>
    <definedName name="EM_004_13" localSheetId="0">#REF!</definedName>
    <definedName name="EM_004_13">#REF!</definedName>
    <definedName name="EM_004_14" localSheetId="0">#REF!</definedName>
    <definedName name="EM_004_14">#REF!</definedName>
    <definedName name="EM_004_15" localSheetId="0">#REF!</definedName>
    <definedName name="EM_004_15">#REF!</definedName>
    <definedName name="EM_004_16" localSheetId="0">#REF!</definedName>
    <definedName name="EM_004_16">#REF!</definedName>
    <definedName name="EM_004_17" localSheetId="0">#REF!</definedName>
    <definedName name="EM_004_17">#REF!</definedName>
    <definedName name="EM_004_18" localSheetId="0">#REF!</definedName>
    <definedName name="EM_004_18">#REF!</definedName>
    <definedName name="EM_004_2" localSheetId="0">#REF!</definedName>
    <definedName name="EM_004_2">#REF!</definedName>
    <definedName name="EM_004_3" localSheetId="0">#REF!</definedName>
    <definedName name="EM_004_3">#REF!</definedName>
    <definedName name="EM_004_4" localSheetId="0">#REF!</definedName>
    <definedName name="EM_004_4">#REF!</definedName>
    <definedName name="EM_004_5" localSheetId="0">#REF!</definedName>
    <definedName name="EM_004_5">#REF!</definedName>
    <definedName name="EM_004_6" localSheetId="0">#REF!</definedName>
    <definedName name="EM_004_6">#REF!</definedName>
    <definedName name="EM_004_7" localSheetId="0">#REF!</definedName>
    <definedName name="EM_004_7">#REF!</definedName>
    <definedName name="EM_004_8" localSheetId="0">#REF!</definedName>
    <definedName name="EM_004_8">#REF!</definedName>
    <definedName name="EM_004_9" localSheetId="0">#REF!</definedName>
    <definedName name="EM_004_9">#REF!</definedName>
    <definedName name="EM_005_1" localSheetId="0">#REF!</definedName>
    <definedName name="EM_005_1">#REF!</definedName>
    <definedName name="EM_005_10" localSheetId="0">#REF!</definedName>
    <definedName name="EM_005_10">#REF!</definedName>
    <definedName name="EM_005_11" localSheetId="0">#REF!</definedName>
    <definedName name="EM_005_11">#REF!</definedName>
    <definedName name="EM_005_12" localSheetId="0">#REF!</definedName>
    <definedName name="EM_005_12">#REF!</definedName>
    <definedName name="EM_005_13" localSheetId="0">#REF!</definedName>
    <definedName name="EM_005_13">#REF!</definedName>
    <definedName name="EM_005_14" localSheetId="0">#REF!</definedName>
    <definedName name="EM_005_14">#REF!</definedName>
    <definedName name="EM_005_15" localSheetId="0">#REF!</definedName>
    <definedName name="EM_005_15">#REF!</definedName>
    <definedName name="EM_005_16" localSheetId="0">#REF!</definedName>
    <definedName name="EM_005_16">#REF!</definedName>
    <definedName name="EM_005_17" localSheetId="0">#REF!</definedName>
    <definedName name="EM_005_17">#REF!</definedName>
    <definedName name="EM_005_18" localSheetId="0">#REF!</definedName>
    <definedName name="EM_005_18">#REF!</definedName>
    <definedName name="EM_005_2" localSheetId="0">#REF!</definedName>
    <definedName name="EM_005_2">#REF!</definedName>
    <definedName name="EM_005_3" localSheetId="0">#REF!</definedName>
    <definedName name="EM_005_3">#REF!</definedName>
    <definedName name="EM_005_4" localSheetId="0">#REF!</definedName>
    <definedName name="EM_005_4">#REF!</definedName>
    <definedName name="EM_005_5" localSheetId="0">#REF!</definedName>
    <definedName name="EM_005_5">#REF!</definedName>
    <definedName name="EM_005_6" localSheetId="0">#REF!</definedName>
    <definedName name="EM_005_6">#REF!</definedName>
    <definedName name="EM_005_7" localSheetId="0">#REF!</definedName>
    <definedName name="EM_005_7">#REF!</definedName>
    <definedName name="EM_005_8" localSheetId="0">#REF!</definedName>
    <definedName name="EM_005_8">#REF!</definedName>
    <definedName name="EM_005_9" localSheetId="0">#REF!</definedName>
    <definedName name="EM_005_9">#REF!</definedName>
    <definedName name="EM_006_1" localSheetId="0">#REF!</definedName>
    <definedName name="EM_006_1">#REF!</definedName>
    <definedName name="EM_006_10" localSheetId="0">#REF!</definedName>
    <definedName name="EM_006_10">#REF!</definedName>
    <definedName name="EM_006_11" localSheetId="0">#REF!</definedName>
    <definedName name="EM_006_11">#REF!</definedName>
    <definedName name="EM_006_12" localSheetId="0">#REF!</definedName>
    <definedName name="EM_006_12">#REF!</definedName>
    <definedName name="EM_006_13" localSheetId="0">#REF!</definedName>
    <definedName name="EM_006_13">#REF!</definedName>
    <definedName name="EM_006_14" localSheetId="0">#REF!</definedName>
    <definedName name="EM_006_14">#REF!</definedName>
    <definedName name="EM_006_15" localSheetId="0">#REF!</definedName>
    <definedName name="EM_006_15">#REF!</definedName>
    <definedName name="EM_006_16" localSheetId="0">#REF!</definedName>
    <definedName name="EM_006_16">#REF!</definedName>
    <definedName name="EM_006_17" localSheetId="0">#REF!</definedName>
    <definedName name="EM_006_17">#REF!</definedName>
    <definedName name="EM_006_18" localSheetId="0">#REF!</definedName>
    <definedName name="EM_006_18">#REF!</definedName>
    <definedName name="EM_006_2" localSheetId="0">#REF!</definedName>
    <definedName name="EM_006_2">#REF!</definedName>
    <definedName name="EM_006_3" localSheetId="0">#REF!</definedName>
    <definedName name="EM_006_3">#REF!</definedName>
    <definedName name="EM_006_4" localSheetId="0">#REF!</definedName>
    <definedName name="EM_006_4">#REF!</definedName>
    <definedName name="EM_006_5" localSheetId="0">#REF!</definedName>
    <definedName name="EM_006_5">#REF!</definedName>
    <definedName name="EM_006_6" localSheetId="0">#REF!</definedName>
    <definedName name="EM_006_6">#REF!</definedName>
    <definedName name="EM_006_7" localSheetId="0">#REF!</definedName>
    <definedName name="EM_006_7">#REF!</definedName>
    <definedName name="EM_006_8" localSheetId="0">#REF!</definedName>
    <definedName name="EM_006_8">#REF!</definedName>
    <definedName name="EM_006_9" localSheetId="0">#REF!</definedName>
    <definedName name="EM_006_9">#REF!</definedName>
    <definedName name="EM_007_1" localSheetId="0">#REF!</definedName>
    <definedName name="EM_007_1">#REF!</definedName>
    <definedName name="EM_007_10" localSheetId="0">#REF!</definedName>
    <definedName name="EM_007_10">#REF!</definedName>
    <definedName name="EM_007_11" localSheetId="0">#REF!</definedName>
    <definedName name="EM_007_11">#REF!</definedName>
    <definedName name="EM_007_12" localSheetId="0">#REF!</definedName>
    <definedName name="EM_007_12">#REF!</definedName>
    <definedName name="EM_007_13" localSheetId="0">#REF!</definedName>
    <definedName name="EM_007_13">#REF!</definedName>
    <definedName name="EM_007_14" localSheetId="0">#REF!</definedName>
    <definedName name="EM_007_14">#REF!</definedName>
    <definedName name="EM_007_15" localSheetId="0">#REF!</definedName>
    <definedName name="EM_007_15">#REF!</definedName>
    <definedName name="EM_007_16" localSheetId="0">#REF!</definedName>
    <definedName name="EM_007_16">#REF!</definedName>
    <definedName name="EM_007_17" localSheetId="0">#REF!</definedName>
    <definedName name="EM_007_17">#REF!</definedName>
    <definedName name="EM_007_18" localSheetId="0">#REF!</definedName>
    <definedName name="EM_007_18">#REF!</definedName>
    <definedName name="EM_007_2" localSheetId="0">#REF!</definedName>
    <definedName name="EM_007_2">#REF!</definedName>
    <definedName name="EM_007_3" localSheetId="0">#REF!</definedName>
    <definedName name="EM_007_3">#REF!</definedName>
    <definedName name="EM_007_4" localSheetId="0">#REF!</definedName>
    <definedName name="EM_007_4">#REF!</definedName>
    <definedName name="EM_007_5" localSheetId="0">#REF!</definedName>
    <definedName name="EM_007_5">#REF!</definedName>
    <definedName name="EM_007_6" localSheetId="0">#REF!</definedName>
    <definedName name="EM_007_6">#REF!</definedName>
    <definedName name="EM_007_7" localSheetId="0">#REF!</definedName>
    <definedName name="EM_007_7">#REF!</definedName>
    <definedName name="EM_007_8" localSheetId="0">#REF!</definedName>
    <definedName name="EM_007_8">#REF!</definedName>
    <definedName name="EM_007_9" localSheetId="0">#REF!</definedName>
    <definedName name="EM_007_9">#REF!</definedName>
    <definedName name="EM_008_1" localSheetId="0">#REF!</definedName>
    <definedName name="EM_008_1">#REF!</definedName>
    <definedName name="EM_008_10" localSheetId="0">#REF!</definedName>
    <definedName name="EM_008_10">#REF!</definedName>
    <definedName name="EM_008_11" localSheetId="0">#REF!</definedName>
    <definedName name="EM_008_11">#REF!</definedName>
    <definedName name="EM_008_12" localSheetId="0">#REF!</definedName>
    <definedName name="EM_008_12">#REF!</definedName>
    <definedName name="EM_008_13" localSheetId="0">#REF!</definedName>
    <definedName name="EM_008_13">#REF!</definedName>
    <definedName name="EM_008_14" localSheetId="0">#REF!</definedName>
    <definedName name="EM_008_14">#REF!</definedName>
    <definedName name="EM_008_15" localSheetId="0">#REF!</definedName>
    <definedName name="EM_008_15">#REF!</definedName>
    <definedName name="EM_008_16" localSheetId="0">#REF!</definedName>
    <definedName name="EM_008_16">#REF!</definedName>
    <definedName name="EM_008_17" localSheetId="0">#REF!</definedName>
    <definedName name="EM_008_17">#REF!</definedName>
    <definedName name="EM_008_18" localSheetId="0">#REF!</definedName>
    <definedName name="EM_008_18">#REF!</definedName>
    <definedName name="EM_008_2" localSheetId="0">#REF!</definedName>
    <definedName name="EM_008_2">#REF!</definedName>
    <definedName name="EM_008_3" localSheetId="0">#REF!</definedName>
    <definedName name="EM_008_3">#REF!</definedName>
    <definedName name="EM_008_4" localSheetId="0">#REF!</definedName>
    <definedName name="EM_008_4">#REF!</definedName>
    <definedName name="EM_008_5" localSheetId="0">#REF!</definedName>
    <definedName name="EM_008_5">#REF!</definedName>
    <definedName name="EM_008_6" localSheetId="0">#REF!</definedName>
    <definedName name="EM_008_6">#REF!</definedName>
    <definedName name="EM_008_7" localSheetId="0">#REF!</definedName>
    <definedName name="EM_008_7">#REF!</definedName>
    <definedName name="EM_008_8" localSheetId="0">#REF!</definedName>
    <definedName name="EM_008_8">#REF!</definedName>
    <definedName name="EM_008_9" localSheetId="0">#REF!</definedName>
    <definedName name="EM_008_9">#REF!</definedName>
    <definedName name="EM_009_1" localSheetId="0">#REF!</definedName>
    <definedName name="EM_009_1">#REF!</definedName>
    <definedName name="EM_009_10" localSheetId="0">#REF!</definedName>
    <definedName name="EM_009_10">#REF!</definedName>
    <definedName name="EM_009_11" localSheetId="0">#REF!</definedName>
    <definedName name="EM_009_11">#REF!</definedName>
    <definedName name="EM_009_12" localSheetId="0">#REF!</definedName>
    <definedName name="EM_009_12">#REF!</definedName>
    <definedName name="EM_009_13" localSheetId="0">#REF!</definedName>
    <definedName name="EM_009_13">#REF!</definedName>
    <definedName name="EM_009_14" localSheetId="0">#REF!</definedName>
    <definedName name="EM_009_14">#REF!</definedName>
    <definedName name="EM_009_15" localSheetId="0">#REF!</definedName>
    <definedName name="EM_009_15">#REF!</definedName>
    <definedName name="EM_009_16" localSheetId="0">#REF!</definedName>
    <definedName name="EM_009_16">#REF!</definedName>
    <definedName name="EM_009_17" localSheetId="0">#REF!</definedName>
    <definedName name="EM_009_17">#REF!</definedName>
    <definedName name="EM_009_18" localSheetId="0">#REF!</definedName>
    <definedName name="EM_009_18">#REF!</definedName>
    <definedName name="EM_009_2" localSheetId="0">#REF!</definedName>
    <definedName name="EM_009_2">#REF!</definedName>
    <definedName name="EM_009_3" localSheetId="0">#REF!</definedName>
    <definedName name="EM_009_3">#REF!</definedName>
    <definedName name="EM_009_4" localSheetId="0">#REF!</definedName>
    <definedName name="EM_009_4">#REF!</definedName>
    <definedName name="EM_009_5" localSheetId="0">#REF!</definedName>
    <definedName name="EM_009_5">#REF!</definedName>
    <definedName name="EM_009_6" localSheetId="0">#REF!</definedName>
    <definedName name="EM_009_6">#REF!</definedName>
    <definedName name="EM_009_7" localSheetId="0">#REF!</definedName>
    <definedName name="EM_009_7">#REF!</definedName>
    <definedName name="EM_009_8" localSheetId="0">#REF!</definedName>
    <definedName name="EM_009_8">#REF!</definedName>
    <definedName name="EM_009_9" localSheetId="0">#REF!</definedName>
    <definedName name="EM_009_9">#REF!</definedName>
    <definedName name="EM_010_1" localSheetId="0">#REF!</definedName>
    <definedName name="EM_010_1">#REF!</definedName>
    <definedName name="EM_010_10" localSheetId="0">#REF!</definedName>
    <definedName name="EM_010_10">#REF!</definedName>
    <definedName name="EM_010_11" localSheetId="0">#REF!</definedName>
    <definedName name="EM_010_11">#REF!</definedName>
    <definedName name="EM_010_12" localSheetId="0">#REF!</definedName>
    <definedName name="EM_010_12">#REF!</definedName>
    <definedName name="EM_010_13" localSheetId="0">#REF!</definedName>
    <definedName name="EM_010_13">#REF!</definedName>
    <definedName name="EM_010_14" localSheetId="0">#REF!</definedName>
    <definedName name="EM_010_14">#REF!</definedName>
    <definedName name="EM_010_15" localSheetId="0">#REF!</definedName>
    <definedName name="EM_010_15">#REF!</definedName>
    <definedName name="EM_010_16" localSheetId="0">#REF!</definedName>
    <definedName name="EM_010_16">#REF!</definedName>
    <definedName name="EM_010_17" localSheetId="0">#REF!</definedName>
    <definedName name="EM_010_17">#REF!</definedName>
    <definedName name="EM_010_18" localSheetId="0">#REF!</definedName>
    <definedName name="EM_010_18">#REF!</definedName>
    <definedName name="EM_010_2" localSheetId="0">#REF!</definedName>
    <definedName name="EM_010_2">#REF!</definedName>
    <definedName name="EM_010_3" localSheetId="0">#REF!</definedName>
    <definedName name="EM_010_3">#REF!</definedName>
    <definedName name="EM_010_4" localSheetId="0">#REF!</definedName>
    <definedName name="EM_010_4">#REF!</definedName>
    <definedName name="EM_010_5" localSheetId="0">#REF!</definedName>
    <definedName name="EM_010_5">#REF!</definedName>
    <definedName name="EM_010_6" localSheetId="0">#REF!</definedName>
    <definedName name="EM_010_6">#REF!</definedName>
    <definedName name="EM_010_7" localSheetId="0">#REF!</definedName>
    <definedName name="EM_010_7">#REF!</definedName>
    <definedName name="EM_010_8" localSheetId="0">#REF!</definedName>
    <definedName name="EM_010_8">#REF!</definedName>
    <definedName name="EM_010_9" localSheetId="0">#REF!</definedName>
    <definedName name="EM_010_9">#REF!</definedName>
    <definedName name="EM_011_1" localSheetId="0">#REF!</definedName>
    <definedName name="EM_011_1">#REF!</definedName>
    <definedName name="EM_011_10" localSheetId="0">#REF!</definedName>
    <definedName name="EM_011_10">#REF!</definedName>
    <definedName name="EM_011_11" localSheetId="0">#REF!</definedName>
    <definedName name="EM_011_11">#REF!</definedName>
    <definedName name="EM_011_12" localSheetId="0">#REF!</definedName>
    <definedName name="EM_011_12">#REF!</definedName>
    <definedName name="EM_011_13" localSheetId="0">#REF!</definedName>
    <definedName name="EM_011_13">#REF!</definedName>
    <definedName name="EM_011_14" localSheetId="0">#REF!</definedName>
    <definedName name="EM_011_14">#REF!</definedName>
    <definedName name="EM_011_15" localSheetId="0">#REF!</definedName>
    <definedName name="EM_011_15">#REF!</definedName>
    <definedName name="EM_011_16" localSheetId="0">#REF!</definedName>
    <definedName name="EM_011_16">#REF!</definedName>
    <definedName name="EM_011_17" localSheetId="0">#REF!</definedName>
    <definedName name="EM_011_17">#REF!</definedName>
    <definedName name="EM_011_18" localSheetId="0">#REF!</definedName>
    <definedName name="EM_011_18">#REF!</definedName>
    <definedName name="EM_011_2" localSheetId="0">#REF!</definedName>
    <definedName name="EM_011_2">#REF!</definedName>
    <definedName name="EM_011_3" localSheetId="0">#REF!</definedName>
    <definedName name="EM_011_3">#REF!</definedName>
    <definedName name="EM_011_4" localSheetId="0">#REF!</definedName>
    <definedName name="EM_011_4">#REF!</definedName>
    <definedName name="EM_011_5" localSheetId="0">#REF!</definedName>
    <definedName name="EM_011_5">#REF!</definedName>
    <definedName name="EM_011_6" localSheetId="0">#REF!</definedName>
    <definedName name="EM_011_6">#REF!</definedName>
    <definedName name="EM_011_7" localSheetId="0">#REF!</definedName>
    <definedName name="EM_011_7">#REF!</definedName>
    <definedName name="EM_011_8" localSheetId="0">#REF!</definedName>
    <definedName name="EM_011_8">#REF!</definedName>
    <definedName name="EM_011_9" localSheetId="0">#REF!</definedName>
    <definedName name="EM_011_9">#REF!</definedName>
    <definedName name="EM_012_1" localSheetId="0">#REF!</definedName>
    <definedName name="EM_012_1">#REF!</definedName>
    <definedName name="EM_012_10" localSheetId="0">#REF!</definedName>
    <definedName name="EM_012_10">#REF!</definedName>
    <definedName name="EM_012_11" localSheetId="0">#REF!</definedName>
    <definedName name="EM_012_11">#REF!</definedName>
    <definedName name="EM_012_12" localSheetId="0">#REF!</definedName>
    <definedName name="EM_012_12">#REF!</definedName>
    <definedName name="EM_012_13" localSheetId="0">#REF!</definedName>
    <definedName name="EM_012_13">#REF!</definedName>
    <definedName name="EM_012_14" localSheetId="0">#REF!</definedName>
    <definedName name="EM_012_14">#REF!</definedName>
    <definedName name="EM_012_15" localSheetId="0">#REF!</definedName>
    <definedName name="EM_012_15">#REF!</definedName>
    <definedName name="EM_012_16" localSheetId="0">#REF!</definedName>
    <definedName name="EM_012_16">#REF!</definedName>
    <definedName name="EM_012_17" localSheetId="0">#REF!</definedName>
    <definedName name="EM_012_17">#REF!</definedName>
    <definedName name="EM_012_18" localSheetId="0">#REF!</definedName>
    <definedName name="EM_012_18">#REF!</definedName>
    <definedName name="EM_012_2" localSheetId="0">#REF!</definedName>
    <definedName name="EM_012_2">#REF!</definedName>
    <definedName name="EM_012_3" localSheetId="0">#REF!</definedName>
    <definedName name="EM_012_3">#REF!</definedName>
    <definedName name="EM_012_4" localSheetId="0">#REF!</definedName>
    <definedName name="EM_012_4">#REF!</definedName>
    <definedName name="EM_012_5" localSheetId="0">#REF!</definedName>
    <definedName name="EM_012_5">#REF!</definedName>
    <definedName name="EM_012_6" localSheetId="0">#REF!</definedName>
    <definedName name="EM_012_6">#REF!</definedName>
    <definedName name="EM_012_7" localSheetId="0">#REF!</definedName>
    <definedName name="EM_012_7">#REF!</definedName>
    <definedName name="EM_012_8" localSheetId="0">#REF!</definedName>
    <definedName name="EM_012_8">#REF!</definedName>
    <definedName name="EM_012_9" localSheetId="0">#REF!</definedName>
    <definedName name="EM_012_9">#REF!</definedName>
    <definedName name="EM_013_1" localSheetId="0">#REF!</definedName>
    <definedName name="EM_013_1">#REF!</definedName>
    <definedName name="EM_013_10" localSheetId="0">#REF!</definedName>
    <definedName name="EM_013_10">#REF!</definedName>
    <definedName name="EM_013_11" localSheetId="0">#REF!</definedName>
    <definedName name="EM_013_11">#REF!</definedName>
    <definedName name="EM_013_12" localSheetId="0">#REF!</definedName>
    <definedName name="EM_013_12">#REF!</definedName>
    <definedName name="EM_013_13" localSheetId="0">#REF!</definedName>
    <definedName name="EM_013_13">#REF!</definedName>
    <definedName name="EM_013_14" localSheetId="0">#REF!</definedName>
    <definedName name="EM_013_14">#REF!</definedName>
    <definedName name="EM_013_15" localSheetId="0">#REF!</definedName>
    <definedName name="EM_013_15">#REF!</definedName>
    <definedName name="EM_013_16" localSheetId="0">#REF!</definedName>
    <definedName name="EM_013_16">#REF!</definedName>
    <definedName name="EM_013_17" localSheetId="0">#REF!</definedName>
    <definedName name="EM_013_17">#REF!</definedName>
    <definedName name="EM_013_18" localSheetId="0">#REF!</definedName>
    <definedName name="EM_013_18">#REF!</definedName>
    <definedName name="EM_013_2" localSheetId="0">#REF!</definedName>
    <definedName name="EM_013_2">#REF!</definedName>
    <definedName name="EM_013_3" localSheetId="0">#REF!</definedName>
    <definedName name="EM_013_3">#REF!</definedName>
    <definedName name="EM_013_4" localSheetId="0">#REF!</definedName>
    <definedName name="EM_013_4">#REF!</definedName>
    <definedName name="EM_013_5" localSheetId="0">#REF!</definedName>
    <definedName name="EM_013_5">#REF!</definedName>
    <definedName name="EM_013_6" localSheetId="0">#REF!</definedName>
    <definedName name="EM_013_6">#REF!</definedName>
    <definedName name="EM_013_7" localSheetId="0">#REF!</definedName>
    <definedName name="EM_013_7">#REF!</definedName>
    <definedName name="EM_013_8" localSheetId="0">#REF!</definedName>
    <definedName name="EM_013_8">#REF!</definedName>
    <definedName name="EM_013_9" localSheetId="0">#REF!</definedName>
    <definedName name="EM_013_9">#REF!</definedName>
    <definedName name="EM_014_1" localSheetId="0">#REF!</definedName>
    <definedName name="EM_014_1">#REF!</definedName>
    <definedName name="EM_014_10" localSheetId="0">#REF!</definedName>
    <definedName name="EM_014_10">#REF!</definedName>
    <definedName name="EM_014_11" localSheetId="0">#REF!</definedName>
    <definedName name="EM_014_11">#REF!</definedName>
    <definedName name="EM_014_12" localSheetId="0">#REF!</definedName>
    <definedName name="EM_014_12">#REF!</definedName>
    <definedName name="EM_014_13" localSheetId="0">#REF!</definedName>
    <definedName name="EM_014_13">#REF!</definedName>
    <definedName name="EM_014_14" localSheetId="0">#REF!</definedName>
    <definedName name="EM_014_14">#REF!</definedName>
    <definedName name="EM_014_15" localSheetId="0">#REF!</definedName>
    <definedName name="EM_014_15">#REF!</definedName>
    <definedName name="EM_014_16" localSheetId="0">#REF!</definedName>
    <definedName name="EM_014_16">#REF!</definedName>
    <definedName name="EM_014_17" localSheetId="0">#REF!</definedName>
    <definedName name="EM_014_17">#REF!</definedName>
    <definedName name="EM_014_18" localSheetId="0">#REF!</definedName>
    <definedName name="EM_014_18">#REF!</definedName>
    <definedName name="EM_014_2" localSheetId="0">#REF!</definedName>
    <definedName name="EM_014_2">#REF!</definedName>
    <definedName name="EM_014_3" localSheetId="0">#REF!</definedName>
    <definedName name="EM_014_3">#REF!</definedName>
    <definedName name="EM_014_4" localSheetId="0">#REF!</definedName>
    <definedName name="EM_014_4">#REF!</definedName>
    <definedName name="EM_014_5" localSheetId="0">#REF!</definedName>
    <definedName name="EM_014_5">#REF!</definedName>
    <definedName name="EM_014_6" localSheetId="0">#REF!</definedName>
    <definedName name="EM_014_6">#REF!</definedName>
    <definedName name="EM_014_7" localSheetId="0">#REF!</definedName>
    <definedName name="EM_014_7">#REF!</definedName>
    <definedName name="EM_014_8" localSheetId="0">#REF!</definedName>
    <definedName name="EM_014_8">#REF!</definedName>
    <definedName name="EM_014_9" localSheetId="0">#REF!</definedName>
    <definedName name="EM_014_9">#REF!</definedName>
    <definedName name="EM_015_1" localSheetId="0">#REF!</definedName>
    <definedName name="EM_015_1">#REF!</definedName>
    <definedName name="EM_015_10" localSheetId="0">#REF!</definedName>
    <definedName name="EM_015_10">#REF!</definedName>
    <definedName name="EM_015_11" localSheetId="0">#REF!</definedName>
    <definedName name="EM_015_11">#REF!</definedName>
    <definedName name="EM_015_12" localSheetId="0">#REF!</definedName>
    <definedName name="EM_015_12">#REF!</definedName>
    <definedName name="EM_015_13" localSheetId="0">#REF!</definedName>
    <definedName name="EM_015_13">#REF!</definedName>
    <definedName name="EM_015_14" localSheetId="0">#REF!</definedName>
    <definedName name="EM_015_14">#REF!</definedName>
    <definedName name="EM_015_15" localSheetId="0">#REF!</definedName>
    <definedName name="EM_015_15">#REF!</definedName>
    <definedName name="EM_015_16" localSheetId="0">#REF!</definedName>
    <definedName name="EM_015_16">#REF!</definedName>
    <definedName name="EM_015_17" localSheetId="0">#REF!</definedName>
    <definedName name="EM_015_17">#REF!</definedName>
    <definedName name="EM_015_18" localSheetId="0">#REF!</definedName>
    <definedName name="EM_015_18">#REF!</definedName>
    <definedName name="EM_015_2" localSheetId="0">#REF!</definedName>
    <definedName name="EM_015_2">#REF!</definedName>
    <definedName name="EM_015_3" localSheetId="0">#REF!</definedName>
    <definedName name="EM_015_3">#REF!</definedName>
    <definedName name="EM_015_4" localSheetId="0">#REF!</definedName>
    <definedName name="EM_015_4">#REF!</definedName>
    <definedName name="EM_015_5" localSheetId="0">#REF!</definedName>
    <definedName name="EM_015_5">#REF!</definedName>
    <definedName name="EM_015_6" localSheetId="0">#REF!</definedName>
    <definedName name="EM_015_6">#REF!</definedName>
    <definedName name="EM_015_7" localSheetId="0">#REF!</definedName>
    <definedName name="EM_015_7">#REF!</definedName>
    <definedName name="EM_015_8" localSheetId="0">#REF!</definedName>
    <definedName name="EM_015_8">#REF!</definedName>
    <definedName name="EM_015_9" localSheetId="0">#REF!</definedName>
    <definedName name="EM_015_9">#REF!</definedName>
    <definedName name="EM_016_1" localSheetId="0">#REF!</definedName>
    <definedName name="EM_016_1">#REF!</definedName>
    <definedName name="EM_016_10" localSheetId="0">#REF!</definedName>
    <definedName name="EM_016_10">#REF!</definedName>
    <definedName name="EM_016_11" localSheetId="0">#REF!</definedName>
    <definedName name="EM_016_11">#REF!</definedName>
    <definedName name="EM_016_12" localSheetId="0">#REF!</definedName>
    <definedName name="EM_016_12">#REF!</definedName>
    <definedName name="EM_016_13" localSheetId="0">#REF!</definedName>
    <definedName name="EM_016_13">#REF!</definedName>
    <definedName name="EM_016_14" localSheetId="0">#REF!</definedName>
    <definedName name="EM_016_14">#REF!</definedName>
    <definedName name="EM_016_15" localSheetId="0">#REF!</definedName>
    <definedName name="EM_016_15">#REF!</definedName>
    <definedName name="EM_016_16" localSheetId="0">#REF!</definedName>
    <definedName name="EM_016_16">#REF!</definedName>
    <definedName name="EM_016_17" localSheetId="0">#REF!</definedName>
    <definedName name="EM_016_17">#REF!</definedName>
    <definedName name="EM_016_18" localSheetId="0">#REF!</definedName>
    <definedName name="EM_016_18">#REF!</definedName>
    <definedName name="EM_016_2" localSheetId="0">#REF!</definedName>
    <definedName name="EM_016_2">#REF!</definedName>
    <definedName name="EM_016_3" localSheetId="0">#REF!</definedName>
    <definedName name="EM_016_3">#REF!</definedName>
    <definedName name="EM_016_4" localSheetId="0">#REF!</definedName>
    <definedName name="EM_016_4">#REF!</definedName>
    <definedName name="EM_016_5" localSheetId="0">#REF!</definedName>
    <definedName name="EM_016_5">#REF!</definedName>
    <definedName name="EM_016_6" localSheetId="0">#REF!</definedName>
    <definedName name="EM_016_6">#REF!</definedName>
    <definedName name="EM_016_7" localSheetId="0">#REF!</definedName>
    <definedName name="EM_016_7">#REF!</definedName>
    <definedName name="EM_016_8" localSheetId="0">#REF!</definedName>
    <definedName name="EM_016_8">#REF!</definedName>
    <definedName name="EM_016_9" localSheetId="0">#REF!</definedName>
    <definedName name="EM_016_9">#REF!</definedName>
    <definedName name="EM_017_1" localSheetId="0">#REF!</definedName>
    <definedName name="EM_017_1">#REF!</definedName>
    <definedName name="EM_017_10" localSheetId="0">#REF!</definedName>
    <definedName name="EM_017_10">#REF!</definedName>
    <definedName name="EM_017_11" localSheetId="0">#REF!</definedName>
    <definedName name="EM_017_11">#REF!</definedName>
    <definedName name="EM_017_12" localSheetId="0">#REF!</definedName>
    <definedName name="EM_017_12">#REF!</definedName>
    <definedName name="EM_017_13" localSheetId="0">#REF!</definedName>
    <definedName name="EM_017_13">#REF!</definedName>
    <definedName name="EM_017_14" localSheetId="0">#REF!</definedName>
    <definedName name="EM_017_14">#REF!</definedName>
    <definedName name="EM_017_15" localSheetId="0">#REF!</definedName>
    <definedName name="EM_017_15">#REF!</definedName>
    <definedName name="EM_017_16" localSheetId="0">#REF!</definedName>
    <definedName name="EM_017_16">#REF!</definedName>
    <definedName name="EM_017_17" localSheetId="0">#REF!</definedName>
    <definedName name="EM_017_17">#REF!</definedName>
    <definedName name="EM_017_18" localSheetId="0">#REF!</definedName>
    <definedName name="EM_017_18">#REF!</definedName>
    <definedName name="EM_017_2" localSheetId="0">#REF!</definedName>
    <definedName name="EM_017_2">#REF!</definedName>
    <definedName name="EM_017_3" localSheetId="0">#REF!</definedName>
    <definedName name="EM_017_3">#REF!</definedName>
    <definedName name="EM_017_4" localSheetId="0">#REF!</definedName>
    <definedName name="EM_017_4">#REF!</definedName>
    <definedName name="EM_017_5" localSheetId="0">#REF!</definedName>
    <definedName name="EM_017_5">#REF!</definedName>
    <definedName name="EM_017_6" localSheetId="0">#REF!</definedName>
    <definedName name="EM_017_6">#REF!</definedName>
    <definedName name="EM_017_7" localSheetId="0">#REF!</definedName>
    <definedName name="EM_017_7">#REF!</definedName>
    <definedName name="EM_017_8" localSheetId="0">#REF!</definedName>
    <definedName name="EM_017_8">#REF!</definedName>
    <definedName name="EM_017_9" localSheetId="0">#REF!</definedName>
    <definedName name="EM_017_9">#REF!</definedName>
    <definedName name="EM_018_1" localSheetId="0">#REF!</definedName>
    <definedName name="EM_018_1">#REF!</definedName>
    <definedName name="EM_018_10" localSheetId="0">#REF!</definedName>
    <definedName name="EM_018_10">#REF!</definedName>
    <definedName name="EM_018_11" localSheetId="0">#REF!</definedName>
    <definedName name="EM_018_11">#REF!</definedName>
    <definedName name="EM_018_12" localSheetId="0">#REF!</definedName>
    <definedName name="EM_018_12">#REF!</definedName>
    <definedName name="EM_018_13" localSheetId="0">#REF!</definedName>
    <definedName name="EM_018_13">#REF!</definedName>
    <definedName name="EM_018_14" localSheetId="0">#REF!</definedName>
    <definedName name="EM_018_14">#REF!</definedName>
    <definedName name="EM_018_15" localSheetId="0">#REF!</definedName>
    <definedName name="EM_018_15">#REF!</definedName>
    <definedName name="EM_018_16" localSheetId="0">#REF!</definedName>
    <definedName name="EM_018_16">#REF!</definedName>
    <definedName name="EM_018_17" localSheetId="0">#REF!</definedName>
    <definedName name="EM_018_17">#REF!</definedName>
    <definedName name="EM_018_18" localSheetId="0">#REF!</definedName>
    <definedName name="EM_018_18">#REF!</definedName>
    <definedName name="EM_018_2" localSheetId="0">#REF!</definedName>
    <definedName name="EM_018_2">#REF!</definedName>
    <definedName name="EM_018_3" localSheetId="0">#REF!</definedName>
    <definedName name="EM_018_3">#REF!</definedName>
    <definedName name="EM_018_4" localSheetId="0">#REF!</definedName>
    <definedName name="EM_018_4">#REF!</definedName>
    <definedName name="EM_018_5" localSheetId="0">#REF!</definedName>
    <definedName name="EM_018_5">#REF!</definedName>
    <definedName name="EM_018_6" localSheetId="0">#REF!</definedName>
    <definedName name="EM_018_6">#REF!</definedName>
    <definedName name="EM_018_7" localSheetId="0">#REF!</definedName>
    <definedName name="EM_018_7">#REF!</definedName>
    <definedName name="EM_018_8" localSheetId="0">#REF!</definedName>
    <definedName name="EM_018_8">#REF!</definedName>
    <definedName name="EM_018_9" localSheetId="0">#REF!</definedName>
    <definedName name="EM_018_9">#REF!</definedName>
    <definedName name="EM_019_1" localSheetId="0">#REF!</definedName>
    <definedName name="EM_019_1">#REF!</definedName>
    <definedName name="EM_019_10" localSheetId="0">#REF!</definedName>
    <definedName name="EM_019_10">#REF!</definedName>
    <definedName name="EM_019_11" localSheetId="0">#REF!</definedName>
    <definedName name="EM_019_11">#REF!</definedName>
    <definedName name="EM_019_12" localSheetId="0">#REF!</definedName>
    <definedName name="EM_019_12">#REF!</definedName>
    <definedName name="EM_019_13" localSheetId="0">#REF!</definedName>
    <definedName name="EM_019_13">#REF!</definedName>
    <definedName name="EM_019_14" localSheetId="0">#REF!</definedName>
    <definedName name="EM_019_14">#REF!</definedName>
    <definedName name="EM_019_15" localSheetId="0">#REF!</definedName>
    <definedName name="EM_019_15">#REF!</definedName>
    <definedName name="EM_019_16" localSheetId="0">#REF!</definedName>
    <definedName name="EM_019_16">#REF!</definedName>
    <definedName name="EM_019_17" localSheetId="0">#REF!</definedName>
    <definedName name="EM_019_17">#REF!</definedName>
    <definedName name="EM_019_18" localSheetId="0">#REF!</definedName>
    <definedName name="EM_019_18">#REF!</definedName>
    <definedName name="EM_019_2" localSheetId="0">#REF!</definedName>
    <definedName name="EM_019_2">#REF!</definedName>
    <definedName name="EM_019_3" localSheetId="0">#REF!</definedName>
    <definedName name="EM_019_3">#REF!</definedName>
    <definedName name="EM_019_4" localSheetId="0">#REF!</definedName>
    <definedName name="EM_019_4">#REF!</definedName>
    <definedName name="EM_019_5" localSheetId="0">#REF!</definedName>
    <definedName name="EM_019_5">#REF!</definedName>
    <definedName name="EM_019_6" localSheetId="0">#REF!</definedName>
    <definedName name="EM_019_6">#REF!</definedName>
    <definedName name="EM_019_7" localSheetId="0">#REF!</definedName>
    <definedName name="EM_019_7">#REF!</definedName>
    <definedName name="EM_019_8" localSheetId="0">#REF!</definedName>
    <definedName name="EM_019_8">#REF!</definedName>
    <definedName name="EM_019_9" localSheetId="0">#REF!</definedName>
    <definedName name="EM_019_9">#REF!</definedName>
    <definedName name="EM_020_1" localSheetId="0">#REF!</definedName>
    <definedName name="EM_020_1">#REF!</definedName>
    <definedName name="EM_020_10" localSheetId="0">#REF!</definedName>
    <definedName name="EM_020_10">#REF!</definedName>
    <definedName name="EM_020_11" localSheetId="0">#REF!</definedName>
    <definedName name="EM_020_11">#REF!</definedName>
    <definedName name="EM_020_12" localSheetId="0">#REF!</definedName>
    <definedName name="EM_020_12">#REF!</definedName>
    <definedName name="EM_020_13" localSheetId="0">#REF!</definedName>
    <definedName name="EM_020_13">#REF!</definedName>
    <definedName name="EM_020_14" localSheetId="0">#REF!</definedName>
    <definedName name="EM_020_14">#REF!</definedName>
    <definedName name="EM_020_15" localSheetId="0">#REF!</definedName>
    <definedName name="EM_020_15">#REF!</definedName>
    <definedName name="EM_020_16" localSheetId="0">#REF!</definedName>
    <definedName name="EM_020_16">#REF!</definedName>
    <definedName name="EM_020_17" localSheetId="0">#REF!</definedName>
    <definedName name="EM_020_17">#REF!</definedName>
    <definedName name="EM_020_18" localSheetId="0">#REF!</definedName>
    <definedName name="EM_020_18">#REF!</definedName>
    <definedName name="EM_020_2" localSheetId="0">#REF!</definedName>
    <definedName name="EM_020_2">#REF!</definedName>
    <definedName name="EM_020_3" localSheetId="0">#REF!</definedName>
    <definedName name="EM_020_3">#REF!</definedName>
    <definedName name="EM_020_4" localSheetId="0">#REF!</definedName>
    <definedName name="EM_020_4">#REF!</definedName>
    <definedName name="EM_020_5" localSheetId="0">#REF!</definedName>
    <definedName name="EM_020_5">#REF!</definedName>
    <definedName name="EM_020_6" localSheetId="0">#REF!</definedName>
    <definedName name="EM_020_6">#REF!</definedName>
    <definedName name="EM_020_7" localSheetId="0">#REF!</definedName>
    <definedName name="EM_020_7">#REF!</definedName>
    <definedName name="EM_020_8" localSheetId="0">#REF!</definedName>
    <definedName name="EM_020_8">#REF!</definedName>
    <definedName name="EM_020_9" localSheetId="0">#REF!</definedName>
    <definedName name="EM_020_9">#REF!</definedName>
    <definedName name="EM_021_1" localSheetId="0">#REF!</definedName>
    <definedName name="EM_021_1">#REF!</definedName>
    <definedName name="EM_021_10" localSheetId="0">#REF!</definedName>
    <definedName name="EM_021_10">#REF!</definedName>
    <definedName name="EM_021_11" localSheetId="0">#REF!</definedName>
    <definedName name="EM_021_11">#REF!</definedName>
    <definedName name="EM_021_12" localSheetId="0">#REF!</definedName>
    <definedName name="EM_021_12">#REF!</definedName>
    <definedName name="EM_021_13" localSheetId="0">#REF!</definedName>
    <definedName name="EM_021_13">#REF!</definedName>
    <definedName name="EM_021_14" localSheetId="0">#REF!</definedName>
    <definedName name="EM_021_14">#REF!</definedName>
    <definedName name="EM_021_15" localSheetId="0">#REF!</definedName>
    <definedName name="EM_021_15">#REF!</definedName>
    <definedName name="EM_021_16" localSheetId="0">#REF!</definedName>
    <definedName name="EM_021_16">#REF!</definedName>
    <definedName name="EM_021_17" localSheetId="0">#REF!</definedName>
    <definedName name="EM_021_17">#REF!</definedName>
    <definedName name="EM_021_18" localSheetId="0">#REF!</definedName>
    <definedName name="EM_021_18">#REF!</definedName>
    <definedName name="EM_021_2" localSheetId="0">#REF!</definedName>
    <definedName name="EM_021_2">#REF!</definedName>
    <definedName name="EM_021_3" localSheetId="0">#REF!</definedName>
    <definedName name="EM_021_3">#REF!</definedName>
    <definedName name="EM_021_4" localSheetId="0">#REF!</definedName>
    <definedName name="EM_021_4">#REF!</definedName>
    <definedName name="EM_021_5" localSheetId="0">#REF!</definedName>
    <definedName name="EM_021_5">#REF!</definedName>
    <definedName name="EM_021_6" localSheetId="0">#REF!</definedName>
    <definedName name="EM_021_6">#REF!</definedName>
    <definedName name="EM_021_7" localSheetId="0">#REF!</definedName>
    <definedName name="EM_021_7">#REF!</definedName>
    <definedName name="EM_021_8" localSheetId="0">#REF!</definedName>
    <definedName name="EM_021_8">#REF!</definedName>
    <definedName name="EM_021_9" localSheetId="0">#REF!</definedName>
    <definedName name="EM_021_9">#REF!</definedName>
    <definedName name="EM_022_1" localSheetId="0">#REF!</definedName>
    <definedName name="EM_022_1">#REF!</definedName>
    <definedName name="EM_022_10" localSheetId="0">#REF!</definedName>
    <definedName name="EM_022_10">#REF!</definedName>
    <definedName name="EM_022_11" localSheetId="0">#REF!</definedName>
    <definedName name="EM_022_11">#REF!</definedName>
    <definedName name="EM_022_12" localSheetId="0">#REF!</definedName>
    <definedName name="EM_022_12">#REF!</definedName>
    <definedName name="EM_022_13" localSheetId="0">#REF!</definedName>
    <definedName name="EM_022_13">#REF!</definedName>
    <definedName name="EM_022_14" localSheetId="0">#REF!</definedName>
    <definedName name="EM_022_14">#REF!</definedName>
    <definedName name="EM_022_15" localSheetId="0">#REF!</definedName>
    <definedName name="EM_022_15">#REF!</definedName>
    <definedName name="EM_022_16" localSheetId="0">#REF!</definedName>
    <definedName name="EM_022_16">#REF!</definedName>
    <definedName name="EM_022_17" localSheetId="0">#REF!</definedName>
    <definedName name="EM_022_17">#REF!</definedName>
    <definedName name="EM_022_18" localSheetId="0">#REF!</definedName>
    <definedName name="EM_022_18">#REF!</definedName>
    <definedName name="EM_022_2" localSheetId="0">#REF!</definedName>
    <definedName name="EM_022_2">#REF!</definedName>
    <definedName name="EM_022_3" localSheetId="0">#REF!</definedName>
    <definedName name="EM_022_3">#REF!</definedName>
    <definedName name="EM_022_4" localSheetId="0">#REF!</definedName>
    <definedName name="EM_022_4">#REF!</definedName>
    <definedName name="EM_022_5" localSheetId="0">#REF!</definedName>
    <definedName name="EM_022_5">#REF!</definedName>
    <definedName name="EM_022_6" localSheetId="0">#REF!</definedName>
    <definedName name="EM_022_6">#REF!</definedName>
    <definedName name="EM_022_7" localSheetId="0">#REF!</definedName>
    <definedName name="EM_022_7">#REF!</definedName>
    <definedName name="EM_022_8" localSheetId="0">#REF!</definedName>
    <definedName name="EM_022_8">#REF!</definedName>
    <definedName name="EM_022_9" localSheetId="0">#REF!</definedName>
    <definedName name="EM_022_9">#REF!</definedName>
    <definedName name="EM_023_1" localSheetId="0">#REF!</definedName>
    <definedName name="EM_023_1">#REF!</definedName>
    <definedName name="EM_023_10" localSheetId="0">#REF!</definedName>
    <definedName name="EM_023_10">#REF!</definedName>
    <definedName name="EM_023_11" localSheetId="0">#REF!</definedName>
    <definedName name="EM_023_11">#REF!</definedName>
    <definedName name="EM_023_12" localSheetId="0">#REF!</definedName>
    <definedName name="EM_023_12">#REF!</definedName>
    <definedName name="EM_023_13" localSheetId="0">#REF!</definedName>
    <definedName name="EM_023_13">#REF!</definedName>
    <definedName name="EM_023_14" localSheetId="0">#REF!</definedName>
    <definedName name="EM_023_14">#REF!</definedName>
    <definedName name="EM_023_15" localSheetId="0">#REF!</definedName>
    <definedName name="EM_023_15">#REF!</definedName>
    <definedName name="EM_023_16" localSheetId="0">#REF!</definedName>
    <definedName name="EM_023_16">#REF!</definedName>
    <definedName name="EM_023_17" localSheetId="0">#REF!</definedName>
    <definedName name="EM_023_17">#REF!</definedName>
    <definedName name="EM_023_18" localSheetId="0">#REF!</definedName>
    <definedName name="EM_023_18">#REF!</definedName>
    <definedName name="EM_023_2" localSheetId="0">#REF!</definedName>
    <definedName name="EM_023_2">#REF!</definedName>
    <definedName name="EM_023_3" localSheetId="0">#REF!</definedName>
    <definedName name="EM_023_3">#REF!</definedName>
    <definedName name="EM_023_4" localSheetId="0">#REF!</definedName>
    <definedName name="EM_023_4">#REF!</definedName>
    <definedName name="EM_023_5" localSheetId="0">#REF!</definedName>
    <definedName name="EM_023_5">#REF!</definedName>
    <definedName name="EM_023_6" localSheetId="0">#REF!</definedName>
    <definedName name="EM_023_6">#REF!</definedName>
    <definedName name="EM_023_7" localSheetId="0">#REF!</definedName>
    <definedName name="EM_023_7">#REF!</definedName>
    <definedName name="EM_023_8" localSheetId="0">#REF!</definedName>
    <definedName name="EM_023_8">#REF!</definedName>
    <definedName name="EM_023_9" localSheetId="0">#REF!</definedName>
    <definedName name="EM_023_9">#REF!</definedName>
    <definedName name="EM_024_1" localSheetId="0">#REF!</definedName>
    <definedName name="EM_024_1">#REF!</definedName>
    <definedName name="EM_024_10" localSheetId="0">#REF!</definedName>
    <definedName name="EM_024_10">#REF!</definedName>
    <definedName name="EM_024_11" localSheetId="0">#REF!</definedName>
    <definedName name="EM_024_11">#REF!</definedName>
    <definedName name="EM_024_12" localSheetId="0">#REF!</definedName>
    <definedName name="EM_024_12">#REF!</definedName>
    <definedName name="EM_024_13" localSheetId="0">#REF!</definedName>
    <definedName name="EM_024_13">#REF!</definedName>
    <definedName name="EM_024_14" localSheetId="0">#REF!</definedName>
    <definedName name="EM_024_14">#REF!</definedName>
    <definedName name="EM_024_15" localSheetId="0">#REF!</definedName>
    <definedName name="EM_024_15">#REF!</definedName>
    <definedName name="EM_024_16" localSheetId="0">#REF!</definedName>
    <definedName name="EM_024_16">#REF!</definedName>
    <definedName name="EM_024_17" localSheetId="0">#REF!</definedName>
    <definedName name="EM_024_17">#REF!</definedName>
    <definedName name="EM_024_18" localSheetId="0">#REF!</definedName>
    <definedName name="EM_024_18">#REF!</definedName>
    <definedName name="EM_024_2" localSheetId="0">#REF!</definedName>
    <definedName name="EM_024_2">#REF!</definedName>
    <definedName name="EM_024_3" localSheetId="0">#REF!</definedName>
    <definedName name="EM_024_3">#REF!</definedName>
    <definedName name="EM_024_4" localSheetId="0">#REF!</definedName>
    <definedName name="EM_024_4">#REF!</definedName>
    <definedName name="EM_024_5" localSheetId="0">#REF!</definedName>
    <definedName name="EM_024_5">#REF!</definedName>
    <definedName name="EM_024_6" localSheetId="0">#REF!</definedName>
    <definedName name="EM_024_6">#REF!</definedName>
    <definedName name="EM_024_7" localSheetId="0">#REF!</definedName>
    <definedName name="EM_024_7">#REF!</definedName>
    <definedName name="EM_024_8" localSheetId="0">#REF!</definedName>
    <definedName name="EM_024_8">#REF!</definedName>
    <definedName name="EM_024_9" localSheetId="0">#REF!</definedName>
    <definedName name="EM_024_9">#REF!</definedName>
    <definedName name="EM_025_1" localSheetId="0">#REF!</definedName>
    <definedName name="EM_025_1">#REF!</definedName>
    <definedName name="EM_025_10" localSheetId="0">#REF!</definedName>
    <definedName name="EM_025_10">#REF!</definedName>
    <definedName name="EM_025_11" localSheetId="0">#REF!</definedName>
    <definedName name="EM_025_11">#REF!</definedName>
    <definedName name="EM_025_12" localSheetId="0">#REF!</definedName>
    <definedName name="EM_025_12">#REF!</definedName>
    <definedName name="EM_025_13" localSheetId="0">#REF!</definedName>
    <definedName name="EM_025_13">#REF!</definedName>
    <definedName name="EM_025_14" localSheetId="0">#REF!</definedName>
    <definedName name="EM_025_14">#REF!</definedName>
    <definedName name="EM_025_15" localSheetId="0">#REF!</definedName>
    <definedName name="EM_025_15">#REF!</definedName>
    <definedName name="EM_025_16" localSheetId="0">#REF!</definedName>
    <definedName name="EM_025_16">#REF!</definedName>
    <definedName name="EM_025_17" localSheetId="0">#REF!</definedName>
    <definedName name="EM_025_17">#REF!</definedName>
    <definedName name="EM_025_18" localSheetId="0">#REF!</definedName>
    <definedName name="EM_025_18">#REF!</definedName>
    <definedName name="EM_025_2" localSheetId="0">#REF!</definedName>
    <definedName name="EM_025_2">#REF!</definedName>
    <definedName name="EM_025_3" localSheetId="0">#REF!</definedName>
    <definedName name="EM_025_3">#REF!</definedName>
    <definedName name="EM_025_4" localSheetId="0">#REF!</definedName>
    <definedName name="EM_025_4">#REF!</definedName>
    <definedName name="EM_025_5" localSheetId="0">#REF!</definedName>
    <definedName name="EM_025_5">#REF!</definedName>
    <definedName name="EM_025_6" localSheetId="0">#REF!</definedName>
    <definedName name="EM_025_6">#REF!</definedName>
    <definedName name="EM_025_7" localSheetId="0">#REF!</definedName>
    <definedName name="EM_025_7">#REF!</definedName>
    <definedName name="EM_025_8" localSheetId="0">#REF!</definedName>
    <definedName name="EM_025_8">#REF!</definedName>
    <definedName name="EM_025_9" localSheetId="0">#REF!</definedName>
    <definedName name="EM_025_9">#REF!</definedName>
    <definedName name="EM_026_1" localSheetId="0">#REF!</definedName>
    <definedName name="EM_026_1">#REF!</definedName>
    <definedName name="EM_026_10" localSheetId="0">#REF!</definedName>
    <definedName name="EM_026_10">#REF!</definedName>
    <definedName name="EM_026_11" localSheetId="0">#REF!</definedName>
    <definedName name="EM_026_11">#REF!</definedName>
    <definedName name="EM_026_12" localSheetId="0">#REF!</definedName>
    <definedName name="EM_026_12">#REF!</definedName>
    <definedName name="EM_026_13" localSheetId="0">#REF!</definedName>
    <definedName name="EM_026_13">#REF!</definedName>
    <definedName name="EM_026_14" localSheetId="0">#REF!</definedName>
    <definedName name="EM_026_14">#REF!</definedName>
    <definedName name="EM_026_15" localSheetId="0">#REF!</definedName>
    <definedName name="EM_026_15">#REF!</definedName>
    <definedName name="EM_026_16" localSheetId="0">#REF!</definedName>
    <definedName name="EM_026_16">#REF!</definedName>
    <definedName name="EM_026_17" localSheetId="0">#REF!</definedName>
    <definedName name="EM_026_17">#REF!</definedName>
    <definedName name="EM_026_18" localSheetId="0">#REF!</definedName>
    <definedName name="EM_026_18">#REF!</definedName>
    <definedName name="EM_026_2" localSheetId="0">#REF!</definedName>
    <definedName name="EM_026_2">#REF!</definedName>
    <definedName name="EM_026_3" localSheetId="0">#REF!</definedName>
    <definedName name="EM_026_3">#REF!</definedName>
    <definedName name="EM_026_4" localSheetId="0">#REF!</definedName>
    <definedName name="EM_026_4">#REF!</definedName>
    <definedName name="EM_026_5" localSheetId="0">#REF!</definedName>
    <definedName name="EM_026_5">#REF!</definedName>
    <definedName name="EM_026_6" localSheetId="0">#REF!</definedName>
    <definedName name="EM_026_6">#REF!</definedName>
    <definedName name="EM_026_7" localSheetId="0">#REF!</definedName>
    <definedName name="EM_026_7">#REF!</definedName>
    <definedName name="EM_026_8" localSheetId="0">#REF!</definedName>
    <definedName name="EM_026_8">#REF!</definedName>
    <definedName name="EM_026_9" localSheetId="0">#REF!</definedName>
    <definedName name="EM_026_9">#REF!</definedName>
    <definedName name="EM_027_1" localSheetId="0">#REF!</definedName>
    <definedName name="EM_027_1">#REF!</definedName>
    <definedName name="EM_027_10" localSheetId="0">#REF!</definedName>
    <definedName name="EM_027_10">#REF!</definedName>
    <definedName name="EM_027_11" localSheetId="0">#REF!</definedName>
    <definedName name="EM_027_11">#REF!</definedName>
    <definedName name="EM_027_12" localSheetId="0">#REF!</definedName>
    <definedName name="EM_027_12">#REF!</definedName>
    <definedName name="EM_027_13" localSheetId="0">#REF!</definedName>
    <definedName name="EM_027_13">#REF!</definedName>
    <definedName name="EM_027_14" localSheetId="0">#REF!</definedName>
    <definedName name="EM_027_14">#REF!</definedName>
    <definedName name="EM_027_15" localSheetId="0">#REF!</definedName>
    <definedName name="EM_027_15">#REF!</definedName>
    <definedName name="EM_027_16" localSheetId="0">#REF!</definedName>
    <definedName name="EM_027_16">#REF!</definedName>
    <definedName name="EM_027_17" localSheetId="0">#REF!</definedName>
    <definedName name="EM_027_17">#REF!</definedName>
    <definedName name="EM_027_18" localSheetId="0">#REF!</definedName>
    <definedName name="EM_027_18">#REF!</definedName>
    <definedName name="EM_027_2" localSheetId="0">#REF!</definedName>
    <definedName name="EM_027_2">#REF!</definedName>
    <definedName name="EM_027_3" localSheetId="0">#REF!</definedName>
    <definedName name="EM_027_3">#REF!</definedName>
    <definedName name="EM_027_4" localSheetId="0">#REF!</definedName>
    <definedName name="EM_027_4">#REF!</definedName>
    <definedName name="EM_027_5" localSheetId="0">#REF!</definedName>
    <definedName name="EM_027_5">#REF!</definedName>
    <definedName name="EM_027_6" localSheetId="0">#REF!</definedName>
    <definedName name="EM_027_6">#REF!</definedName>
    <definedName name="EM_027_7" localSheetId="0">#REF!</definedName>
    <definedName name="EM_027_7">#REF!</definedName>
    <definedName name="EM_027_8" localSheetId="0">#REF!</definedName>
    <definedName name="EM_027_8">#REF!</definedName>
    <definedName name="EM_027_9" localSheetId="0">#REF!</definedName>
    <definedName name="EM_027_9">#REF!</definedName>
    <definedName name="EM_028_1" localSheetId="0">#REF!</definedName>
    <definedName name="EM_028_1">#REF!</definedName>
    <definedName name="EM_028_10" localSheetId="0">#REF!</definedName>
    <definedName name="EM_028_10">#REF!</definedName>
    <definedName name="EM_028_11" localSheetId="0">#REF!</definedName>
    <definedName name="EM_028_11">#REF!</definedName>
    <definedName name="EM_028_12" localSheetId="0">#REF!</definedName>
    <definedName name="EM_028_12">#REF!</definedName>
    <definedName name="EM_028_13" localSheetId="0">#REF!</definedName>
    <definedName name="EM_028_13">#REF!</definedName>
    <definedName name="EM_028_14" localSheetId="0">#REF!</definedName>
    <definedName name="EM_028_14">#REF!</definedName>
    <definedName name="EM_028_15" localSheetId="0">#REF!</definedName>
    <definedName name="EM_028_15">#REF!</definedName>
    <definedName name="EM_028_16" localSheetId="0">#REF!</definedName>
    <definedName name="EM_028_16">#REF!</definedName>
    <definedName name="EM_028_17" localSheetId="0">#REF!</definedName>
    <definedName name="EM_028_17">#REF!</definedName>
    <definedName name="EM_028_18" localSheetId="0">#REF!</definedName>
    <definedName name="EM_028_18">#REF!</definedName>
    <definedName name="EM_028_2" localSheetId="0">#REF!</definedName>
    <definedName name="EM_028_2">#REF!</definedName>
    <definedName name="EM_028_3" localSheetId="0">#REF!</definedName>
    <definedName name="EM_028_3">#REF!</definedName>
    <definedName name="EM_028_4" localSheetId="0">#REF!</definedName>
    <definedName name="EM_028_4">#REF!</definedName>
    <definedName name="EM_028_5" localSheetId="0">#REF!</definedName>
    <definedName name="EM_028_5">#REF!</definedName>
    <definedName name="EM_028_6" localSheetId="0">#REF!</definedName>
    <definedName name="EM_028_6">#REF!</definedName>
    <definedName name="EM_028_7" localSheetId="0">#REF!</definedName>
    <definedName name="EM_028_7">#REF!</definedName>
    <definedName name="EM_028_8" localSheetId="0">#REF!</definedName>
    <definedName name="EM_028_8">#REF!</definedName>
    <definedName name="EM_028_9" localSheetId="0">#REF!</definedName>
    <definedName name="EM_028_9">#REF!</definedName>
    <definedName name="EM_029_1" localSheetId="0">#REF!</definedName>
    <definedName name="EM_029_1">#REF!</definedName>
    <definedName name="EM_029_10" localSheetId="0">#REF!</definedName>
    <definedName name="EM_029_10">#REF!</definedName>
    <definedName name="EM_029_11" localSheetId="0">#REF!</definedName>
    <definedName name="EM_029_11">#REF!</definedName>
    <definedName name="EM_029_12" localSheetId="0">#REF!</definedName>
    <definedName name="EM_029_12">#REF!</definedName>
    <definedName name="EM_029_13" localSheetId="0">#REF!</definedName>
    <definedName name="EM_029_13">#REF!</definedName>
    <definedName name="EM_029_14" localSheetId="0">#REF!</definedName>
    <definedName name="EM_029_14">#REF!</definedName>
    <definedName name="EM_029_15" localSheetId="0">#REF!</definedName>
    <definedName name="EM_029_15">#REF!</definedName>
    <definedName name="EM_029_16" localSheetId="0">#REF!</definedName>
    <definedName name="EM_029_16">#REF!</definedName>
    <definedName name="EM_029_17" localSheetId="0">#REF!</definedName>
    <definedName name="EM_029_17">#REF!</definedName>
    <definedName name="EM_029_18" localSheetId="0">#REF!</definedName>
    <definedName name="EM_029_18">#REF!</definedName>
    <definedName name="EM_029_2" localSheetId="0">#REF!</definedName>
    <definedName name="EM_029_2">#REF!</definedName>
    <definedName name="EM_029_3" localSheetId="0">#REF!</definedName>
    <definedName name="EM_029_3">#REF!</definedName>
    <definedName name="EM_029_4" localSheetId="0">#REF!</definedName>
    <definedName name="EM_029_4">#REF!</definedName>
    <definedName name="EM_029_5" localSheetId="0">#REF!</definedName>
    <definedName name="EM_029_5">#REF!</definedName>
    <definedName name="EM_029_6" localSheetId="0">#REF!</definedName>
    <definedName name="EM_029_6">#REF!</definedName>
    <definedName name="EM_029_7" localSheetId="0">#REF!</definedName>
    <definedName name="EM_029_7">#REF!</definedName>
    <definedName name="EM_029_8" localSheetId="0">#REF!</definedName>
    <definedName name="EM_029_8">#REF!</definedName>
    <definedName name="EM_029_9" localSheetId="0">#REF!</definedName>
    <definedName name="EM_029_9">#REF!</definedName>
    <definedName name="EM_030_1" localSheetId="0">#REF!</definedName>
    <definedName name="EM_030_1">#REF!</definedName>
    <definedName name="EM_030_10" localSheetId="0">#REF!</definedName>
    <definedName name="EM_030_10">#REF!</definedName>
    <definedName name="EM_030_11" localSheetId="0">#REF!</definedName>
    <definedName name="EM_030_11">#REF!</definedName>
    <definedName name="EM_030_12" localSheetId="0">#REF!</definedName>
    <definedName name="EM_030_12">#REF!</definedName>
    <definedName name="EM_030_13" localSheetId="0">#REF!</definedName>
    <definedName name="EM_030_13">#REF!</definedName>
    <definedName name="EM_030_14" localSheetId="0">#REF!</definedName>
    <definedName name="EM_030_14">#REF!</definedName>
    <definedName name="EM_030_15" localSheetId="0">#REF!</definedName>
    <definedName name="EM_030_15">#REF!</definedName>
    <definedName name="EM_030_16" localSheetId="0">#REF!</definedName>
    <definedName name="EM_030_16">#REF!</definedName>
    <definedName name="EM_030_17" localSheetId="0">#REF!</definedName>
    <definedName name="EM_030_17">#REF!</definedName>
    <definedName name="EM_030_18" localSheetId="0">#REF!</definedName>
    <definedName name="EM_030_18">#REF!</definedName>
    <definedName name="EM_030_2" localSheetId="0">#REF!</definedName>
    <definedName name="EM_030_2">#REF!</definedName>
    <definedName name="EM_030_3" localSheetId="0">#REF!</definedName>
    <definedName name="EM_030_3">#REF!</definedName>
    <definedName name="EM_030_4" localSheetId="0">#REF!</definedName>
    <definedName name="EM_030_4">#REF!</definedName>
    <definedName name="EM_030_5" localSheetId="0">#REF!</definedName>
    <definedName name="EM_030_5">#REF!</definedName>
    <definedName name="EM_030_6" localSheetId="0">#REF!</definedName>
    <definedName name="EM_030_6">#REF!</definedName>
    <definedName name="EM_030_7" localSheetId="0">#REF!</definedName>
    <definedName name="EM_030_7">#REF!</definedName>
    <definedName name="EM_030_8" localSheetId="0">#REF!</definedName>
    <definedName name="EM_030_8">#REF!</definedName>
    <definedName name="EM_030_9" localSheetId="0">#REF!</definedName>
    <definedName name="EM_030_9">#REF!</definedName>
    <definedName name="EM_031_1" localSheetId="0">#REF!</definedName>
    <definedName name="EM_031_1">#REF!</definedName>
    <definedName name="EM_031_10" localSheetId="0">#REF!</definedName>
    <definedName name="EM_031_10">#REF!</definedName>
    <definedName name="EM_031_11" localSheetId="0">#REF!</definedName>
    <definedName name="EM_031_11">#REF!</definedName>
    <definedName name="EM_031_12" localSheetId="0">#REF!</definedName>
    <definedName name="EM_031_12">#REF!</definedName>
    <definedName name="EM_031_13" localSheetId="0">#REF!</definedName>
    <definedName name="EM_031_13">#REF!</definedName>
    <definedName name="EM_031_14" localSheetId="0">#REF!</definedName>
    <definedName name="EM_031_14">#REF!</definedName>
    <definedName name="EM_031_15" localSheetId="0">#REF!</definedName>
    <definedName name="EM_031_15">#REF!</definedName>
    <definedName name="EM_031_16" localSheetId="0">#REF!</definedName>
    <definedName name="EM_031_16">#REF!</definedName>
    <definedName name="EM_031_17" localSheetId="0">#REF!</definedName>
    <definedName name="EM_031_17">#REF!</definedName>
    <definedName name="EM_031_18" localSheetId="0">#REF!</definedName>
    <definedName name="EM_031_18">#REF!</definedName>
    <definedName name="EM_031_2" localSheetId="0">#REF!</definedName>
    <definedName name="EM_031_2">#REF!</definedName>
    <definedName name="EM_031_3" localSheetId="0">#REF!</definedName>
    <definedName name="EM_031_3">#REF!</definedName>
    <definedName name="EM_031_4" localSheetId="0">#REF!</definedName>
    <definedName name="EM_031_4">#REF!</definedName>
    <definedName name="EM_031_5" localSheetId="0">#REF!</definedName>
    <definedName name="EM_031_5">#REF!</definedName>
    <definedName name="EM_031_6" localSheetId="0">#REF!</definedName>
    <definedName name="EM_031_6">#REF!</definedName>
    <definedName name="EM_031_7" localSheetId="0">#REF!</definedName>
    <definedName name="EM_031_7">#REF!</definedName>
    <definedName name="EM_031_8" localSheetId="0">#REF!</definedName>
    <definedName name="EM_031_8">#REF!</definedName>
    <definedName name="EM_031_9" localSheetId="0">#REF!</definedName>
    <definedName name="EM_031_9">#REF!</definedName>
    <definedName name="EM_032_1" localSheetId="0">#REF!</definedName>
    <definedName name="EM_032_1">#REF!</definedName>
    <definedName name="EM_032_10" localSheetId="0">#REF!</definedName>
    <definedName name="EM_032_10">#REF!</definedName>
    <definedName name="EM_032_11" localSheetId="0">#REF!</definedName>
    <definedName name="EM_032_11">#REF!</definedName>
    <definedName name="EM_032_12" localSheetId="0">#REF!</definedName>
    <definedName name="EM_032_12">#REF!</definedName>
    <definedName name="EM_032_13" localSheetId="0">#REF!</definedName>
    <definedName name="EM_032_13">#REF!</definedName>
    <definedName name="EM_032_14" localSheetId="0">#REF!</definedName>
    <definedName name="EM_032_14">#REF!</definedName>
    <definedName name="EM_032_15" localSheetId="0">#REF!</definedName>
    <definedName name="EM_032_15">#REF!</definedName>
    <definedName name="EM_032_16" localSheetId="0">#REF!</definedName>
    <definedName name="EM_032_16">#REF!</definedName>
    <definedName name="EM_032_17" localSheetId="0">#REF!</definedName>
    <definedName name="EM_032_17">#REF!</definedName>
    <definedName name="EM_032_18" localSheetId="0">#REF!</definedName>
    <definedName name="EM_032_18">#REF!</definedName>
    <definedName name="EM_032_2" localSheetId="0">#REF!</definedName>
    <definedName name="EM_032_2">#REF!</definedName>
    <definedName name="EM_032_3" localSheetId="0">#REF!</definedName>
    <definedName name="EM_032_3">#REF!</definedName>
    <definedName name="EM_032_4" localSheetId="0">#REF!</definedName>
    <definedName name="EM_032_4">#REF!</definedName>
    <definedName name="EM_032_5" localSheetId="0">#REF!</definedName>
    <definedName name="EM_032_5">#REF!</definedName>
    <definedName name="EM_032_6" localSheetId="0">#REF!</definedName>
    <definedName name="EM_032_6">#REF!</definedName>
    <definedName name="EM_032_7" localSheetId="0">#REF!</definedName>
    <definedName name="EM_032_7">#REF!</definedName>
    <definedName name="EM_032_8" localSheetId="0">#REF!</definedName>
    <definedName name="EM_032_8">#REF!</definedName>
    <definedName name="EM_032_9" localSheetId="0">#REF!</definedName>
    <definedName name="EM_032_9">#REF!</definedName>
    <definedName name="EM_033_1" localSheetId="0">#REF!</definedName>
    <definedName name="EM_033_1">#REF!</definedName>
    <definedName name="EM_033_10" localSheetId="0">#REF!</definedName>
    <definedName name="EM_033_10">#REF!</definedName>
    <definedName name="EM_033_11" localSheetId="0">#REF!</definedName>
    <definedName name="EM_033_11">#REF!</definedName>
    <definedName name="EM_033_12" localSheetId="0">#REF!</definedName>
    <definedName name="EM_033_12">#REF!</definedName>
    <definedName name="EM_033_13" localSheetId="0">#REF!</definedName>
    <definedName name="EM_033_13">#REF!</definedName>
    <definedName name="EM_033_14" localSheetId="0">#REF!</definedName>
    <definedName name="EM_033_14">#REF!</definedName>
    <definedName name="EM_033_15" localSheetId="0">#REF!</definedName>
    <definedName name="EM_033_15">#REF!</definedName>
    <definedName name="EM_033_16" localSheetId="0">#REF!</definedName>
    <definedName name="EM_033_16">#REF!</definedName>
    <definedName name="EM_033_17" localSheetId="0">#REF!</definedName>
    <definedName name="EM_033_17">#REF!</definedName>
    <definedName name="EM_033_18" localSheetId="0">#REF!</definedName>
    <definedName name="EM_033_18">#REF!</definedName>
    <definedName name="EM_033_2" localSheetId="0">#REF!</definedName>
    <definedName name="EM_033_2">#REF!</definedName>
    <definedName name="EM_033_3" localSheetId="0">#REF!</definedName>
    <definedName name="EM_033_3">#REF!</definedName>
    <definedName name="EM_033_4" localSheetId="0">#REF!</definedName>
    <definedName name="EM_033_4">#REF!</definedName>
    <definedName name="EM_033_5" localSheetId="0">#REF!</definedName>
    <definedName name="EM_033_5">#REF!</definedName>
    <definedName name="EM_033_6" localSheetId="0">#REF!</definedName>
    <definedName name="EM_033_6">#REF!</definedName>
    <definedName name="EM_033_7" localSheetId="0">#REF!</definedName>
    <definedName name="EM_033_7">#REF!</definedName>
    <definedName name="EM_033_8" localSheetId="0">#REF!</definedName>
    <definedName name="EM_033_8">#REF!</definedName>
    <definedName name="EM_033_9" localSheetId="0">#REF!</definedName>
    <definedName name="EM_033_9">#REF!</definedName>
    <definedName name="EM_034_1" localSheetId="0">#REF!</definedName>
    <definedName name="EM_034_1">#REF!</definedName>
    <definedName name="EM_034_10" localSheetId="0">#REF!</definedName>
    <definedName name="EM_034_10">#REF!</definedName>
    <definedName name="EM_034_11" localSheetId="0">#REF!</definedName>
    <definedName name="EM_034_11">#REF!</definedName>
    <definedName name="EM_034_12" localSheetId="0">#REF!</definedName>
    <definedName name="EM_034_12">#REF!</definedName>
    <definedName name="EM_034_13" localSheetId="0">#REF!</definedName>
    <definedName name="EM_034_13">#REF!</definedName>
    <definedName name="EM_034_14" localSheetId="0">#REF!</definedName>
    <definedName name="EM_034_14">#REF!</definedName>
    <definedName name="EM_034_15" localSheetId="0">#REF!</definedName>
    <definedName name="EM_034_15">#REF!</definedName>
    <definedName name="EM_034_16" localSheetId="0">#REF!</definedName>
    <definedName name="EM_034_16">#REF!</definedName>
    <definedName name="EM_034_17" localSheetId="0">#REF!</definedName>
    <definedName name="EM_034_17">#REF!</definedName>
    <definedName name="EM_034_18" localSheetId="0">#REF!</definedName>
    <definedName name="EM_034_18">#REF!</definedName>
    <definedName name="EM_034_2" localSheetId="0">#REF!</definedName>
    <definedName name="EM_034_2">#REF!</definedName>
    <definedName name="EM_034_3" localSheetId="0">#REF!</definedName>
    <definedName name="EM_034_3">#REF!</definedName>
    <definedName name="EM_034_4" localSheetId="0">#REF!</definedName>
    <definedName name="EM_034_4">#REF!</definedName>
    <definedName name="EM_034_5" localSheetId="0">#REF!</definedName>
    <definedName name="EM_034_5">#REF!</definedName>
    <definedName name="EM_034_6" localSheetId="0">#REF!</definedName>
    <definedName name="EM_034_6">#REF!</definedName>
    <definedName name="EM_034_7" localSheetId="0">#REF!</definedName>
    <definedName name="EM_034_7">#REF!</definedName>
    <definedName name="EM_034_8" localSheetId="0">#REF!</definedName>
    <definedName name="EM_034_8">#REF!</definedName>
    <definedName name="EM_034_9" localSheetId="0">#REF!</definedName>
    <definedName name="EM_034_9">#REF!</definedName>
    <definedName name="EM_035_1" localSheetId="0">#REF!</definedName>
    <definedName name="EM_035_1">#REF!</definedName>
    <definedName name="EM_035_10" localSheetId="0">#REF!</definedName>
    <definedName name="EM_035_10">#REF!</definedName>
    <definedName name="EM_035_11" localSheetId="0">#REF!</definedName>
    <definedName name="EM_035_11">#REF!</definedName>
    <definedName name="EM_035_12" localSheetId="0">#REF!</definedName>
    <definedName name="EM_035_12">#REF!</definedName>
    <definedName name="EM_035_13" localSheetId="0">#REF!</definedName>
    <definedName name="EM_035_13">#REF!</definedName>
    <definedName name="EM_035_14" localSheetId="0">#REF!</definedName>
    <definedName name="EM_035_14">#REF!</definedName>
    <definedName name="EM_035_15" localSheetId="0">#REF!</definedName>
    <definedName name="EM_035_15">#REF!</definedName>
    <definedName name="EM_035_16" localSheetId="0">#REF!</definedName>
    <definedName name="EM_035_16">#REF!</definedName>
    <definedName name="EM_035_17" localSheetId="0">#REF!</definedName>
    <definedName name="EM_035_17">#REF!</definedName>
    <definedName name="EM_035_18" localSheetId="0">#REF!</definedName>
    <definedName name="EM_035_18">#REF!</definedName>
    <definedName name="EM_035_2" localSheetId="0">#REF!</definedName>
    <definedName name="EM_035_2">#REF!</definedName>
    <definedName name="EM_035_3" localSheetId="0">#REF!</definedName>
    <definedName name="EM_035_3">#REF!</definedName>
    <definedName name="EM_035_4" localSheetId="0">#REF!</definedName>
    <definedName name="EM_035_4">#REF!</definedName>
    <definedName name="EM_035_5" localSheetId="0">#REF!</definedName>
    <definedName name="EM_035_5">#REF!</definedName>
    <definedName name="EM_035_6" localSheetId="0">#REF!</definedName>
    <definedName name="EM_035_6">#REF!</definedName>
    <definedName name="EM_035_7" localSheetId="0">#REF!</definedName>
    <definedName name="EM_035_7">#REF!</definedName>
    <definedName name="EM_035_8" localSheetId="0">#REF!</definedName>
    <definedName name="EM_035_8">#REF!</definedName>
    <definedName name="EM_035_9" localSheetId="0">#REF!</definedName>
    <definedName name="EM_035_9">#REF!</definedName>
    <definedName name="EM_036_1" localSheetId="0">#REF!</definedName>
    <definedName name="EM_036_1">#REF!</definedName>
    <definedName name="EM_036_10" localSheetId="0">#REF!</definedName>
    <definedName name="EM_036_10">#REF!</definedName>
    <definedName name="EM_036_11" localSheetId="0">#REF!</definedName>
    <definedName name="EM_036_11">#REF!</definedName>
    <definedName name="EM_036_12" localSheetId="0">#REF!</definedName>
    <definedName name="EM_036_12">#REF!</definedName>
    <definedName name="EM_036_13" localSheetId="0">#REF!</definedName>
    <definedName name="EM_036_13">#REF!</definedName>
    <definedName name="EM_036_14" localSheetId="0">#REF!</definedName>
    <definedName name="EM_036_14">#REF!</definedName>
    <definedName name="EM_036_15" localSheetId="0">#REF!</definedName>
    <definedName name="EM_036_15">#REF!</definedName>
    <definedName name="EM_036_16" localSheetId="0">#REF!</definedName>
    <definedName name="EM_036_16">#REF!</definedName>
    <definedName name="EM_036_17" localSheetId="0">#REF!</definedName>
    <definedName name="EM_036_17">#REF!</definedName>
    <definedName name="EM_036_18" localSheetId="0">#REF!</definedName>
    <definedName name="EM_036_18">#REF!</definedName>
    <definedName name="EM_036_2" localSheetId="0">#REF!</definedName>
    <definedName name="EM_036_2">#REF!</definedName>
    <definedName name="EM_036_3" localSheetId="0">#REF!</definedName>
    <definedName name="EM_036_3">#REF!</definedName>
    <definedName name="EM_036_4" localSheetId="0">#REF!</definedName>
    <definedName name="EM_036_4">#REF!</definedName>
    <definedName name="EM_036_5" localSheetId="0">#REF!</definedName>
    <definedName name="EM_036_5">#REF!</definedName>
    <definedName name="EM_036_6" localSheetId="0">#REF!</definedName>
    <definedName name="EM_036_6">#REF!</definedName>
    <definedName name="EM_036_7" localSheetId="0">#REF!</definedName>
    <definedName name="EM_036_7">#REF!</definedName>
    <definedName name="EM_036_8" localSheetId="0">#REF!</definedName>
    <definedName name="EM_036_8">#REF!</definedName>
    <definedName name="EM_036_9" localSheetId="0">#REF!</definedName>
    <definedName name="EM_036_9">#REF!</definedName>
    <definedName name="EM_037_1" localSheetId="0">#REF!</definedName>
    <definedName name="EM_037_1">#REF!</definedName>
    <definedName name="EM_037_10" localSheetId="0">#REF!</definedName>
    <definedName name="EM_037_10">#REF!</definedName>
    <definedName name="EM_037_11" localSheetId="0">#REF!</definedName>
    <definedName name="EM_037_11">#REF!</definedName>
    <definedName name="EM_037_12" localSheetId="0">#REF!</definedName>
    <definedName name="EM_037_12">#REF!</definedName>
    <definedName name="EM_037_13" localSheetId="0">#REF!</definedName>
    <definedName name="EM_037_13">#REF!</definedName>
    <definedName name="EM_037_14" localSheetId="0">#REF!</definedName>
    <definedName name="EM_037_14">#REF!</definedName>
    <definedName name="EM_037_15" localSheetId="0">#REF!</definedName>
    <definedName name="EM_037_15">#REF!</definedName>
    <definedName name="EM_037_16" localSheetId="0">#REF!</definedName>
    <definedName name="EM_037_16">#REF!</definedName>
    <definedName name="EM_037_17" localSheetId="0">#REF!</definedName>
    <definedName name="EM_037_17">#REF!</definedName>
    <definedName name="EM_037_18" localSheetId="0">#REF!</definedName>
    <definedName name="EM_037_18">#REF!</definedName>
    <definedName name="EM_037_2" localSheetId="0">#REF!</definedName>
    <definedName name="EM_037_2">#REF!</definedName>
    <definedName name="EM_037_3" localSheetId="0">#REF!</definedName>
    <definedName name="EM_037_3">#REF!</definedName>
    <definedName name="EM_037_4" localSheetId="0">#REF!</definedName>
    <definedName name="EM_037_4">#REF!</definedName>
    <definedName name="EM_037_5" localSheetId="0">#REF!</definedName>
    <definedName name="EM_037_5">#REF!</definedName>
    <definedName name="EM_037_6" localSheetId="0">#REF!</definedName>
    <definedName name="EM_037_6">#REF!</definedName>
    <definedName name="EM_037_7" localSheetId="0">#REF!</definedName>
    <definedName name="EM_037_7">#REF!</definedName>
    <definedName name="EM_037_8" localSheetId="0">#REF!</definedName>
    <definedName name="EM_037_8">#REF!</definedName>
    <definedName name="EM_037_9" localSheetId="0">#REF!</definedName>
    <definedName name="EM_037_9">#REF!</definedName>
    <definedName name="EM_038_1" localSheetId="0">#REF!</definedName>
    <definedName name="EM_038_1">#REF!</definedName>
    <definedName name="EM_038_10" localSheetId="0">#REF!</definedName>
    <definedName name="EM_038_10">#REF!</definedName>
    <definedName name="EM_038_11" localSheetId="0">#REF!</definedName>
    <definedName name="EM_038_11">#REF!</definedName>
    <definedName name="EM_038_12" localSheetId="0">#REF!</definedName>
    <definedName name="EM_038_12">#REF!</definedName>
    <definedName name="EM_038_13" localSheetId="0">#REF!</definedName>
    <definedName name="EM_038_13">#REF!</definedName>
    <definedName name="EM_038_14" localSheetId="0">#REF!</definedName>
    <definedName name="EM_038_14">#REF!</definedName>
    <definedName name="EM_038_15" localSheetId="0">#REF!</definedName>
    <definedName name="EM_038_15">#REF!</definedName>
    <definedName name="EM_038_16" localSheetId="0">#REF!</definedName>
    <definedName name="EM_038_16">#REF!</definedName>
    <definedName name="EM_038_17" localSheetId="0">#REF!</definedName>
    <definedName name="EM_038_17">#REF!</definedName>
    <definedName name="EM_038_18" localSheetId="0">#REF!</definedName>
    <definedName name="EM_038_18">#REF!</definedName>
    <definedName name="EM_038_2" localSheetId="0">#REF!</definedName>
    <definedName name="EM_038_2">#REF!</definedName>
    <definedName name="EM_038_3" localSheetId="0">#REF!</definedName>
    <definedName name="EM_038_3">#REF!</definedName>
    <definedName name="EM_038_4" localSheetId="0">#REF!</definedName>
    <definedName name="EM_038_4">#REF!</definedName>
    <definedName name="EM_038_5" localSheetId="0">#REF!</definedName>
    <definedName name="EM_038_5">#REF!</definedName>
    <definedName name="EM_038_6" localSheetId="0">#REF!</definedName>
    <definedName name="EM_038_6">#REF!</definedName>
    <definedName name="EM_038_7" localSheetId="0">#REF!</definedName>
    <definedName name="EM_038_7">#REF!</definedName>
    <definedName name="EM_038_8" localSheetId="0">#REF!</definedName>
    <definedName name="EM_038_8">#REF!</definedName>
    <definedName name="EM_038_9" localSheetId="0">#REF!</definedName>
    <definedName name="EM_038_9">#REF!</definedName>
    <definedName name="EM_039_1" localSheetId="0">#REF!</definedName>
    <definedName name="EM_039_1">#REF!</definedName>
    <definedName name="EM_039_10" localSheetId="0">#REF!</definedName>
    <definedName name="EM_039_10">#REF!</definedName>
    <definedName name="EM_039_11" localSheetId="0">#REF!</definedName>
    <definedName name="EM_039_11">#REF!</definedName>
    <definedName name="EM_039_12" localSheetId="0">#REF!</definedName>
    <definedName name="EM_039_12">#REF!</definedName>
    <definedName name="EM_039_13" localSheetId="0">#REF!</definedName>
    <definedName name="EM_039_13">#REF!</definedName>
    <definedName name="EM_039_14" localSheetId="0">#REF!</definedName>
    <definedName name="EM_039_14">#REF!</definedName>
    <definedName name="EM_039_15" localSheetId="0">#REF!</definedName>
    <definedName name="EM_039_15">#REF!</definedName>
    <definedName name="EM_039_16" localSheetId="0">#REF!</definedName>
    <definedName name="EM_039_16">#REF!</definedName>
    <definedName name="EM_039_17" localSheetId="0">#REF!</definedName>
    <definedName name="EM_039_17">#REF!</definedName>
    <definedName name="EM_039_18" localSheetId="0">#REF!</definedName>
    <definedName name="EM_039_18">#REF!</definedName>
    <definedName name="EM_039_2" localSheetId="0">#REF!</definedName>
    <definedName name="EM_039_2">#REF!</definedName>
    <definedName name="EM_039_3" localSheetId="0">#REF!</definedName>
    <definedName name="EM_039_3">#REF!</definedName>
    <definedName name="EM_039_4" localSheetId="0">#REF!</definedName>
    <definedName name="EM_039_4">#REF!</definedName>
    <definedName name="EM_039_5" localSheetId="0">#REF!</definedName>
    <definedName name="EM_039_5">#REF!</definedName>
    <definedName name="EM_039_6" localSheetId="0">#REF!</definedName>
    <definedName name="EM_039_6">#REF!</definedName>
    <definedName name="EM_039_7" localSheetId="0">#REF!</definedName>
    <definedName name="EM_039_7">#REF!</definedName>
    <definedName name="EM_039_8" localSheetId="0">#REF!</definedName>
    <definedName name="EM_039_8">#REF!</definedName>
    <definedName name="EM_039_9" localSheetId="0">#REF!</definedName>
    <definedName name="EM_039_9">#REF!</definedName>
    <definedName name="EM_051_14" localSheetId="0">#REF!</definedName>
    <definedName name="EM_051_14">#REF!</definedName>
    <definedName name="EM_051_15" localSheetId="0">#REF!</definedName>
    <definedName name="EM_051_15">#REF!</definedName>
    <definedName name="EM_051_16" localSheetId="0">#REF!</definedName>
    <definedName name="EM_051_16">#REF!</definedName>
    <definedName name="EM_051_17" localSheetId="0">#REF!</definedName>
    <definedName name="EM_051_17">#REF!</definedName>
    <definedName name="EM_051_18" localSheetId="0">#REF!</definedName>
    <definedName name="EM_051_18">#REF!</definedName>
    <definedName name="EM_052_14" localSheetId="0">#REF!</definedName>
    <definedName name="EM_052_14">#REF!</definedName>
    <definedName name="EM_052_15" localSheetId="0">#REF!</definedName>
    <definedName name="EM_052_15">#REF!</definedName>
    <definedName name="EM_052_16" localSheetId="0">#REF!</definedName>
    <definedName name="EM_052_16">#REF!</definedName>
    <definedName name="EM_052_17" localSheetId="0">#REF!</definedName>
    <definedName name="EM_052_17">#REF!</definedName>
    <definedName name="EM_052_18" localSheetId="0">#REF!</definedName>
    <definedName name="EM_052_18">#REF!</definedName>
    <definedName name="EM_053_14" localSheetId="0">#REF!</definedName>
    <definedName name="EM_053_14">#REF!</definedName>
    <definedName name="EM_053_15" localSheetId="0">#REF!</definedName>
    <definedName name="EM_053_15">#REF!</definedName>
    <definedName name="EM_053_16" localSheetId="0">#REF!</definedName>
    <definedName name="EM_053_16">#REF!</definedName>
    <definedName name="EM_053_17" localSheetId="0">#REF!</definedName>
    <definedName name="EM_053_17">#REF!</definedName>
    <definedName name="EM_053_18" localSheetId="0">#REF!</definedName>
    <definedName name="EM_053_18">#REF!</definedName>
    <definedName name="EM_054_14" localSheetId="0">#REF!</definedName>
    <definedName name="EM_054_14">#REF!</definedName>
    <definedName name="EM_054_15" localSheetId="0">#REF!</definedName>
    <definedName name="EM_054_15">#REF!</definedName>
    <definedName name="EM_054_16" localSheetId="0">#REF!</definedName>
    <definedName name="EM_054_16">#REF!</definedName>
    <definedName name="EM_054_17" localSheetId="0">#REF!</definedName>
    <definedName name="EM_054_17">#REF!</definedName>
    <definedName name="EM_054_18" localSheetId="0">#REF!</definedName>
    <definedName name="EM_054_18">#REF!</definedName>
    <definedName name="EM_055_14" localSheetId="0">#REF!</definedName>
    <definedName name="EM_055_14">#REF!</definedName>
    <definedName name="EM_055_15" localSheetId="0">#REF!</definedName>
    <definedName name="EM_055_15">#REF!</definedName>
    <definedName name="EM_055_16" localSheetId="0">#REF!</definedName>
    <definedName name="EM_055_16">#REF!</definedName>
    <definedName name="EM_055_17" localSheetId="0">#REF!</definedName>
    <definedName name="EM_055_17">#REF!</definedName>
    <definedName name="EM_055_18" localSheetId="0">#REF!</definedName>
    <definedName name="EM_055_18">#REF!</definedName>
    <definedName name="EM_056_14" localSheetId="0">#REF!</definedName>
    <definedName name="EM_056_14">#REF!</definedName>
    <definedName name="EM_056_15" localSheetId="0">#REF!</definedName>
    <definedName name="EM_056_15">#REF!</definedName>
    <definedName name="EM_056_16" localSheetId="0">#REF!</definedName>
    <definedName name="EM_056_16">#REF!</definedName>
    <definedName name="EM_056_17" localSheetId="0">#REF!</definedName>
    <definedName name="EM_056_17">#REF!</definedName>
    <definedName name="EM_056_18" localSheetId="0">#REF!</definedName>
    <definedName name="EM_056_18">#REF!</definedName>
    <definedName name="EM_057_14" localSheetId="0">#REF!</definedName>
    <definedName name="EM_057_14">#REF!</definedName>
    <definedName name="EM_057_15" localSheetId="0">#REF!</definedName>
    <definedName name="EM_057_15">#REF!</definedName>
    <definedName name="EM_057_16" localSheetId="0">#REF!</definedName>
    <definedName name="EM_057_16">#REF!</definedName>
    <definedName name="EM_057_17" localSheetId="0">#REF!</definedName>
    <definedName name="EM_057_17">#REF!</definedName>
    <definedName name="EM_057_18" localSheetId="0">#REF!</definedName>
    <definedName name="EM_057_18">#REF!</definedName>
    <definedName name="EM_058_14" localSheetId="0">#REF!</definedName>
    <definedName name="EM_058_14">#REF!</definedName>
    <definedName name="EM_058_15" localSheetId="0">#REF!</definedName>
    <definedName name="EM_058_15">#REF!</definedName>
    <definedName name="EM_058_16" localSheetId="0">#REF!</definedName>
    <definedName name="EM_058_16">#REF!</definedName>
    <definedName name="EM_058_17" localSheetId="0">#REF!</definedName>
    <definedName name="EM_058_17">#REF!</definedName>
    <definedName name="EM_058_18" localSheetId="0">#REF!</definedName>
    <definedName name="EM_058_18">#REF!</definedName>
    <definedName name="EM_059_14" localSheetId="0">#REF!</definedName>
    <definedName name="EM_059_14">#REF!</definedName>
    <definedName name="EM_059_15" localSheetId="0">#REF!</definedName>
    <definedName name="EM_059_15">#REF!</definedName>
    <definedName name="EM_059_16" localSheetId="0">#REF!</definedName>
    <definedName name="EM_059_16">#REF!</definedName>
    <definedName name="EM_059_17" localSheetId="0">#REF!</definedName>
    <definedName name="EM_059_17">#REF!</definedName>
    <definedName name="EM_059_18" localSheetId="0">#REF!</definedName>
    <definedName name="EM_059_18">#REF!</definedName>
    <definedName name="EM_060_14" localSheetId="0">#REF!</definedName>
    <definedName name="EM_060_14">#REF!</definedName>
    <definedName name="EM_060_15" localSheetId="0">#REF!</definedName>
    <definedName name="EM_060_15">#REF!</definedName>
    <definedName name="EM_060_16" localSheetId="0">#REF!</definedName>
    <definedName name="EM_060_16">#REF!</definedName>
    <definedName name="EM_060_17" localSheetId="0">#REF!</definedName>
    <definedName name="EM_060_17">#REF!</definedName>
    <definedName name="EM_060_18" localSheetId="0">#REF!</definedName>
    <definedName name="EM_060_18">#REF!</definedName>
    <definedName name="EM_061_14" localSheetId="0">#REF!</definedName>
    <definedName name="EM_061_14">#REF!</definedName>
    <definedName name="EM_061_15" localSheetId="0">#REF!</definedName>
    <definedName name="EM_061_15">#REF!</definedName>
    <definedName name="EM_061_16" localSheetId="0">#REF!</definedName>
    <definedName name="EM_061_16">#REF!</definedName>
    <definedName name="EM_061_17" localSheetId="0">#REF!</definedName>
    <definedName name="EM_061_17">#REF!</definedName>
    <definedName name="EM_061_18" localSheetId="0">#REF!</definedName>
    <definedName name="EM_061_18">#REF!</definedName>
    <definedName name="EM_062_14" localSheetId="0">#REF!</definedName>
    <definedName name="EM_062_14">#REF!</definedName>
    <definedName name="EM_062_15" localSheetId="0">#REF!</definedName>
    <definedName name="EM_062_15">#REF!</definedName>
    <definedName name="EM_062_16" localSheetId="0">#REF!</definedName>
    <definedName name="EM_062_16">#REF!</definedName>
    <definedName name="EM_062_17" localSheetId="0">#REF!</definedName>
    <definedName name="EM_062_17">#REF!</definedName>
    <definedName name="EM_062_18" localSheetId="0">#REF!</definedName>
    <definedName name="EM_062_18">#REF!</definedName>
    <definedName name="EM_063_14" localSheetId="0">#REF!</definedName>
    <definedName name="EM_063_14">#REF!</definedName>
    <definedName name="EM_063_15" localSheetId="0">#REF!</definedName>
    <definedName name="EM_063_15">#REF!</definedName>
    <definedName name="EM_063_16" localSheetId="0">#REF!</definedName>
    <definedName name="EM_063_16">#REF!</definedName>
    <definedName name="EM_063_17" localSheetId="0">#REF!</definedName>
    <definedName name="EM_063_17">#REF!</definedName>
    <definedName name="EM_063_18" localSheetId="0">#REF!</definedName>
    <definedName name="EM_063_18">#REF!</definedName>
    <definedName name="EM_064_14" localSheetId="0">#REF!</definedName>
    <definedName name="EM_064_14">#REF!</definedName>
    <definedName name="EM_064_15" localSheetId="0">#REF!</definedName>
    <definedName name="EM_064_15">#REF!</definedName>
    <definedName name="EM_064_16" localSheetId="0">#REF!</definedName>
    <definedName name="EM_064_16">#REF!</definedName>
    <definedName name="EM_064_17" localSheetId="0">#REF!</definedName>
    <definedName name="EM_064_17">#REF!</definedName>
    <definedName name="EM_064_18" localSheetId="0">#REF!</definedName>
    <definedName name="EM_064_18">#REF!</definedName>
    <definedName name="EM_065_14" localSheetId="0">#REF!</definedName>
    <definedName name="EM_065_14">#REF!</definedName>
    <definedName name="EM_065_15" localSheetId="0">#REF!</definedName>
    <definedName name="EM_065_15">#REF!</definedName>
    <definedName name="EM_065_16" localSheetId="0">#REF!</definedName>
    <definedName name="EM_065_16">#REF!</definedName>
    <definedName name="EM_065_17" localSheetId="0">#REF!</definedName>
    <definedName name="EM_065_17">#REF!</definedName>
    <definedName name="EM_065_18" localSheetId="0">#REF!</definedName>
    <definedName name="EM_065_18">#REF!</definedName>
    <definedName name="EM_066_14" localSheetId="0">#REF!</definedName>
    <definedName name="EM_066_14">#REF!</definedName>
    <definedName name="EM_066_15" localSheetId="0">#REF!</definedName>
    <definedName name="EM_066_15">#REF!</definedName>
    <definedName name="EM_066_16" localSheetId="0">#REF!</definedName>
    <definedName name="EM_066_16">#REF!</definedName>
    <definedName name="EM_066_17" localSheetId="0">#REF!</definedName>
    <definedName name="EM_066_17">#REF!</definedName>
    <definedName name="EM_066_18" localSheetId="0">#REF!</definedName>
    <definedName name="EM_066_18">#REF!</definedName>
    <definedName name="EM_067_14" localSheetId="0">#REF!</definedName>
    <definedName name="EM_067_14">#REF!</definedName>
    <definedName name="EM_067_15" localSheetId="0">#REF!</definedName>
    <definedName name="EM_067_15">#REF!</definedName>
    <definedName name="EM_067_16" localSheetId="0">#REF!</definedName>
    <definedName name="EM_067_16">#REF!</definedName>
    <definedName name="EM_067_17" localSheetId="0">#REF!</definedName>
    <definedName name="EM_067_17">#REF!</definedName>
    <definedName name="EM_067_18" localSheetId="0">#REF!</definedName>
    <definedName name="EM_067_18">#REF!</definedName>
    <definedName name="EM_068_14" localSheetId="0">#REF!</definedName>
    <definedName name="EM_068_14">#REF!</definedName>
    <definedName name="EM_068_15" localSheetId="0">#REF!</definedName>
    <definedName name="EM_068_15">#REF!</definedName>
    <definedName name="EM_068_16" localSheetId="0">#REF!</definedName>
    <definedName name="EM_068_16">#REF!</definedName>
    <definedName name="EM_068_17" localSheetId="0">#REF!</definedName>
    <definedName name="EM_068_17">#REF!</definedName>
    <definedName name="EM_068_18" localSheetId="0">#REF!</definedName>
    <definedName name="EM_068_18">#REF!</definedName>
    <definedName name="EM_069_14" localSheetId="0">#REF!</definedName>
    <definedName name="EM_069_14">#REF!</definedName>
    <definedName name="EM_069_15" localSheetId="0">#REF!</definedName>
    <definedName name="EM_069_15">#REF!</definedName>
    <definedName name="EM_069_16" localSheetId="0">#REF!</definedName>
    <definedName name="EM_069_16">#REF!</definedName>
    <definedName name="EM_069_17" localSheetId="0">#REF!</definedName>
    <definedName name="EM_069_17">#REF!</definedName>
    <definedName name="EM_069_18" localSheetId="0">#REF!</definedName>
    <definedName name="EM_069_18">#REF!</definedName>
    <definedName name="EM_070_14" localSheetId="0">#REF!</definedName>
    <definedName name="EM_070_14">#REF!</definedName>
    <definedName name="EM_070_15" localSheetId="0">#REF!</definedName>
    <definedName name="EM_070_15">#REF!</definedName>
    <definedName name="EM_070_16" localSheetId="0">#REF!</definedName>
    <definedName name="EM_070_16">#REF!</definedName>
    <definedName name="EM_070_17" localSheetId="0">#REF!</definedName>
    <definedName name="EM_070_17">#REF!</definedName>
    <definedName name="EM_070_18" localSheetId="0">#REF!</definedName>
    <definedName name="EM_070_18">#REF!</definedName>
    <definedName name="EM_071_14" localSheetId="0">#REF!</definedName>
    <definedName name="EM_071_14">#REF!</definedName>
    <definedName name="EM_071_15" localSheetId="0">#REF!</definedName>
    <definedName name="EM_071_15">#REF!</definedName>
    <definedName name="EM_071_16" localSheetId="0">#REF!</definedName>
    <definedName name="EM_071_16">#REF!</definedName>
    <definedName name="EM_071_17" localSheetId="0">#REF!</definedName>
    <definedName name="EM_071_17">#REF!</definedName>
    <definedName name="EM_071_18" localSheetId="0">#REF!</definedName>
    <definedName name="EM_071_18">#REF!</definedName>
    <definedName name="EM_072_14" localSheetId="0">#REF!</definedName>
    <definedName name="EM_072_14">#REF!</definedName>
    <definedName name="EM_072_15" localSheetId="0">#REF!</definedName>
    <definedName name="EM_072_15">#REF!</definedName>
    <definedName name="EM_072_16" localSheetId="0">#REF!</definedName>
    <definedName name="EM_072_16">#REF!</definedName>
    <definedName name="EM_072_17" localSheetId="0">#REF!</definedName>
    <definedName name="EM_072_17">#REF!</definedName>
    <definedName name="EM_072_18" localSheetId="0">#REF!</definedName>
    <definedName name="EM_072_18">#REF!</definedName>
    <definedName name="EM_073_14" localSheetId="0">#REF!</definedName>
    <definedName name="EM_073_14">#REF!</definedName>
    <definedName name="EM_073_15" localSheetId="0">#REF!</definedName>
    <definedName name="EM_073_15">#REF!</definedName>
    <definedName name="EM_073_16" localSheetId="0">#REF!</definedName>
    <definedName name="EM_073_16">#REF!</definedName>
    <definedName name="EM_073_17" localSheetId="0">#REF!</definedName>
    <definedName name="EM_073_17">#REF!</definedName>
    <definedName name="EM_073_18" localSheetId="0">#REF!</definedName>
    <definedName name="EM_073_18">#REF!</definedName>
    <definedName name="EM_074_14" localSheetId="0">#REF!</definedName>
    <definedName name="EM_074_14">#REF!</definedName>
    <definedName name="EM_074_15" localSheetId="0">#REF!</definedName>
    <definedName name="EM_074_15">#REF!</definedName>
    <definedName name="EM_074_16" localSheetId="0">#REF!</definedName>
    <definedName name="EM_074_16">#REF!</definedName>
    <definedName name="EM_074_17" localSheetId="0">#REF!</definedName>
    <definedName name="EM_074_17">#REF!</definedName>
    <definedName name="EM_074_18" localSheetId="0">#REF!</definedName>
    <definedName name="EM_074_18">#REF!</definedName>
    <definedName name="EMF">#REF!</definedName>
    <definedName name="EMFR">#REF!</definedName>
    <definedName name="EMFS">#REF!</definedName>
    <definedName name="END" localSheetId="0">#REF!</definedName>
    <definedName name="END">#REF!</definedName>
    <definedName name="EndCell">#REF!</definedName>
    <definedName name="eng_proj_id_001" localSheetId="0">#REF!</definedName>
    <definedName name="eng_proj_id_001">#REF!</definedName>
    <definedName name="eng_ref_id_001" localSheetId="0">#REF!</definedName>
    <definedName name="eng_ref_id_001">#REF!</definedName>
    <definedName name="eq" localSheetId="0">[49]eq_data!$C$5:$C$54</definedName>
    <definedName name="EQ">[55]eq_data!$C$5:$C$54</definedName>
    <definedName name="eq_index" localSheetId="0">#REF!</definedName>
    <definedName name="eq_index">#REF!</definedName>
    <definedName name="eq_name" localSheetId="0">[49]eq_data!$C$5:$C$54</definedName>
    <definedName name="eq_name">[55]eq_data!$C$5:$C$54</definedName>
    <definedName name="eqname" localSheetId="0">[56]eq_data!$C$5:$C$54</definedName>
    <definedName name="eqname">[57]eq_data!$C$5:$C$54</definedName>
    <definedName name="EQPT_Rate">#REF!</definedName>
    <definedName name="equip_id_001" localSheetId="0">#REF!</definedName>
    <definedName name="equip_id_001">#REF!</definedName>
    <definedName name="EQUIPMENT_____LIST" localSheetId="0">#REF!</definedName>
    <definedName name="EQUIPMENT_____LIST">#REF!</definedName>
    <definedName name="ESD">#REF!</definedName>
    <definedName name="EU">#REF!</definedName>
    <definedName name="EW">[58]내역!#REF!</definedName>
    <definedName name="Exca_D">[59]Basic!$B$46</definedName>
    <definedName name="Excav">#REF!</definedName>
    <definedName name="Exchangerate" localSheetId="0">#REF!</definedName>
    <definedName name="Exchangerate">#REF!</definedName>
    <definedName name="Ext_Paint_Final" localSheetId="0">#REF!</definedName>
    <definedName name="Ext_Paint_Final">#REF!</definedName>
    <definedName name="Ext_Paint_Intermediate" localSheetId="0">#REF!</definedName>
    <definedName name="Ext_Paint_Intermediate">#REF!</definedName>
    <definedName name="Ext_Paint_Primer" localSheetId="0">#REF!</definedName>
    <definedName name="Ext_Paint_Primer">#REF!</definedName>
    <definedName name="F" localSheetId="0">[58]영업소실적!#REF!</definedName>
    <definedName name="F">[60]영업소실적!#REF!</definedName>
    <definedName name="f_shape" localSheetId="0">#REF!</definedName>
    <definedName name="f_shape">#REF!</definedName>
    <definedName name="fact">#REF!</definedName>
    <definedName name="Factor" localSheetId="0">[61]PumpSpec!$U$2:$V$5</definedName>
    <definedName name="Factor">[56]PumpSpec!$U$2:$V$5</definedName>
    <definedName name="factor_wt">#REF!</definedName>
    <definedName name="factor_wt1">#REF!</definedName>
    <definedName name="factor1">#REF!</definedName>
    <definedName name="fasfsdfsdfasdfsdfsd" localSheetId="0" hidden="1">{#N/A,#N/A,TRUE,"Basic";#N/A,#N/A,TRUE,"EXT-TABLE";#N/A,#N/A,TRUE,"STEEL";#N/A,#N/A,TRUE,"INT-Table";#N/A,#N/A,TRUE,"STEEL";#N/A,#N/A,TRUE,"Door"}</definedName>
    <definedName name="fasfsdfsdfasdfsdfsd" hidden="1">{#N/A,#N/A,TRUE,"Basic";#N/A,#N/A,TRUE,"EXT-TABLE";#N/A,#N/A,TRUE,"STEEL";#N/A,#N/A,TRUE,"INT-Table";#N/A,#N/A,TRUE,"STEEL";#N/A,#N/A,TRUE,"Door"}</definedName>
    <definedName name="fb_dc_cur_001" localSheetId="0">#REF!</definedName>
    <definedName name="fb_dc_cur_001">#REF!</definedName>
    <definedName name="fb_dev_address_001" localSheetId="0">#REF!</definedName>
    <definedName name="fb_dev_address_001">#REF!</definedName>
    <definedName name="fb_dev_id_001" localSheetId="0">#REF!</definedName>
    <definedName name="fb_dev_id_001">#REF!</definedName>
    <definedName name="fb_max_volt_001" localSheetId="0">#REF!</definedName>
    <definedName name="fb_max_volt_001">#REF!</definedName>
    <definedName name="fb_min_transmit_level_001" localSheetId="0">#REF!</definedName>
    <definedName name="fb_min_transmit_level_001">#REF!</definedName>
    <definedName name="fb_min_volt_001" localSheetId="0">#REF!</definedName>
    <definedName name="fb_min_volt_001">#REF!</definedName>
    <definedName name="fb_standard_001" localSheetId="0">#REF!</definedName>
    <definedName name="fb_standard_001">#REF!</definedName>
    <definedName name="fb_tag_no_001" localSheetId="0">#REF!</definedName>
    <definedName name="fb_tag_no_001">#REF!</definedName>
    <definedName name="fdn_no" localSheetId="0">#REF!</definedName>
    <definedName name="fdn_no">#REF!</definedName>
    <definedName name="FE">#REF!</definedName>
    <definedName name="fe_isize_decplaces_001" localSheetId="0">#REF!</definedName>
    <definedName name="fe_isize_decplaces_001">#REF!</definedName>
    <definedName name="FEEF">#REF!</definedName>
    <definedName name="FF" localSheetId="0">#REF!</definedName>
    <definedName name="FF">#REF!</definedName>
    <definedName name="ffefsdfsdfsdf" localSheetId="0" hidden="1">{#N/A,#N/A,TRUE,"Basic";#N/A,#N/A,TRUE,"EXT-TABLE";#N/A,#N/A,TRUE,"STEEL";#N/A,#N/A,TRUE,"INT-Table";#N/A,#N/A,TRUE,"STEEL";#N/A,#N/A,TRUE,"Door"}</definedName>
    <definedName name="ffefsdfsdfsdf" hidden="1">{#N/A,#N/A,TRUE,"Basic";#N/A,#N/A,TRUE,"EXT-TABLE";#N/A,#N/A,TRUE,"STEEL";#N/A,#N/A,TRUE,"INT-Table";#N/A,#N/A,TRUE,"STEEL";#N/A,#N/A,TRUE,"Door"}</definedName>
    <definedName name="fffff" localSheetId="0" hidden="1">{#N/A,#N/A,TRUE,"Basic";#N/A,#N/A,TRUE,"EXT-TABLE";#N/A,#N/A,TRUE,"STEEL";#N/A,#N/A,TRUE,"INT-Table";#N/A,#N/A,TRUE,"STEEL";#N/A,#N/A,TRUE,"Door"}</definedName>
    <definedName name="fffff" hidden="1">{#N/A,#N/A,TRUE,"Basic";#N/A,#N/A,TRUE,"EXT-TABLE";#N/A,#N/A,TRUE,"STEEL";#N/A,#N/A,TRUE,"INT-Table";#N/A,#N/A,TRUE,"STEEL";#N/A,#N/A,TRUE,"Door"}</definedName>
    <definedName name="FG46TBTB4RTDKDK">#REF!</definedName>
    <definedName name="fgfg">#REF!</definedName>
    <definedName name="fgr">#REF!</definedName>
    <definedName name="Field_Erection" localSheetId="0">#REF!</definedName>
    <definedName name="Field_Erection">#REF!</definedName>
    <definedName name="Field_Internals" localSheetId="0">#REF!</definedName>
    <definedName name="Field_Internals">#REF!</definedName>
    <definedName name="Field_Platform" localSheetId="0">#REF!</definedName>
    <definedName name="Field_Platform">#REF!</definedName>
    <definedName name="fieldbus_device_rev_001" localSheetId="0">#REF!</definedName>
    <definedName name="fieldbus_device_rev_001">#REF!</definedName>
    <definedName name="FieldFab" localSheetId="0">#REF!</definedName>
    <definedName name="FieldFab">#REF!</definedName>
    <definedName name="Fill" localSheetId="0" hidden="1">#REF!</definedName>
    <definedName name="Fill" hidden="1">#REF!</definedName>
    <definedName name="Fire_Proofing" localSheetId="0">#REF!</definedName>
    <definedName name="Fire_Proofing">#REF!</definedName>
    <definedName name="flow_flag_001" localSheetId="0">#REF!</definedName>
    <definedName name="flow_flag_001">#REF!</definedName>
    <definedName name="fluid_id_001" localSheetId="0">#REF!</definedName>
    <definedName name="fluid_id_001">#REF!</definedName>
    <definedName name="FO">#REF!</definedName>
    <definedName name="Form">#REF!</definedName>
    <definedName name="frequency_id_001" localSheetId="0">#REF!</definedName>
    <definedName name="frequency_id_001">#REF!</definedName>
    <definedName name="FROM" localSheetId="0">[34]Main!$C$8</definedName>
    <definedName name="from">[35]Main!$C$8</definedName>
    <definedName name="FROM_C" localSheetId="0">[43]MAIN!$E$7</definedName>
    <definedName name="FROM_C">[44]MAIN!$E$7</definedName>
    <definedName name="FS_2" localSheetId="0">Cover!ClearSheet</definedName>
    <definedName name="FS_2">[0]!ClearSheet</definedName>
    <definedName name="FS_3" localSheetId="0">Cover!ClearSheet</definedName>
    <definedName name="FS_3">[0]!ClearSheet</definedName>
    <definedName name="fsda" localSheetId="0" hidden="1">{#N/A,#N/A,TRUE,"Basic";#N/A,#N/A,TRUE,"EXT-TABLE";#N/A,#N/A,TRUE,"STEEL";#N/A,#N/A,TRUE,"INT-Table";#N/A,#N/A,TRUE,"STEEL";#N/A,#N/A,TRUE,"Door"}</definedName>
    <definedName name="fsda" hidden="1">{#N/A,#N/A,TRUE,"Basic";#N/A,#N/A,TRUE,"EXT-TABLE";#N/A,#N/A,TRUE,"STEEL";#N/A,#N/A,TRUE,"INT-Table";#N/A,#N/A,TRUE,"STEEL";#N/A,#N/A,TRUE,"Door"}</definedName>
    <definedName name="fsdaa" localSheetId="0" hidden="1">{#N/A,#N/A,TRUE,"Basic";#N/A,#N/A,TRUE,"EXT-TABLE";#N/A,#N/A,TRUE,"STEEL";#N/A,#N/A,TRUE,"INT-Table";#N/A,#N/A,TRUE,"STEEL";#N/A,#N/A,TRUE,"Door"}</definedName>
    <definedName name="fsdaa" hidden="1">{#N/A,#N/A,TRUE,"Basic";#N/A,#N/A,TRUE,"EXT-TABLE";#N/A,#N/A,TRUE,"STEEL";#N/A,#N/A,TRUE,"INT-Table";#N/A,#N/A,TRUE,"STEEL";#N/A,#N/A,TRUE,"Door"}</definedName>
    <definedName name="FT">#REF!</definedName>
    <definedName name="Ft_Matl">[62]Proposal!#REF!</definedName>
    <definedName name="Ft_Zone_A">[62]Proposal!#REF!</definedName>
    <definedName name="Ft_Zone_B">[62]Proposal!#REF!</definedName>
    <definedName name="Ft_Zone_C">[62]Proposal!#REF!</definedName>
    <definedName name="Ft_Zone_D">[62]Proposal!#REF!</definedName>
    <definedName name="Ft_Zone_E">[62]Proposal!#REF!</definedName>
    <definedName name="full_load_current_001" localSheetId="0">#REF!</definedName>
    <definedName name="full_load_current_001">#REF!</definedName>
    <definedName name="full_weight_001" localSheetId="0">#REF!</definedName>
    <definedName name="full_weight_001">#REF!</definedName>
    <definedName name="Furniture" localSheetId="0" hidden="1">{#N/A,#N/A,TRUE,"Basic";#N/A,#N/A,TRUE,"EXT-TABLE";#N/A,#N/A,TRUE,"STEEL";#N/A,#N/A,TRUE,"INT-Table";#N/A,#N/A,TRUE,"STEEL";#N/A,#N/A,TRUE,"Door"}</definedName>
    <definedName name="Furniture" hidden="1">{#N/A,#N/A,TRUE,"Basic";#N/A,#N/A,TRUE,"EXT-TABLE";#N/A,#N/A,TRUE,"STEEL";#N/A,#N/A,TRUE,"INT-Table";#N/A,#N/A,TRUE,"STEEL";#N/A,#N/A,TRUE,"Door"}</definedName>
    <definedName name="fwbs_name" localSheetId="0">#REF!</definedName>
    <definedName name="fwbs_name">#REF!</definedName>
    <definedName name="G" localSheetId="0">#REF!</definedName>
    <definedName name="G">#REF!</definedName>
    <definedName name="G_P_P">#N/A</definedName>
    <definedName name="gg" localSheetId="0">'[11]h-013211-2'!$Q$3</definedName>
    <definedName name="gg">'[16]h-013211-2'!$Q$3</definedName>
    <definedName name="ggg" localSheetId="0">Cover!ClearSheet</definedName>
    <definedName name="ggg">[0]!ClearSheet</definedName>
    <definedName name="gggg">#REF!</definedName>
    <definedName name="GJ1M" localSheetId="0">#REF!</definedName>
    <definedName name="GJ1M">#REF!</definedName>
    <definedName name="GJ1Y" localSheetId="0">#REF!</definedName>
    <definedName name="GJ1Y">#REF!</definedName>
    <definedName name="GJ3M" localSheetId="0">#REF!</definedName>
    <definedName name="GJ3M">#REF!</definedName>
    <definedName name="GJ3Y" localSheetId="0">#REF!</definedName>
    <definedName name="GJ3Y">#REF!</definedName>
    <definedName name="GJ5P" localSheetId="0">'[6]95삼성급(본사)'!#REF!</definedName>
    <definedName name="GJ5P">'[7]95삼성급(본사)'!#REF!</definedName>
    <definedName name="GJ5Y" localSheetId="0">'[6]95삼성급(본사)'!#REF!</definedName>
    <definedName name="GJ5Y">'[7]95삼성급(본사)'!#REF!</definedName>
    <definedName name="GK" localSheetId="0">#REF!</definedName>
    <definedName name="GK">#REF!</definedName>
    <definedName name="GLAND600V" localSheetId="0">#REF!</definedName>
    <definedName name="GLAND600V">#REF!</definedName>
    <definedName name="GLAND6KV" localSheetId="0">#REF!</definedName>
    <definedName name="GLAND6KV">#REF!</definedName>
    <definedName name="GoForm" localSheetId="0">[63]!GoForm</definedName>
    <definedName name="GoForm">[64]!GoForm</definedName>
    <definedName name="GoList" localSheetId="0">[65]!GoList</definedName>
    <definedName name="GoList">[66]!GoList</definedName>
    <definedName name="GoSpec" localSheetId="0">[63]!GoSpec</definedName>
    <definedName name="GoSpec">[64]!GoSpec</definedName>
    <definedName name="GoTop" localSheetId="0">[63]!GoTop</definedName>
    <definedName name="GoTop">[64]!GoTop</definedName>
    <definedName name="governing_case_001" localSheetId="0">#REF!</definedName>
    <definedName name="governing_case_001">#REF!</definedName>
    <definedName name="GROUP">[1]회사99!#REF!</definedName>
    <definedName name="grout_type" localSheetId="0">#REF!</definedName>
    <definedName name="grout_type">#REF!</definedName>
    <definedName name="Grouting" localSheetId="0">#REF!</definedName>
    <definedName name="Grouting">#REF!</definedName>
    <definedName name="GrphActSales" localSheetId="0">#REF!</definedName>
    <definedName name="GrphActSales">#REF!</definedName>
    <definedName name="GrphActStk" localSheetId="0">#REF!</definedName>
    <definedName name="GrphActStk">#REF!</definedName>
    <definedName name="GrphPlanSales" localSheetId="0">#REF!</definedName>
    <definedName name="GrphPlanSales">#REF!</definedName>
    <definedName name="GrphTgtStk" localSheetId="0">#REF!</definedName>
    <definedName name="GrphTgtStk">#REF!</definedName>
    <definedName name="H" localSheetId="0">#REF!</definedName>
    <definedName name="H">#REF!</definedName>
    <definedName name="h_af" localSheetId="0">#REF!</definedName>
    <definedName name="h_af">#REF!</definedName>
    <definedName name="h_bf" localSheetId="0">#REF!</definedName>
    <definedName name="h_bf">#REF!</definedName>
    <definedName name="HAUS">[1]회사99!#REF!</definedName>
    <definedName name="Hboard">#REF!</definedName>
    <definedName name="hf" localSheetId="0">#REF!</definedName>
    <definedName name="hf">#REF!</definedName>
    <definedName name="HH" localSheetId="0">#REF!</definedName>
    <definedName name="HH">#REF!</definedName>
    <definedName name="HHH" localSheetId="0" hidden="1">{#N/A,#N/A,TRUE,"Basic";#N/A,#N/A,TRUE,"EXT-TABLE";#N/A,#N/A,TRUE,"STEEL";#N/A,#N/A,TRUE,"INT-Table";#N/A,#N/A,TRUE,"STEEL";#N/A,#N/A,TRUE,"Door"}</definedName>
    <definedName name="HHH" hidden="1">{#N/A,#N/A,TRUE,"Basic";#N/A,#N/A,TRUE,"EXT-TABLE";#N/A,#N/A,TRUE,"STEEL";#N/A,#N/A,TRUE,"INT-Table";#N/A,#N/A,TRUE,"STEEL";#N/A,#N/A,TRUE,"Door"}</definedName>
    <definedName name="HOME" localSheetId="0">#REF!</definedName>
    <definedName name="HOME">#REF!</definedName>
    <definedName name="HOME1">'[10]개시대사 (2)'!$A$1</definedName>
    <definedName name="HOME2">'[10]개시대사 (2)'!$H$1</definedName>
    <definedName name="Hot_Insulation" localSheetId="0">#REF!</definedName>
    <definedName name="Hot_Insulation">#REF!</definedName>
    <definedName name="hybrid_max_001" localSheetId="0">#REF!</definedName>
    <definedName name="hybrid_max_001">#REF!</definedName>
    <definedName name="hybrid_min_001" localSheetId="0">#REF!</definedName>
    <definedName name="hybrid_min_001">#REF!</definedName>
    <definedName name="hybrid_norm_001" localSheetId="0">#REF!</definedName>
    <definedName name="hybrid_norm_001">#REF!</definedName>
    <definedName name="Hyd_P">#REF!</definedName>
    <definedName name="I" localSheetId="0">#REF!</definedName>
    <definedName name="I">#REF!</definedName>
    <definedName name="ICF">#REF!</definedName>
    <definedName name="ID600V" localSheetId="0">#REF!</definedName>
    <definedName name="ID600V">#REF!</definedName>
    <definedName name="ID6KV" localSheetId="0">#REF!</definedName>
    <definedName name="ID6KV">#REF!</definedName>
    <definedName name="IELWSALES" localSheetId="0">#REF!</definedName>
    <definedName name="IELWSALES">#REF!</definedName>
    <definedName name="IELYSALES" localSheetId="0">#REF!</definedName>
    <definedName name="IELYSALES">#REF!</definedName>
    <definedName name="IEPLANSALES" localSheetId="0">#REF!</definedName>
    <definedName name="IEPLANSALES">#REF!</definedName>
    <definedName name="IESP" localSheetId="0">#REF!</definedName>
    <definedName name="IESP">#REF!</definedName>
    <definedName name="ifa" localSheetId="0">[34]data_dci!$I$8:$I$746</definedName>
    <definedName name="ifa">[35]data_dci!$I$8:$I$746</definedName>
    <definedName name="IFC" localSheetId="0">[34]data_dci!$J$8:$J$746</definedName>
    <definedName name="IFC">[35]data_dci!$J$8:$J$746</definedName>
    <definedName name="II" localSheetId="0">#REF!</definedName>
    <definedName name="II">#REF!</definedName>
    <definedName name="IMF">#REF!</definedName>
    <definedName name="Inc_Sup_Matl">[67]BQ!#REF!</definedName>
    <definedName name="Inc_Sup_MD">[67]BQ!#REF!</definedName>
    <definedName name="Inc_Sup_Total_Matl">[67]BQ!#REF!</definedName>
    <definedName name="Inc_Sup_Total_MD">[67]BQ!#REF!</definedName>
    <definedName name="inci11">#REF!</definedName>
    <definedName name="inci12">#REF!</definedName>
    <definedName name="INDEX_QRY">#REF!</definedName>
    <definedName name="INDEX22222" localSheetId="0" hidden="1">#REF!</definedName>
    <definedName name="INDEX22222" hidden="1">#REF!</definedName>
    <definedName name="Inq_List">#REF!</definedName>
    <definedName name="Inq_No">#REF!</definedName>
    <definedName name="INST">#REF!</definedName>
    <definedName name="INST_DCI_심의" localSheetId="0">#REF!</definedName>
    <definedName name="INST_DCI_심의">#REF!</definedName>
    <definedName name="inst_range_max" localSheetId="0">#REF!</definedName>
    <definedName name="inst_range_max">#REF!</definedName>
    <definedName name="inst_range_max_001" localSheetId="0">#REF!</definedName>
    <definedName name="inst_range_max_001">#REF!</definedName>
    <definedName name="inst_range_min" localSheetId="0">#REF!</definedName>
    <definedName name="inst_range_min">#REF!</definedName>
    <definedName name="inst_range_min_001" localSheetId="0">#REF!</definedName>
    <definedName name="inst_range_min_001">#REF!</definedName>
    <definedName name="inst_range_uflg_max_001" localSheetId="0">#REF!</definedName>
    <definedName name="inst_range_uflg_max_001">#REF!</definedName>
    <definedName name="inst_range_uflg_min_001" localSheetId="0">#REF!</definedName>
    <definedName name="inst_range_uflg_min_001">#REF!</definedName>
    <definedName name="inst_range_uom_max_001" localSheetId="0">#REF!</definedName>
    <definedName name="inst_range_uom_max_001">#REF!</definedName>
    <definedName name="inst_range_uom_min_001" localSheetId="0">#REF!</definedName>
    <definedName name="inst_range_uom_min_001">#REF!</definedName>
    <definedName name="inst1" localSheetId="0">#REF!</definedName>
    <definedName name="inst1">#REF!</definedName>
    <definedName name="INST1_MCI" localSheetId="0">#REF!</definedName>
    <definedName name="INST1_MCI">#REF!</definedName>
    <definedName name="INST2" localSheetId="0">#REF!</definedName>
    <definedName name="INST2">#REF!</definedName>
    <definedName name="INST2_MCI" localSheetId="0">#REF!</definedName>
    <definedName name="INST2_MCI">#REF!</definedName>
    <definedName name="inst3">[15]INST_DCI!#REF!</definedName>
    <definedName name="INST3_MCI" localSheetId="0">#REF!</definedName>
    <definedName name="INST3_MCI">#REF!</definedName>
    <definedName name="inst4" localSheetId="0">#REF!</definedName>
    <definedName name="inst4">#REF!</definedName>
    <definedName name="INST4_MCI" localSheetId="0">#REF!</definedName>
    <definedName name="INST4_MCI">#REF!</definedName>
    <definedName name="inst5" localSheetId="0">#REF!</definedName>
    <definedName name="inst5">#REF!</definedName>
    <definedName name="INST5_MCI" localSheetId="0">#REF!</definedName>
    <definedName name="INST5_MCI">#REF!</definedName>
    <definedName name="inst6" localSheetId="0">#REF!</definedName>
    <definedName name="inst6">#REF!</definedName>
    <definedName name="INST6_MCI" localSheetId="0">#REF!</definedName>
    <definedName name="INST6_MCI">#REF!</definedName>
    <definedName name="inst7" localSheetId="0">#REF!</definedName>
    <definedName name="inst7">#REF!</definedName>
    <definedName name="INST7_MCI" localSheetId="0">#REF!</definedName>
    <definedName name="INST7_MCI">#REF!</definedName>
    <definedName name="INST8">[44]INST_MCI!#REF!</definedName>
    <definedName name="INST9">[44]INST_MCI!#REF!</definedName>
    <definedName name="INSTDKADU">#REF!</definedName>
    <definedName name="INSTNFGP">#REF!</definedName>
    <definedName name="INSTNGL4">#REF!</definedName>
    <definedName name="INSTPGM">#REF!</definedName>
    <definedName name="INSTPIPELINE">#REF!</definedName>
    <definedName name="instr_pd_flg_001" localSheetId="0">#REF!</definedName>
    <definedName name="instr_pd_flg_001">#REF!</definedName>
    <definedName name="Instrument_Database1" localSheetId="0">#REF!</definedName>
    <definedName name="Instrument_Database1">#REF!</definedName>
    <definedName name="Instrument_Database2" localSheetId="0">#REF!</definedName>
    <definedName name="Instrument_Database2">#REF!</definedName>
    <definedName name="Instrument_Index">#REF!</definedName>
    <definedName name="INSTTANK">#REF!</definedName>
    <definedName name="Insulation_bm" localSheetId="0">#REF!</definedName>
    <definedName name="Insulation_bm">#REF!</definedName>
    <definedName name="Int_Paint_Final">#REF!</definedName>
    <definedName name="Int_Paint_Intermediate">#REF!</definedName>
    <definedName name="Int_Paint_Primer" localSheetId="0">#REF!</definedName>
    <definedName name="Int_Paint_Primer">#REF!</definedName>
    <definedName name="IntFreeCred" localSheetId="0">#REF!</definedName>
    <definedName name="IntFreeCred">#REF!</definedName>
    <definedName name="IS_DCI">[54]INST_DCI!#REF!</definedName>
    <definedName name="ISSUE" localSheetId="0">[34]data_dci!$L$8:$L$746</definedName>
    <definedName name="ISSUE">[35]data_dci!$L$8:$L$746</definedName>
    <definedName name="Item_name" localSheetId="0">#REF!</definedName>
    <definedName name="Item_name">#REF!</definedName>
    <definedName name="Item_No">#REF!</definedName>
    <definedName name="ITEMDESC">[45]Sheet5!#REF!</definedName>
    <definedName name="j_filler" localSheetId="0">#REF!</definedName>
    <definedName name="j_filler">#REF!</definedName>
    <definedName name="JH">[68]정부노임단가!$A$5:$F$215</definedName>
    <definedName name="JJ" localSheetId="0">#REF!</definedName>
    <definedName name="JJ">#REF!</definedName>
    <definedName name="K" localSheetId="0">#REF!</definedName>
    <definedName name="K">#REF!</definedName>
    <definedName name="K_TBM2" localSheetId="0">#REF!</definedName>
    <definedName name="K_TBM2">#REF!</definedName>
    <definedName name="KK">#N/A</definedName>
    <definedName name="kkkk" localSheetId="0" hidden="1">{#N/A,#N/A,TRUE,"Basic";#N/A,#N/A,TRUE,"EXT-TABLE";#N/A,#N/A,TRUE,"STEEL";#N/A,#N/A,TRUE,"INT-Table";#N/A,#N/A,TRUE,"STEEL";#N/A,#N/A,TRUE,"Door"}</definedName>
    <definedName name="kkkk" hidden="1">{#N/A,#N/A,TRUE,"Basic";#N/A,#N/A,TRUE,"EXT-TABLE";#N/A,#N/A,TRUE,"STEEL";#N/A,#N/A,TRUE,"INT-Table";#N/A,#N/A,TRUE,"STEEL";#N/A,#N/A,TRUE,"Door"}</definedName>
    <definedName name="knh" localSheetId="0">#REF!</definedName>
    <definedName name="knh">#REF!</definedName>
    <definedName name="KT" localSheetId="0">Cover!_________KT66</definedName>
    <definedName name="KT">[0]!_KT66</definedName>
    <definedName name="KTA">#REF!</definedName>
    <definedName name="KTB">#REF!</definedName>
    <definedName name="KTLEE" localSheetId="0">Cover!_________KT66</definedName>
    <definedName name="KTLEE">[0]!_KT66</definedName>
    <definedName name="KTX">#REF!</definedName>
    <definedName name="L" localSheetId="0">#REF!</definedName>
    <definedName name="L">#REF!</definedName>
    <definedName name="LA">#REF!</definedName>
    <definedName name="LABA1">#REF!</definedName>
    <definedName name="Labor_Rate">#REF!</definedName>
    <definedName name="Labor_Unit_Rate">#REF!</definedName>
    <definedName name="LAST">#REF!</definedName>
    <definedName name="le">#REF!</definedName>
    <definedName name="lean" localSheetId="0">#REF!</definedName>
    <definedName name="lean">#REF!</definedName>
    <definedName name="LEE" localSheetId="0" hidden="1">{#N/A,#N/A,TRUE,"Basic";#N/A,#N/A,TRUE,"EXT-TABLE";#N/A,#N/A,TRUE,"STEEL";#N/A,#N/A,TRUE,"INT-Table";#N/A,#N/A,TRUE,"STEEL";#N/A,#N/A,TRUE,"Door"}</definedName>
    <definedName name="LEE" hidden="1">{#N/A,#N/A,TRUE,"Basic";#N/A,#N/A,TRUE,"EXT-TABLE";#N/A,#N/A,TRUE,"STEEL";#N/A,#N/A,TRUE,"INT-Table";#N/A,#N/A,TRUE,"STEEL";#N/A,#N/A,TRUE,"Door"}</definedName>
    <definedName name="line_cmpnt_id_001" localSheetId="0">#REF!</definedName>
    <definedName name="line_cmpnt_id_001">#REF!</definedName>
    <definedName name="line_i_d_001" localSheetId="0">#REF!</definedName>
    <definedName name="line_i_d_001">#REF!</definedName>
    <definedName name="line_id_001" localSheetId="0">#REF!</definedName>
    <definedName name="line_id_001">#REF!</definedName>
    <definedName name="LINE_NO" localSheetId="0">#REF!</definedName>
    <definedName name="LINE_NO">#REF!</definedName>
    <definedName name="line_num_001" localSheetId="0">#REF!</definedName>
    <definedName name="line_num_001">#REF!</definedName>
    <definedName name="line_sched_001" localSheetId="0">#REF!</definedName>
    <definedName name="line_sched_001">#REF!</definedName>
    <definedName name="line_size_001" localSheetId="0">#REF!</definedName>
    <definedName name="line_size_001">#REF!</definedName>
    <definedName name="line_uom_001" localSheetId="0">#REF!</definedName>
    <definedName name="line_uom_001">#REF!</definedName>
    <definedName name="liquid_compres_calc_flg_001" localSheetId="0">#REF!</definedName>
    <definedName name="liquid_compres_calc_flg_001">#REF!</definedName>
    <definedName name="list" localSheetId="0" hidden="1">{#N/A,#N/A,TRUE,"Basic";#N/A,#N/A,TRUE,"EXT-TABLE";#N/A,#N/A,TRUE,"STEEL";#N/A,#N/A,TRUE,"INT-Table";#N/A,#N/A,TRUE,"STEEL";#N/A,#N/A,TRUE,"Door"}</definedName>
    <definedName name="list" hidden="1">{#N/A,#N/A,TRUE,"Basic";#N/A,#N/A,TRUE,"EXT-TABLE";#N/A,#N/A,TRUE,"STEEL";#N/A,#N/A,TRUE,"INT-Table";#N/A,#N/A,TRUE,"STEEL";#N/A,#N/A,TRUE,"Door"}</definedName>
    <definedName name="list01" localSheetId="0" hidden="1">{#N/A,#N/A,TRUE,"Basic";#N/A,#N/A,TRUE,"EXT-TABLE";#N/A,#N/A,TRUE,"STEEL";#N/A,#N/A,TRUE,"INT-Table";#N/A,#N/A,TRUE,"STEEL";#N/A,#N/A,TRUE,"Door"}</definedName>
    <definedName name="list01" hidden="1">{#N/A,#N/A,TRUE,"Basic";#N/A,#N/A,TRUE,"EXT-TABLE";#N/A,#N/A,TRUE,"STEEL";#N/A,#N/A,TRUE,"INT-Table";#N/A,#N/A,TRUE,"STEEL";#N/A,#N/A,TRUE,"Door"}</definedName>
    <definedName name="list02" localSheetId="0" hidden="1">{#N/A,#N/A,TRUE,"Basic";#N/A,#N/A,TRUE,"EXT-TABLE";#N/A,#N/A,TRUE,"STEEL";#N/A,#N/A,TRUE,"INT-Table";#N/A,#N/A,TRUE,"STEEL";#N/A,#N/A,TRUE,"Door"}</definedName>
    <definedName name="list02" hidden="1">{#N/A,#N/A,TRUE,"Basic";#N/A,#N/A,TRUE,"EXT-TABLE";#N/A,#N/A,TRUE,"STEEL";#N/A,#N/A,TRUE,"INT-Table";#N/A,#N/A,TRUE,"STEEL";#N/A,#N/A,TRUE,"Door"}</definedName>
    <definedName name="load_watt_001" localSheetId="0">#REF!</definedName>
    <definedName name="load_watt_001">#REF!</definedName>
    <definedName name="logo_001" localSheetId="0">#REF!</definedName>
    <definedName name="logo_001">#REF!</definedName>
    <definedName name="LookUp_Range">[69]Units!$B$3:$DA$8</definedName>
    <definedName name="LTR_현바제_93113_93.10.07">#REF!</definedName>
    <definedName name="LWSALES" localSheetId="0">#REF!</definedName>
    <definedName name="LWSALES">#REF!</definedName>
    <definedName name="lx" localSheetId="0">#REF!</definedName>
    <definedName name="lx">#REF!</definedName>
    <definedName name="ly" localSheetId="0">#REF!</definedName>
    <definedName name="ly">#REF!</definedName>
    <definedName name="LYBin" localSheetId="0">#REF!</definedName>
    <definedName name="LYBin">#REF!</definedName>
    <definedName name="LYHolds" localSheetId="0">#REF!</definedName>
    <definedName name="LYHolds">#REF!</definedName>
    <definedName name="LYNet" localSheetId="0">#REF!</definedName>
    <definedName name="LYNet">#REF!</definedName>
    <definedName name="LYoos" localSheetId="0">#REF!</definedName>
    <definedName name="LYoos">#REF!</definedName>
    <definedName name="LYReselects" localSheetId="0">#REF!</definedName>
    <definedName name="LYReselects">#REF!</definedName>
    <definedName name="LYReturns" localSheetId="0">#REF!</definedName>
    <definedName name="LYReturns">#REF!</definedName>
    <definedName name="LYSales" localSheetId="0">#REF!</definedName>
    <definedName name="LYSales">#REF!</definedName>
    <definedName name="LYTotal" localSheetId="0">#REF!</definedName>
    <definedName name="LYTotal">#REF!</definedName>
    <definedName name="M_A_L_G_A">#N/A</definedName>
    <definedName name="m_disc" localSheetId="0">[34]data_mci!$E$8:$E$126</definedName>
    <definedName name="m_disc">[35]data_mci!$E$8:$E$126</definedName>
    <definedName name="M_L_N_G">#N/A</definedName>
    <definedName name="M_P_D_P">#N/A</definedName>
    <definedName name="m_start" localSheetId="0">[34]data_mci!$G$8:$G$126</definedName>
    <definedName name="m_start">[35]data_mci!$G$8:$G$126</definedName>
    <definedName name="main">[70]!main</definedName>
    <definedName name="MARGINPLAN" localSheetId="0">#REF!</definedName>
    <definedName name="MARGINPLAN">#REF!</definedName>
    <definedName name="MARGINPROJ" localSheetId="0">#REF!</definedName>
    <definedName name="MARGINPROJ">#REF!</definedName>
    <definedName name="master_cmpnt_id_001" localSheetId="0">#REF!</definedName>
    <definedName name="master_cmpnt_id_001">#REF!</definedName>
    <definedName name="MATA1">#REF!</definedName>
    <definedName name="MATB1">#REF!</definedName>
    <definedName name="MATC1">#REF!</definedName>
    <definedName name="MATC10">#REF!</definedName>
    <definedName name="MATC2">#REF!</definedName>
    <definedName name="MATC3">#REF!</definedName>
    <definedName name="MATC4">#REF!</definedName>
    <definedName name="MATC5">#REF!</definedName>
    <definedName name="MATC6">#REF!</definedName>
    <definedName name="MATC7">#REF!</definedName>
    <definedName name="MATC8">#REF!</definedName>
    <definedName name="MATC9">#REF!</definedName>
    <definedName name="MATD1">#REF!</definedName>
    <definedName name="MATD2">#REF!</definedName>
    <definedName name="MATD3">#REF!</definedName>
    <definedName name="MATD4">#REF!</definedName>
    <definedName name="MATD5">#REF!</definedName>
    <definedName name="MATD6">#REF!</definedName>
    <definedName name="MATE1">#REF!</definedName>
    <definedName name="MATE2">#REF!</definedName>
    <definedName name="MATE3">#REF!</definedName>
    <definedName name="MATE4">#REF!</definedName>
    <definedName name="MATE5">#REF!</definedName>
    <definedName name="MATE6">#REF!</definedName>
    <definedName name="MATE7">#REF!</definedName>
    <definedName name="MATF1">#REF!</definedName>
    <definedName name="MATF2">#REF!</definedName>
    <definedName name="MATF3">#REF!</definedName>
    <definedName name="MATF4">#REF!</definedName>
    <definedName name="MATF5">#REF!</definedName>
    <definedName name="MATF6">#REF!</definedName>
    <definedName name="MATF7">#REF!</definedName>
    <definedName name="MATL_Rate">#REF!</definedName>
    <definedName name="Max._Water">#REF!</definedName>
    <definedName name="MCF">#REF!</definedName>
    <definedName name="MEASURE">[45]Sheet5!#REF!</definedName>
    <definedName name="MECH">[15]HVAC_DCI!#REF!</definedName>
    <definedName name="mech1" localSheetId="0">#REF!</definedName>
    <definedName name="mech1">#REF!</definedName>
    <definedName name="mech1_mci" localSheetId="0">#REF!</definedName>
    <definedName name="mech1_mci">#REF!</definedName>
    <definedName name="mech2" localSheetId="0">#REF!</definedName>
    <definedName name="mech2">#REF!</definedName>
    <definedName name="mech2_mci" localSheetId="0">#REF!</definedName>
    <definedName name="mech2_mci">#REF!</definedName>
    <definedName name="mech3">[15]HVAC_DCI!#REF!</definedName>
    <definedName name="mech3_mci" localSheetId="0">#REF!</definedName>
    <definedName name="mech3_mci">#REF!</definedName>
    <definedName name="mech4" localSheetId="0">#REF!</definedName>
    <definedName name="mech4">#REF!</definedName>
    <definedName name="mech4_mci" localSheetId="0">#REF!</definedName>
    <definedName name="mech4_mci">#REF!</definedName>
    <definedName name="mech5" localSheetId="0">#REF!</definedName>
    <definedName name="mech5">#REF!</definedName>
    <definedName name="mech5_mci" localSheetId="0">#REF!</definedName>
    <definedName name="mech5_mci">#REF!</definedName>
    <definedName name="MECH6" localSheetId="0">#REF!</definedName>
    <definedName name="MECH6">#REF!</definedName>
    <definedName name="mech6_mci" localSheetId="0">#REF!</definedName>
    <definedName name="mech6_mci">#REF!</definedName>
    <definedName name="mech7" localSheetId="0">#REF!</definedName>
    <definedName name="mech7">#REF!</definedName>
    <definedName name="mecH7_mci" localSheetId="0">#REF!</definedName>
    <definedName name="mecH7_mci">#REF!</definedName>
    <definedName name="MECH8">[44]MECH_MCI!#REF!</definedName>
    <definedName name="MECH9">[44]MECH_MCI!#REF!</definedName>
    <definedName name="meci7_mci" localSheetId="0">#REF!</definedName>
    <definedName name="meci7_mci">#REF!</definedName>
    <definedName name="MENU" localSheetId="0">[65]!MENU</definedName>
    <definedName name="MENU">[66]!MENU</definedName>
    <definedName name="MergeComments">#REF!</definedName>
    <definedName name="MergeCritRating">#REF!</definedName>
    <definedName name="MergeDesPress">#REF!</definedName>
    <definedName name="MergeDesTemp">#REF!</definedName>
    <definedName name="MergeFluid">#REF!</definedName>
    <definedName name="MergeFrom">#REF!</definedName>
    <definedName name="MergeInsulCode">#REF!</definedName>
    <definedName name="MergeInsulThk">#REF!</definedName>
    <definedName name="MergeLine">#REF!</definedName>
    <definedName name="MergeLineNumber">#REF!</definedName>
    <definedName name="MergeLineSize">#REF!</definedName>
    <definedName name="MergeMatClass">#REF!</definedName>
    <definedName name="MergeNDE">#REF!</definedName>
    <definedName name="MergeOperPress">#REF!</definedName>
    <definedName name="MergeOperTemp">#REF!</definedName>
    <definedName name="MergePaintCode">#REF!</definedName>
    <definedName name="MergePIDNumber">#REF!</definedName>
    <definedName name="MergeRev">#REF!</definedName>
    <definedName name="MergeStressAnalysis">#REF!</definedName>
    <definedName name="MergeTestMedia">#REF!</definedName>
    <definedName name="MergeTestPress">#REF!</definedName>
    <definedName name="MergeTo">#REF!</definedName>
    <definedName name="MH_소수점">[71]Total!$D$3</definedName>
    <definedName name="MIOLO" localSheetId="0">#REF!</definedName>
    <definedName name="MIOLO">#REF!</definedName>
    <definedName name="mis" localSheetId="0">BlankMacro1</definedName>
    <definedName name="mis">BlankMacro1</definedName>
    <definedName name="MISA1">#REF!</definedName>
    <definedName name="Misc_Matl_Rate">#REF!</definedName>
    <definedName name="Miscel" localSheetId="0">BlankMacro1</definedName>
    <definedName name="Miscel">BlankMacro1</definedName>
    <definedName name="miss2" localSheetId="0">BlankMacro1</definedName>
    <definedName name="miss2">BlankMacro1</definedName>
    <definedName name="MMM" localSheetId="0">#REF!</definedName>
    <definedName name="MMM">#REF!</definedName>
    <definedName name="MMMMMMMM" localSheetId="0">#REF!</definedName>
    <definedName name="MMMMMMMM">#REF!</definedName>
    <definedName name="mnnb" localSheetId="0">'[11]h-013211-2'!$Q$2</definedName>
    <definedName name="mnnb">'[16]h-013211-2'!$Q$2</definedName>
    <definedName name="Motorrating" localSheetId="0">[61]PumpSpec!$Y$3:$Z$25</definedName>
    <definedName name="Motorrating">[56]PumpSpec!$Y$3:$Z$25</definedName>
    <definedName name="ＭＲ" localSheetId="0" hidden="1">{#N/A,#N/A,TRUE,"Basic";#N/A,#N/A,TRUE,"EXT-TABLE";#N/A,#N/A,TRUE,"STEEL";#N/A,#N/A,TRUE,"INT-Table";#N/A,#N/A,TRUE,"STEEL";#N/A,#N/A,TRUE,"Door"}</definedName>
    <definedName name="ＭＲ" hidden="1">{#N/A,#N/A,TRUE,"Basic";#N/A,#N/A,TRUE,"EXT-TABLE";#N/A,#N/A,TRUE,"STEEL";#N/A,#N/A,TRUE,"INT-Table";#N/A,#N/A,TRUE,"STEEL";#N/A,#N/A,TRUE,"Door"}</definedName>
    <definedName name="MTO_A" localSheetId="0">[43]PRO_A!$D$133:$AL$148</definedName>
    <definedName name="MTO_A">[44]PRO_A!$D$133:$AL$148</definedName>
    <definedName name="mto_s" localSheetId="0">[43]PRO!$D$117:$AL$132</definedName>
    <definedName name="mto_s">[44]PRO!$D$117:$AL$132</definedName>
    <definedName name="N" localSheetId="0">#REF!,#REF!</definedName>
    <definedName name="N">#REF!,#REF!</definedName>
    <definedName name="name" localSheetId="0">#REF!</definedName>
    <definedName name="name">#REF!</definedName>
    <definedName name="NHHNHNHHHHH" localSheetId="0">#REF!</definedName>
    <definedName name="NHHNHNHHHHH">#REF!</definedName>
    <definedName name="NMMNM" localSheetId="0">#REF!</definedName>
    <definedName name="NMMNM">#REF!</definedName>
    <definedName name="NN" localSheetId="0">'[2]97 사업추정(WEKI)'!#REF!</definedName>
    <definedName name="NN">'[3]97 사업추정(WEKI)'!#REF!</definedName>
    <definedName name="NNN" localSheetId="0">'[50]97 사업추정(WEKI)'!#REF!</definedName>
    <definedName name="NNN">'[51]97 사업추정(WEKI)'!#REF!</definedName>
    <definedName name="NO">#N/A</definedName>
    <definedName name="note_note" localSheetId="0">#REF!</definedName>
    <definedName name="note_note">#REF!</definedName>
    <definedName name="Nshrkge">#REF!</definedName>
    <definedName name="num" localSheetId="0">#REF!</definedName>
    <definedName name="num">#REF!</definedName>
    <definedName name="Number">#REF!</definedName>
    <definedName name="number_of_phases_id_001" localSheetId="0">#REF!</definedName>
    <definedName name="number_of_phases_id_001">#REF!</definedName>
    <definedName name="O" localSheetId="0">[26]상반기손익차2총괄!#REF!</definedName>
    <definedName name="O">[27]상반기손익차2총괄!#REF!</definedName>
    <definedName name="OBJ">#REF!</definedName>
    <definedName name="oo" localSheetId="0">'[15]h-013211-2'!$Q$3</definedName>
    <definedName name="oo">'[53]h-013211-2'!$Q$3</definedName>
    <definedName name="operating_mode_id_001" localSheetId="0">#REF!</definedName>
    <definedName name="operating_mode_id_001">#REF!</definedName>
    <definedName name="OutField">#REF!</definedName>
    <definedName name="OVER">#REF!</definedName>
    <definedName name="P" localSheetId="0">#REF!</definedName>
    <definedName name="P">#REF!</definedName>
    <definedName name="p_shape" localSheetId="0">#REF!</definedName>
    <definedName name="p_shape">#REF!</definedName>
    <definedName name="PAGE1">#REF!</definedName>
    <definedName name="PAGE11">#N/A</definedName>
    <definedName name="PAGE12">#N/A</definedName>
    <definedName name="PAGE2">#REF!</definedName>
    <definedName name="PAGE21">#N/A</definedName>
    <definedName name="PAGE22">#N/A</definedName>
    <definedName name="PAGE3">#REF!</definedName>
    <definedName name="PAGE31">#N/A</definedName>
    <definedName name="PAGE32">#N/A</definedName>
    <definedName name="PAGE41">#N/A</definedName>
    <definedName name="PAGE42">#N/A</definedName>
    <definedName name="Panel" localSheetId="0" hidden="1">{#N/A,#N/A,TRUE,"Basic";#N/A,#N/A,TRUE,"EXT-TABLE";#N/A,#N/A,TRUE,"STEEL";#N/A,#N/A,TRUE,"INT-Table";#N/A,#N/A,TRUE,"STEEL";#N/A,#N/A,TRUE,"Door"}</definedName>
    <definedName name="Panel" hidden="1">{#N/A,#N/A,TRUE,"Basic";#N/A,#N/A,TRUE,"EXT-TABLE";#N/A,#N/A,TRUE,"STEEL";#N/A,#N/A,TRUE,"INT-Table";#N/A,#N/A,TRUE,"STEEL";#N/A,#N/A,TRUE,"Door"}</definedName>
    <definedName name="panel_id_001" localSheetId="0">#REF!</definedName>
    <definedName name="panel_id_001">#REF!</definedName>
    <definedName name="PCF">#REF!</definedName>
    <definedName name="PCK" localSheetId="0">#REF!</definedName>
    <definedName name="PCK">#REF!</definedName>
    <definedName name="pd_angle_of_repose_001" localSheetId="0">#REF!</definedName>
    <definedName name="pd_angle_of_repose_001">#REF!</definedName>
    <definedName name="pd_api_calc_type_001" localSheetId="0">#REF!</definedName>
    <definedName name="pd_api_calc_type_001">#REF!</definedName>
    <definedName name="pd_api_degree_max_001" localSheetId="0">#REF!</definedName>
    <definedName name="pd_api_degree_max_001">#REF!</definedName>
    <definedName name="pd_api_degree_min_001" localSheetId="0">#REF!</definedName>
    <definedName name="pd_api_degree_min_001">#REF!</definedName>
    <definedName name="pd_api_degree_nor_001" localSheetId="0">#REF!</definedName>
    <definedName name="pd_api_degree_nor_001">#REF!</definedName>
    <definedName name="pd_api_group_id_001" localSheetId="0">#REF!</definedName>
    <definedName name="pd_api_group_id_001">#REF!</definedName>
    <definedName name="pd_bubble_pt_max_001" localSheetId="0">#REF!</definedName>
    <definedName name="pd_bubble_pt_max_001">#REF!</definedName>
    <definedName name="pd_bubble_pt_min_001" localSheetId="0">#REF!</definedName>
    <definedName name="pd_bubble_pt_min_001">#REF!</definedName>
    <definedName name="pd_bubble_pt_nor_001" localSheetId="0">#REF!</definedName>
    <definedName name="pd_bubble_pt_nor_001">#REF!</definedName>
    <definedName name="pd_bubble_pt_uid_001" localSheetId="0">#REF!</definedName>
    <definedName name="pd_bubble_pt_uid_001">#REF!</definedName>
    <definedName name="pd_build_tend_001" localSheetId="0">#REF!</definedName>
    <definedName name="pd_build_tend_001">#REF!</definedName>
    <definedName name="pd_chim_abstr_num_001" localSheetId="0">#REF!</definedName>
    <definedName name="pd_chim_abstr_num_001">#REF!</definedName>
    <definedName name="pd_coagulat_001" localSheetId="0">#REF!</definedName>
    <definedName name="pd_coagulat_001">#REF!</definedName>
    <definedName name="pd_colored_001" localSheetId="0">#REF!</definedName>
    <definedName name="pd_colored_001">#REF!</definedName>
    <definedName name="pd_compres_base_001" localSheetId="0">#REF!</definedName>
    <definedName name="pd_compres_base_001">#REF!</definedName>
    <definedName name="pd_compres_flow_max_001" localSheetId="0">#REF!</definedName>
    <definedName name="pd_compres_flow_max_001">#REF!</definedName>
    <definedName name="pd_compres_flow_min_001" localSheetId="0">#REF!</definedName>
    <definedName name="pd_compres_flow_min_001">#REF!</definedName>
    <definedName name="pd_compres_flow_nor_001" localSheetId="0">#REF!</definedName>
    <definedName name="pd_compres_flow_nor_001">#REF!</definedName>
    <definedName name="pd_conduct_resist_flg_001" localSheetId="0">#REF!</definedName>
    <definedName name="pd_conduct_resist_flg_001">#REF!</definedName>
    <definedName name="pd_conductivity_max_001" localSheetId="0">#REF!</definedName>
    <definedName name="pd_conductivity_max_001">#REF!</definedName>
    <definedName name="pd_conductivity_min_001" localSheetId="0">#REF!</definedName>
    <definedName name="pd_conductivity_min_001">#REF!</definedName>
    <definedName name="pd_conductivity_nor_001" localSheetId="0">#REF!</definedName>
    <definedName name="pd_conductivity_nor_001">#REF!</definedName>
    <definedName name="pd_conductivity_uid_001" localSheetId="0">#REF!</definedName>
    <definedName name="pd_conductivity_uid_001">#REF!</definedName>
    <definedName name="pd_contain_parts_001" localSheetId="0">#REF!</definedName>
    <definedName name="pd_contain_parts_001">#REF!</definedName>
    <definedName name="pd_corrosive_001" localSheetId="0">#REF!</definedName>
    <definedName name="pd_corrosive_001">#REF!</definedName>
    <definedName name="pd_cp_cv_max_001" localSheetId="0">#REF!</definedName>
    <definedName name="pd_cp_cv_max_001">#REF!</definedName>
    <definedName name="pd_cp_cv_min_001" localSheetId="0">#REF!</definedName>
    <definedName name="pd_cp_cv_min_001">#REF!</definedName>
    <definedName name="pd_cp_cv_nor_001" localSheetId="0">#REF!</definedName>
    <definedName name="pd_cp_cv_nor_001">#REF!</definedName>
    <definedName name="pd_critic_press_001" localSheetId="0">#REF!</definedName>
    <definedName name="pd_critic_press_001">#REF!</definedName>
    <definedName name="pd_critic_press_uflg_001" localSheetId="0">#REF!</definedName>
    <definedName name="pd_critic_press_uflg_001">#REF!</definedName>
    <definedName name="pd_critic_press_uid_001" localSheetId="0">#REF!</definedName>
    <definedName name="pd_critic_press_uid_001">#REF!</definedName>
    <definedName name="pd_dens_at_bas_uid_001" localSheetId="0">#REF!</definedName>
    <definedName name="pd_dens_at_bas_uid_001">#REF!</definedName>
    <definedName name="pd_dens_at_base_001" localSheetId="0">#REF!</definedName>
    <definedName name="pd_dens_at_base_001">#REF!</definedName>
    <definedName name="pd_dens_comp_base_flg_001" localSheetId="0">#REF!</definedName>
    <definedName name="pd_dens_comp_base_flg_001">#REF!</definedName>
    <definedName name="pd_dens_grav_base_flg_001" localSheetId="0">#REF!</definedName>
    <definedName name="pd_dens_grav_base_flg_001">#REF!</definedName>
    <definedName name="pd_dens_grav_flg_001" localSheetId="0">#REF!</definedName>
    <definedName name="pd_dens_grav_flg_001">#REF!</definedName>
    <definedName name="pd_dens_max_001" localSheetId="0">#REF!</definedName>
    <definedName name="pd_dens_max_001">#REF!</definedName>
    <definedName name="pd_dens_min_001" localSheetId="0">#REF!</definedName>
    <definedName name="pd_dens_min_001">#REF!</definedName>
    <definedName name="pd_dens_nor_001" localSheetId="0">#REF!</definedName>
    <definedName name="pd_dens_nor_001">#REF!</definedName>
    <definedName name="pd_dens_ref_001" localSheetId="0">#REF!</definedName>
    <definedName name="pd_dens_ref_001">#REF!</definedName>
    <definedName name="pd_dens_ref_uid_001" localSheetId="0">#REF!</definedName>
    <definedName name="pd_dens_ref_uid_001">#REF!</definedName>
    <definedName name="pd_dens_uid_001" localSheetId="0">#REF!</definedName>
    <definedName name="pd_dens_uid_001">#REF!</definedName>
    <definedName name="pd_design_temp_max" localSheetId="0">#REF!</definedName>
    <definedName name="pd_design_temp_max">#REF!</definedName>
    <definedName name="pd_design_temp_max_001" localSheetId="0">#REF!</definedName>
    <definedName name="pd_design_temp_max_001">#REF!</definedName>
    <definedName name="pd_design_temp_min" localSheetId="0">#REF!</definedName>
    <definedName name="pd_design_temp_min">#REF!</definedName>
    <definedName name="pd_design_temp_min_001" localSheetId="0">#REF!</definedName>
    <definedName name="pd_design_temp_min_001">#REF!</definedName>
    <definedName name="pd_design_temp_uid_001" localSheetId="0">#REF!</definedName>
    <definedName name="pd_design_temp_uid_001">#REF!</definedName>
    <definedName name="pd_dew_pt_max_001" localSheetId="0">#REF!</definedName>
    <definedName name="pd_dew_pt_max_001">#REF!</definedName>
    <definedName name="pd_dew_pt_min_001" localSheetId="0">#REF!</definedName>
    <definedName name="pd_dew_pt_min_001">#REF!</definedName>
    <definedName name="pd_dew_pt_nor_001" localSheetId="0">#REF!</definedName>
    <definedName name="pd_dew_pt_nor_001">#REF!</definedName>
    <definedName name="pd_dew_pt_uid_001" localSheetId="0">#REF!</definedName>
    <definedName name="pd_dew_pt_uid_001">#REF!</definedName>
    <definedName name="pd_erosive_001" localSheetId="0">#REF!</definedName>
    <definedName name="pd_erosive_001">#REF!</definedName>
    <definedName name="pd_flow_add_flag_001" localSheetId="0">#REF!</definedName>
    <definedName name="pd_flow_add_flag_001">#REF!</definedName>
    <definedName name="pd_flow_alarm_flag_001" localSheetId="0">#REF!</definedName>
    <definedName name="pd_flow_alarm_flag_001">#REF!</definedName>
    <definedName name="pd_flow_flag_001" localSheetId="0">#REF!</definedName>
    <definedName name="pd_flow_flag_001">#REF!</definedName>
    <definedName name="pd_flow_max_001" localSheetId="0">#REF!</definedName>
    <definedName name="pd_flow_max_001">#REF!</definedName>
    <definedName name="pd_flow_min_001" localSheetId="0">#REF!</definedName>
    <definedName name="pd_flow_min_001">#REF!</definedName>
    <definedName name="pd_flow_nor_001" localSheetId="0">#REF!</definedName>
    <definedName name="pd_flow_nor_001">#REF!</definedName>
    <definedName name="pd_flow_uflg_001" localSheetId="0">#REF!</definedName>
    <definedName name="pd_flow_uflg_001">#REF!</definedName>
    <definedName name="pd_flow_uid_001" localSheetId="0">#REF!</definedName>
    <definedName name="pd_flow_uid_001">#REF!</definedName>
    <definedName name="pd_fluid_name" localSheetId="0">#REF!</definedName>
    <definedName name="pd_fluid_name">#REF!</definedName>
    <definedName name="pd_fluid_name_001" localSheetId="0">#REF!</definedName>
    <definedName name="pd_fluid_name_001">#REF!</definedName>
    <definedName name="pd_fluid_phase_001" localSheetId="0">#REF!</definedName>
    <definedName name="pd_fluid_phase_001">#REF!</definedName>
    <definedName name="pd_fluid_stat_001" localSheetId="0">#REF!</definedName>
    <definedName name="pd_fluid_stat_001">#REF!</definedName>
    <definedName name="pd_gas_comp_dens_flg_001" localSheetId="0">#REF!</definedName>
    <definedName name="pd_gas_comp_dens_flg_001">#REF!</definedName>
    <definedName name="pd_gas_mm_grav_flg_001" localSheetId="0">#REF!</definedName>
    <definedName name="pd_gas_mm_grav_flg_001">#REF!</definedName>
    <definedName name="pd_gas_sg_as_mm_001" localSheetId="0">#REF!</definedName>
    <definedName name="pd_gas_sg_as_mm_001">#REF!</definedName>
    <definedName name="pd_heat_max_001" localSheetId="0">#REF!</definedName>
    <definedName name="pd_heat_max_001">#REF!</definedName>
    <definedName name="pd_heat_min_001" localSheetId="0">#REF!</definedName>
    <definedName name="pd_heat_min_001">#REF!</definedName>
    <definedName name="pd_heat_nor_001" localSheetId="0">#REF!</definedName>
    <definedName name="pd_heat_nor_001">#REF!</definedName>
    <definedName name="pd_heat_uid_001" localSheetId="0">#REF!</definedName>
    <definedName name="pd_heat_uid_001">#REF!</definedName>
    <definedName name="pd_isize_phase_001" localSheetId="0">#REF!</definedName>
    <definedName name="pd_isize_phase_001">#REF!</definedName>
    <definedName name="pd_latent_heat_max_001" localSheetId="0">#REF!</definedName>
    <definedName name="pd_latent_heat_max_001">#REF!</definedName>
    <definedName name="pd_latent_heat_min_001" localSheetId="0">#REF!</definedName>
    <definedName name="pd_latent_heat_min_001">#REF!</definedName>
    <definedName name="pd_latent_heat_nor_001" localSheetId="0">#REF!</definedName>
    <definedName name="pd_latent_heat_nor_001">#REF!</definedName>
    <definedName name="pd_latent_heat_uid_001" localSheetId="0">#REF!</definedName>
    <definedName name="pd_latent_heat_uid_001">#REF!</definedName>
    <definedName name="pd_line_eq_flg_001" localSheetId="0">#REF!</definedName>
    <definedName name="pd_line_eq_flg_001">#REF!</definedName>
    <definedName name="pd_molecular_mass_001" localSheetId="0">#REF!</definedName>
    <definedName name="pd_molecular_mass_001">#REF!</definedName>
    <definedName name="pd_note_001" localSheetId="0">#REF!</definedName>
    <definedName name="pd_note_001">#REF!</definedName>
    <definedName name="pd_oxidizing_001" localSheetId="0">#REF!</definedName>
    <definedName name="pd_oxidizing_001">#REF!</definedName>
    <definedName name="pd_p_alarm_high_001" localSheetId="0">#REF!</definedName>
    <definedName name="pd_p_alarm_high_001">#REF!</definedName>
    <definedName name="pd_p_alarm_high_high_001" localSheetId="0">#REF!</definedName>
    <definedName name="pd_p_alarm_high_high_001">#REF!</definedName>
    <definedName name="pd_p_alarm_high_high_high_001" localSheetId="0">#REF!</definedName>
    <definedName name="pd_p_alarm_high_high_high_001">#REF!</definedName>
    <definedName name="pd_p_alarm_low_001" localSheetId="0">#REF!</definedName>
    <definedName name="pd_p_alarm_low_001">#REF!</definedName>
    <definedName name="pd_p_alarm_low_low_001" localSheetId="0">#REF!</definedName>
    <definedName name="pd_p_alarm_low_low_001">#REF!</definedName>
    <definedName name="pd_p_alarm_low_low_low_001" localSheetId="0">#REF!</definedName>
    <definedName name="pd_p_alarm_low_low_low_001">#REF!</definedName>
    <definedName name="pd_p_cntrl_pnt_max_001" localSheetId="0">#REF!</definedName>
    <definedName name="pd_p_cntrl_pnt_max_001">#REF!</definedName>
    <definedName name="pd_p_cntrl_pnt_min_001" localSheetId="0">#REF!</definedName>
    <definedName name="pd_p_cntrl_pnt_min_001">#REF!</definedName>
    <definedName name="pd_p_cntrl_pnt_nor_001" localSheetId="0">#REF!</definedName>
    <definedName name="pd_p_cntrl_pnt_nor_001">#REF!</definedName>
    <definedName name="pd_p_cntrl_pnt_uid_001" localSheetId="0">#REF!</definedName>
    <definedName name="pd_p_cntrl_pnt_uid_001">#REF!</definedName>
    <definedName name="pd_p_dif_press_uid_001" localSheetId="0">#REF!</definedName>
    <definedName name="pd_p_dif_press_uid_001">#REF!</definedName>
    <definedName name="pd_p_dif_range_uid_001" localSheetId="0">#REF!</definedName>
    <definedName name="pd_p_dif_range_uid_001">#REF!</definedName>
    <definedName name="pd_p_dif_trip_alarm_uid_001" localSheetId="0">#REF!</definedName>
    <definedName name="pd_p_dif_trip_alarm_uid_001">#REF!</definedName>
    <definedName name="pd_p_kind_of_pressure_001" localSheetId="0">#REF!</definedName>
    <definedName name="pd_p_kind_of_pressure_001">#REF!</definedName>
    <definedName name="pd_p_range_max_001" localSheetId="0">#REF!</definedName>
    <definedName name="pd_p_range_max_001">#REF!</definedName>
    <definedName name="pd_p_range_min_001" localSheetId="0">#REF!</definedName>
    <definedName name="pd_p_range_min_001">#REF!</definedName>
    <definedName name="pd_p_range_nor_001" localSheetId="0">#REF!</definedName>
    <definedName name="pd_p_range_nor_001">#REF!</definedName>
    <definedName name="pd_p_range_uflg_001" localSheetId="0">#REF!</definedName>
    <definedName name="pd_p_range_uflg_001">#REF!</definedName>
    <definedName name="pd_p_range_uid_001" localSheetId="0">#REF!</definedName>
    <definedName name="pd_p_range_uid_001">#REF!</definedName>
    <definedName name="pd_p_trac_jacet_001" localSheetId="0">#REF!</definedName>
    <definedName name="pd_p_trac_jacet_001">#REF!</definedName>
    <definedName name="pd_p_trip_alarm_uflg_001" localSheetId="0">#REF!</definedName>
    <definedName name="pd_p_trip_alarm_uflg_001">#REF!</definedName>
    <definedName name="pd_p_trip_alarm_uid_001" localSheetId="0">#REF!</definedName>
    <definedName name="pd_p_trip_alarm_uid_001">#REF!</definedName>
    <definedName name="pd_p_trip_high_001" localSheetId="0">#REF!</definedName>
    <definedName name="pd_p_trip_high_001">#REF!</definedName>
    <definedName name="pd_p_trip_high_high_001" localSheetId="0">#REF!</definedName>
    <definedName name="pd_p_trip_high_high_001">#REF!</definedName>
    <definedName name="pd_p_trip_high_high_high_001" localSheetId="0">#REF!</definedName>
    <definedName name="pd_p_trip_high_high_high_001">#REF!</definedName>
    <definedName name="pd_p_trip_low_001" localSheetId="0">#REF!</definedName>
    <definedName name="pd_p_trip_low_001">#REF!</definedName>
    <definedName name="pd_p_trip_low_low_001" localSheetId="0">#REF!</definedName>
    <definedName name="pd_p_trip_low_low_001">#REF!</definedName>
    <definedName name="pd_p_trip_low_low_low_001" localSheetId="0">#REF!</definedName>
    <definedName name="pd_p_trip_low_low_low_001">#REF!</definedName>
    <definedName name="pd_p_valvtend_001" localSheetId="0">#REF!</definedName>
    <definedName name="pd_p_valvtend_001">#REF!</definedName>
    <definedName name="pd_p_view_dif_pressure_flag_001" localSheetId="0">#REF!</definedName>
    <definedName name="pd_p_view_dif_pressure_flag_001">#REF!</definedName>
    <definedName name="pd_p_view_dif_range_flag_001" localSheetId="0">#REF!</definedName>
    <definedName name="pd_p_view_dif_range_flag_001">#REF!</definedName>
    <definedName name="pd_p_view_dif_trip_alarm_flag_001" localSheetId="0">#REF!</definedName>
    <definedName name="pd_p_view_dif_trip_alarm_flag_001">#REF!</definedName>
    <definedName name="pd_ph_orp_max_001" localSheetId="0">#REF!</definedName>
    <definedName name="pd_ph_orp_max_001">#REF!</definedName>
    <definedName name="pd_ph_orp_min_001" localSheetId="0">#REF!</definedName>
    <definedName name="pd_ph_orp_min_001">#REF!</definedName>
    <definedName name="pd_ph_orp_nor_001" localSheetId="0">#REF!</definedName>
    <definedName name="pd_ph_orp_nor_001">#REF!</definedName>
    <definedName name="pd_ph_orp_uid_001" localSheetId="0">#REF!</definedName>
    <definedName name="pd_ph_orp_uid_001">#REF!</definedName>
    <definedName name="pd_press_base_001" localSheetId="0">#REF!</definedName>
    <definedName name="pd_press_base_001">#REF!</definedName>
    <definedName name="pd_press_base_uid_001" localSheetId="0">#REF!</definedName>
    <definedName name="pd_press_base_uid_001">#REF!</definedName>
    <definedName name="pd_press_des" localSheetId="0">#REF!</definedName>
    <definedName name="pd_press_des">#REF!</definedName>
    <definedName name="pd_press_des_001" localSheetId="0">#REF!</definedName>
    <definedName name="pd_press_des_001">#REF!</definedName>
    <definedName name="pd_press_des_min" localSheetId="0">#REF!</definedName>
    <definedName name="pd_press_des_min">#REF!</definedName>
    <definedName name="pd_press_des_min_001" localSheetId="0">#REF!</definedName>
    <definedName name="pd_press_des_min_001">#REF!</definedName>
    <definedName name="pd_press_des_min_uflg_001" localSheetId="0">#REF!</definedName>
    <definedName name="pd_press_des_min_uflg_001">#REF!</definedName>
    <definedName name="pd_press_des_min_uid_001" localSheetId="0">#REF!</definedName>
    <definedName name="pd_press_des_min_uid_001">#REF!</definedName>
    <definedName name="pd_press_des_uflg_001" localSheetId="0">#REF!</definedName>
    <definedName name="pd_press_des_uflg_001">#REF!</definedName>
    <definedName name="pd_press_des_uid_001" localSheetId="0">#REF!</definedName>
    <definedName name="pd_press_des_uid_001">#REF!</definedName>
    <definedName name="pd_press_drp_max_001" localSheetId="0">#REF!</definedName>
    <definedName name="pd_press_drp_max_001">#REF!</definedName>
    <definedName name="pd_press_drp_min_001" localSheetId="0">#REF!</definedName>
    <definedName name="pd_press_drp_min_001">#REF!</definedName>
    <definedName name="pd_press_drp_nor_001" localSheetId="0">#REF!</definedName>
    <definedName name="pd_press_drp_nor_001">#REF!</definedName>
    <definedName name="pd_press_drp_uid_001" localSheetId="0">#REF!</definedName>
    <definedName name="pd_press_drp_uid_001">#REF!</definedName>
    <definedName name="pd_press_max" localSheetId="0">#REF!</definedName>
    <definedName name="pd_press_max">#REF!</definedName>
    <definedName name="pd_press_max_001" localSheetId="0">#REF!</definedName>
    <definedName name="pd_press_max_001">#REF!</definedName>
    <definedName name="pd_press_min_001" localSheetId="0">#REF!</definedName>
    <definedName name="pd_press_min_001">#REF!</definedName>
    <definedName name="pd_press_nor" localSheetId="0">#REF!</definedName>
    <definedName name="pd_press_nor">#REF!</definedName>
    <definedName name="pd_press_nor_001" localSheetId="0">#REF!</definedName>
    <definedName name="pd_press_nor_001">#REF!</definedName>
    <definedName name="pd_press_uflg_001" localSheetId="0">#REF!</definedName>
    <definedName name="pd_press_uflg_001">#REF!</definedName>
    <definedName name="pd_press_uid_001" localSheetId="0">#REF!</definedName>
    <definedName name="pd_press_uid_001">#REF!</definedName>
    <definedName name="pd_pulsation_001" localSheetId="0">#REF!</definedName>
    <definedName name="pd_pulsation_001">#REF!</definedName>
    <definedName name="pd_resistivity_max_001" localSheetId="0">#REF!</definedName>
    <definedName name="pd_resistivity_max_001">#REF!</definedName>
    <definedName name="pd_resistivity_min_001" localSheetId="0">#REF!</definedName>
    <definedName name="pd_resistivity_min_001">#REF!</definedName>
    <definedName name="pd_resistivity_nor_001" localSheetId="0">#REF!</definedName>
    <definedName name="pd_resistivity_nor_001">#REF!</definedName>
    <definedName name="pd_resistivity_uid_001" localSheetId="0">#REF!</definedName>
    <definedName name="pd_resistivity_uid_001">#REF!</definedName>
    <definedName name="pd_return_pres_design_001" localSheetId="0">#REF!</definedName>
    <definedName name="pd_return_pres_design_001">#REF!</definedName>
    <definedName name="pd_return_pres_design_uflg_001" localSheetId="0">#REF!</definedName>
    <definedName name="pd_return_pres_design_uflg_001">#REF!</definedName>
    <definedName name="pd_return_pres_design_uid_001" localSheetId="0">#REF!</definedName>
    <definedName name="pd_return_pres_design_uid_001">#REF!</definedName>
    <definedName name="pd_return_pres_max_001" localSheetId="0">#REF!</definedName>
    <definedName name="pd_return_pres_max_001">#REF!</definedName>
    <definedName name="pd_return_pres_min_001" localSheetId="0">#REF!</definedName>
    <definedName name="pd_return_pres_min_001">#REF!</definedName>
    <definedName name="pd_return_pres_nor_001" localSheetId="0">#REF!</definedName>
    <definedName name="pd_return_pres_nor_001">#REF!</definedName>
    <definedName name="pd_return_pres_uflg_001" localSheetId="0">#REF!</definedName>
    <definedName name="pd_return_pres_uflg_001">#REF!</definedName>
    <definedName name="pd_return_pres_uid_001" localSheetId="0">#REF!</definedName>
    <definedName name="pd_return_pres_uid_001">#REF!</definedName>
    <definedName name="pd_return_temp_design_001" localSheetId="0">#REF!</definedName>
    <definedName name="pd_return_temp_design_001">#REF!</definedName>
    <definedName name="pd_return_temp_max_001" localSheetId="0">#REF!</definedName>
    <definedName name="pd_return_temp_max_001">#REF!</definedName>
    <definedName name="pd_return_temp_min_001" localSheetId="0">#REF!</definedName>
    <definedName name="pd_return_temp_min_001">#REF!</definedName>
    <definedName name="pd_return_temp_nor_001" localSheetId="0">#REF!</definedName>
    <definedName name="pd_return_temp_nor_001">#REF!</definedName>
    <definedName name="pd_return_temp_uid_001" localSheetId="0">#REF!</definedName>
    <definedName name="pd_return_temp_uid_001">#REF!</definedName>
    <definedName name="pd_saturat_temp_001" localSheetId="0">#REF!</definedName>
    <definedName name="pd_saturat_temp_001">#REF!</definedName>
    <definedName name="pd_schedul_001" localSheetId="0">#REF!</definedName>
    <definedName name="pd_schedul_001">#REF!</definedName>
    <definedName name="pd_size_001" localSheetId="0">#REF!</definedName>
    <definedName name="pd_size_001">#REF!</definedName>
    <definedName name="pd_size_uid_001" localSheetId="0">#REF!</definedName>
    <definedName name="pd_size_uid_001">#REF!</definedName>
    <definedName name="pd_solidfy_001" localSheetId="0">#REF!</definedName>
    <definedName name="pd_solidfy_001">#REF!</definedName>
    <definedName name="pd_solids_qt_001" localSheetId="0">#REF!</definedName>
    <definedName name="pd_solids_qt_001">#REF!</definedName>
    <definedName name="pd_solids_qt_uid_001" localSheetId="0">#REF!</definedName>
    <definedName name="pd_solids_qt_uid_001">#REF!</definedName>
    <definedName name="pd_solids_size_001" localSheetId="0">#REF!</definedName>
    <definedName name="pd_solids_size_001">#REF!</definedName>
    <definedName name="pd_solids_size_uid_001" localSheetId="0">#REF!</definedName>
    <definedName name="pd_solids_size_uid_001">#REF!</definedName>
    <definedName name="pd_source_001" localSheetId="0">#REF!</definedName>
    <definedName name="pd_source_001">#REF!</definedName>
    <definedName name="pd_source_type_001" localSheetId="0">#REF!</definedName>
    <definedName name="pd_source_type_001">#REF!</definedName>
    <definedName name="pd_spec_grav_base_001" localSheetId="0">#REF!</definedName>
    <definedName name="pd_spec_grav_base_001">#REF!</definedName>
    <definedName name="pd_spec_grav_max_001" localSheetId="0">#REF!</definedName>
    <definedName name="pd_spec_grav_max_001">#REF!</definedName>
    <definedName name="pd_spec_grav_min_001" localSheetId="0">#REF!</definedName>
    <definedName name="pd_spec_grav_min_001">#REF!</definedName>
    <definedName name="pd_spec_grav_nor_001" localSheetId="0">#REF!</definedName>
    <definedName name="pd_spec_grav_nor_001">#REF!</definedName>
    <definedName name="pd_spec_grav_ref_001" localSheetId="0">#REF!</definedName>
    <definedName name="pd_spec_grav_ref_001">#REF!</definedName>
    <definedName name="pd_stat_001" localSheetId="0">#REF!</definedName>
    <definedName name="pd_stat_001">#REF!</definedName>
    <definedName name="pd_temp_base_001" localSheetId="0">#REF!</definedName>
    <definedName name="pd_temp_base_001">#REF!</definedName>
    <definedName name="pd_temp_base_uid_001" localSheetId="0">#REF!</definedName>
    <definedName name="pd_temp_base_uid_001">#REF!</definedName>
    <definedName name="pd_temp_max" localSheetId="0">#REF!</definedName>
    <definedName name="pd_temp_max">#REF!</definedName>
    <definedName name="pd_temp_max_001" localSheetId="0">#REF!</definedName>
    <definedName name="pd_temp_max_001">#REF!</definedName>
    <definedName name="pd_temp_min_001" localSheetId="0">#REF!</definedName>
    <definedName name="pd_temp_min_001">#REF!</definedName>
    <definedName name="pd_temp_nor" localSheetId="0">#REF!</definedName>
    <definedName name="pd_temp_nor">#REF!</definedName>
    <definedName name="pd_temp_nor_001" localSheetId="0">#REF!</definedName>
    <definedName name="pd_temp_nor_001">#REF!</definedName>
    <definedName name="pd_temp_ref_001" localSheetId="0">#REF!</definedName>
    <definedName name="pd_temp_ref_001">#REF!</definedName>
    <definedName name="pd_temp_ref_uid_001" localSheetId="0">#REF!</definedName>
    <definedName name="pd_temp_ref_uid_001">#REF!</definedName>
    <definedName name="pd_temp_uid_001" localSheetId="0">#REF!</definedName>
    <definedName name="pd_temp_uid_001">#REF!</definedName>
    <definedName name="pd_term_shock_001" localSheetId="0">#REF!</definedName>
    <definedName name="pd_term_shock_001">#REF!</definedName>
    <definedName name="pd_toxic_001" localSheetId="0">#REF!</definedName>
    <definedName name="pd_toxic_001">#REF!</definedName>
    <definedName name="pd_transparent_001" localSheetId="0">#REF!</definedName>
    <definedName name="pd_transparent_001">#REF!</definedName>
    <definedName name="pd_udf_c01_001" localSheetId="0">#REF!</definedName>
    <definedName name="pd_udf_c01_001">#REF!</definedName>
    <definedName name="pd_udf_c02_001" localSheetId="0">#REF!</definedName>
    <definedName name="pd_udf_c02_001">#REF!</definedName>
    <definedName name="pd_udf_c03_001" localSheetId="0">#REF!</definedName>
    <definedName name="pd_udf_c03_001">#REF!</definedName>
    <definedName name="pd_udf_c04_001" localSheetId="0">#REF!</definedName>
    <definedName name="pd_udf_c04_001">#REF!</definedName>
    <definedName name="pd_udf_c05_001" localSheetId="0">#REF!</definedName>
    <definedName name="pd_udf_c05_001">#REF!</definedName>
    <definedName name="pd_udf_c06_001" localSheetId="0">#REF!</definedName>
    <definedName name="pd_udf_c06_001">#REF!</definedName>
    <definedName name="pd_udf_c07_001" localSheetId="0">#REF!</definedName>
    <definedName name="pd_udf_c07_001">#REF!</definedName>
    <definedName name="pd_udf_c08_001" localSheetId="0">#REF!</definedName>
    <definedName name="pd_udf_c08_001">#REF!</definedName>
    <definedName name="pd_udf_c09_001" localSheetId="0">#REF!</definedName>
    <definedName name="pd_udf_c09_001">#REF!</definedName>
    <definedName name="pd_udf_c10_001" localSheetId="0">#REF!</definedName>
    <definedName name="pd_udf_c10_001">#REF!</definedName>
    <definedName name="pd_udf_c11_001" localSheetId="0">#REF!</definedName>
    <definedName name="pd_udf_c11_001">#REF!</definedName>
    <definedName name="pd_udf_c12_001" localSheetId="0">#REF!</definedName>
    <definedName name="pd_udf_c12_001">#REF!</definedName>
    <definedName name="pd_udf_c13_001" localSheetId="0">#REF!</definedName>
    <definedName name="pd_udf_c13_001">#REF!</definedName>
    <definedName name="pd_udf_c14_001" localSheetId="0">#REF!</definedName>
    <definedName name="pd_udf_c14_001">#REF!</definedName>
    <definedName name="pd_udf_c15_001" localSheetId="0">#REF!</definedName>
    <definedName name="pd_udf_c15_001">#REF!</definedName>
    <definedName name="pd_udf_c16_001" localSheetId="0">#REF!</definedName>
    <definedName name="pd_udf_c16_001">#REF!</definedName>
    <definedName name="pd_udf_c17_001" localSheetId="0">#REF!</definedName>
    <definedName name="pd_udf_c17_001">#REF!</definedName>
    <definedName name="pd_udf_c18_001" localSheetId="0">#REF!</definedName>
    <definedName name="pd_udf_c18_001">#REF!</definedName>
    <definedName name="pd_udf_c19_001" localSheetId="0">#REF!</definedName>
    <definedName name="pd_udf_c19_001">#REF!</definedName>
    <definedName name="pd_udf_c20_001" localSheetId="0">#REF!</definedName>
    <definedName name="pd_udf_c20_001">#REF!</definedName>
    <definedName name="pd_unit_percent_001" localSheetId="0">#REF!</definedName>
    <definedName name="pd_unit_percent_001">#REF!</definedName>
    <definedName name="pd_vap_press_max_001" localSheetId="0">#REF!</definedName>
    <definedName name="pd_vap_press_max_001">#REF!</definedName>
    <definedName name="pd_vap_press_min_001" localSheetId="0">#REF!</definedName>
    <definedName name="pd_vap_press_min_001">#REF!</definedName>
    <definedName name="pd_vap_press_nor_001" localSheetId="0">#REF!</definedName>
    <definedName name="pd_vap_press_nor_001">#REF!</definedName>
    <definedName name="pd_vap_press_uflg_001" localSheetId="0">#REF!</definedName>
    <definedName name="pd_vap_press_uflg_001">#REF!</definedName>
    <definedName name="pd_vap_press_uid_001" localSheetId="0">#REF!</definedName>
    <definedName name="pd_vap_press_uid_001">#REF!</definedName>
    <definedName name="pd_velocity_max_001" localSheetId="0">#REF!</definedName>
    <definedName name="pd_velocity_max_001">#REF!</definedName>
    <definedName name="pd_velocity_min_001" localSheetId="0">#REF!</definedName>
    <definedName name="pd_velocity_min_001">#REF!</definedName>
    <definedName name="pd_velocity_nor_001" localSheetId="0">#REF!</definedName>
    <definedName name="pd_velocity_nor_001">#REF!</definedName>
    <definedName name="pd_velocity_uid_001" localSheetId="0">#REF!</definedName>
    <definedName name="pd_velocity_uid_001">#REF!</definedName>
    <definedName name="pd_vibration_001" localSheetId="0">#REF!</definedName>
    <definedName name="pd_vibration_001">#REF!</definedName>
    <definedName name="pd_visc_max_001" localSheetId="0">#REF!</definedName>
    <definedName name="pd_visc_max_001">#REF!</definedName>
    <definedName name="pd_visc_min_001" localSheetId="0">#REF!</definedName>
    <definedName name="pd_visc_min_001">#REF!</definedName>
    <definedName name="pd_visc_nor" localSheetId="0">#REF!</definedName>
    <definedName name="pd_visc_nor">#REF!</definedName>
    <definedName name="pd_visc_nor_001" localSheetId="0">#REF!</definedName>
    <definedName name="pd_visc_nor_001">#REF!</definedName>
    <definedName name="pd_visc_uid_001" localSheetId="0">#REF!</definedName>
    <definedName name="pd_visc_uid_001">#REF!</definedName>
    <definedName name="ped_no" localSheetId="0">#REF!</definedName>
    <definedName name="ped_no">#REF!</definedName>
    <definedName name="PER">#REF!</definedName>
    <definedName name="PHASE" localSheetId="0" hidden="1">{#N/A,#N/A,TRUE,"Basic";#N/A,#N/A,TRUE,"EXT-TABLE";#N/A,#N/A,TRUE,"STEEL";#N/A,#N/A,TRUE,"INT-Table";#N/A,#N/A,TRUE,"STEEL";#N/A,#N/A,TRUE,"Door"}</definedName>
    <definedName name="PHASE" hidden="1">{#N/A,#N/A,TRUE,"Basic";#N/A,#N/A,TRUE,"EXT-TABLE";#N/A,#N/A,TRUE,"STEEL";#N/A,#N/A,TRUE,"INT-Table";#N/A,#N/A,TRUE,"STEEL";#N/A,#N/A,TRUE,"Door"}</definedName>
    <definedName name="phase1_001" localSheetId="0">#REF!</definedName>
    <definedName name="phase1_001">#REF!</definedName>
    <definedName name="phase2_001" localSheetId="0">#REF!</definedName>
    <definedName name="phase2_001">#REF!</definedName>
    <definedName name="phase3_001" localSheetId="0">#REF!</definedName>
    <definedName name="phase3_001">#REF!</definedName>
    <definedName name="Physical_Scope">[72]eq_data!$C$5:$C$54</definedName>
    <definedName name="pid_no_001" localSheetId="0">#REF!</definedName>
    <definedName name="pid_no_001">#REF!</definedName>
    <definedName name="pile_no" localSheetId="0">#REF!</definedName>
    <definedName name="pile_no">#REF!</definedName>
    <definedName name="PIPE">[15]PIPE_DCI!#REF!</definedName>
    <definedName name="pipe_class_001" localSheetId="0">#REF!</definedName>
    <definedName name="pipe_class_001">#REF!</definedName>
    <definedName name="pipe_class_id_001" localSheetId="0">#REF!</definedName>
    <definedName name="pipe_class_id_001">#REF!</definedName>
    <definedName name="Pipe_Name" localSheetId="0">#REF!</definedName>
    <definedName name="Pipe_Name">#REF!</definedName>
    <definedName name="pipe1" localSheetId="0">#REF!</definedName>
    <definedName name="pipe1">#REF!</definedName>
    <definedName name="pipe2" localSheetId="0">#REF!</definedName>
    <definedName name="pipe2">#REF!</definedName>
    <definedName name="pipe3">[15]PIPE_DCI!#REF!</definedName>
    <definedName name="pipe4" localSheetId="0">#REF!</definedName>
    <definedName name="pipe4">#REF!</definedName>
    <definedName name="pipe5" localSheetId="0">#REF!</definedName>
    <definedName name="pipe5">#REF!</definedName>
    <definedName name="pipe6" localSheetId="0">#REF!</definedName>
    <definedName name="pipe6">#REF!</definedName>
    <definedName name="pipe7" localSheetId="0">#REF!</definedName>
    <definedName name="pipe7">#REF!</definedName>
    <definedName name="plant_id_001" localSheetId="0">#REF!</definedName>
    <definedName name="plant_id_001">#REF!</definedName>
    <definedName name="PLANT_JE_GWAN_GONG">#REF!</definedName>
    <definedName name="PO" localSheetId="0">[34]data_mci!$L$8:$L$126</definedName>
    <definedName name="PO">[35]data_mci!$L$8:$L$126</definedName>
    <definedName name="POARTM0TB0TB0TB0TB4.8TB55TB175R" localSheetId="0">[33]영업소실적!#REF!</definedName>
    <definedName name="POARTM0TB0TB0TB0TB4.8TB55TB175R">[73]영업소실적!#REF!</definedName>
    <definedName name="POARTM0TB0TB0TB0TB4.8TB55TB200R">#REF!</definedName>
    <definedName name="POARTSQKS15C5LRTRT" localSheetId="0">#REF!</definedName>
    <definedName name="POARTSQKS15C5LRTRT">#REF!</definedName>
    <definedName name="power_distribution_board_001" localSheetId="0">#REF!</definedName>
    <definedName name="power_distribution_board_001">#REF!</definedName>
    <definedName name="power_factor_full_load_001" localSheetId="0">#REF!</definedName>
    <definedName name="power_factor_full_load_001">#REF!</definedName>
    <definedName name="power_supply_type_flag_001" localSheetId="0">#REF!</definedName>
    <definedName name="power_supply_type_flag_001">#REF!</definedName>
    <definedName name="PPP" localSheetId="0">[74]PRO_DCI!#REF!,[74]PRO_DCI!#REF!,[74]PRO_DCI!#REF!,[74]PRO_DCI!#REF!,[74]PRO_DCI!#REF!</definedName>
    <definedName name="PPP">[15]PRO_DCI!#REF!,[15]PRO_DCI!#REF!,[15]PRO_DCI!#REF!,[15]PRO_DCI!#REF!,[15]PRO_DCI!#REF!</definedName>
    <definedName name="PRDump" localSheetId="0">#REF!</definedName>
    <definedName name="PRDump">#REF!</definedName>
    <definedName name="PreviousData" localSheetId="0">#REF!</definedName>
    <definedName name="PreviousData">#REF!</definedName>
    <definedName name="_xlnm.Print_Area" localSheetId="0">Cover!$A$1:$S$27</definedName>
    <definedName name="PRINT_AREA_MI" localSheetId="0">#REF!</definedName>
    <definedName name="PRINT_AREA_MI">#REF!</definedName>
    <definedName name="PRINT_TITLES_MI">#REF!</definedName>
    <definedName name="printe" localSheetId="0">#REF!</definedName>
    <definedName name="printe">#REF!</definedName>
    <definedName name="PRN_CODE" localSheetId="0">'[75]IT-BAT'!#REF!</definedName>
    <definedName name="PRN_CODE">'[76]IT-BAT'!#REF!</definedName>
    <definedName name="PRO1_MCI" localSheetId="0">#REF!</definedName>
    <definedName name="PRO1_MCI">#REF!</definedName>
    <definedName name="PRO2_MCI" localSheetId="0">#REF!</definedName>
    <definedName name="PRO2_MCI">#REF!</definedName>
    <definedName name="PRO3_MCI" localSheetId="0">#REF!</definedName>
    <definedName name="PRO3_MCI">#REF!</definedName>
    <definedName name="PRO4_MCI" localSheetId="0">#REF!</definedName>
    <definedName name="PRO4_MCI">#REF!</definedName>
    <definedName name="PRO5_MCI" localSheetId="0">#REF!</definedName>
    <definedName name="PRO5_MCI">#REF!</definedName>
    <definedName name="PRO6_MCI" localSheetId="0">#REF!</definedName>
    <definedName name="PRO6_MCI">#REF!</definedName>
    <definedName name="pro7_mci" localSheetId="0">#REF!</definedName>
    <definedName name="pro7_mci">#REF!</definedName>
    <definedName name="proc_func_id_001" localSheetId="0">#REF!</definedName>
    <definedName name="proc_func_id_001">#REF!</definedName>
    <definedName name="PROJ" localSheetId="0">#REF!</definedName>
    <definedName name="PROJ">#REF!</definedName>
    <definedName name="proj_id_001" localSheetId="0">#REF!</definedName>
    <definedName name="proj_id_001">#REF!</definedName>
    <definedName name="PROJECT">#N/A</definedName>
    <definedName name="Project_Name">#REF!</definedName>
    <definedName name="PROJECT_NUMBER">[24]Orbit!#REF!</definedName>
    <definedName name="Prop_Matl">#REF!</definedName>
    <definedName name="Prop_Matl_Rate">#REF!</definedName>
    <definedName name="Prop_MD">#REF!</definedName>
    <definedName name="Prop_MD_Rate">#REF!</definedName>
    <definedName name="Prop_Total_Matl">#REF!</definedName>
    <definedName name="Prop_Total_MD">#REF!</definedName>
    <definedName name="PS" localSheetId="0">[34]data_mci!$K$8:$K$126</definedName>
    <definedName name="PS">[35]data_mci!$K$8:$K$126</definedName>
    <definedName name="Psheet">#REF!</definedName>
    <definedName name="PSR" localSheetId="0">#REF!</definedName>
    <definedName name="PSR">#REF!</definedName>
    <definedName name="pump" localSheetId="0">BlankMacro1</definedName>
    <definedName name="pump">BlankMacro1</definedName>
    <definedName name="q" localSheetId="0" hidden="1">{#N/A,#N/A,TRUE,"Basic";#N/A,#N/A,TRUE,"EXT-TABLE";#N/A,#N/A,TRUE,"STEEL";#N/A,#N/A,TRUE,"INT-Table";#N/A,#N/A,TRUE,"STEEL";#N/A,#N/A,TRUE,"Door"}</definedName>
    <definedName name="q" hidden="1">{#N/A,#N/A,TRUE,"Basic";#N/A,#N/A,TRUE,"EXT-TABLE";#N/A,#N/A,TRUE,"STEEL";#N/A,#N/A,TRUE,"INT-Table";#N/A,#N/A,TRUE,"STEEL";#N/A,#N/A,TRUE,"Door"}</definedName>
    <definedName name="QMM">#REF!</definedName>
    <definedName name="QMR">#REF!</definedName>
    <definedName name="QMS">#REF!</definedName>
    <definedName name="qqq" localSheetId="0" hidden="1">{#N/A,#N/A,TRUE,"Basic";#N/A,#N/A,TRUE,"EXT-TABLE";#N/A,#N/A,TRUE,"STEEL";#N/A,#N/A,TRUE,"INT-Table";#N/A,#N/A,TRUE,"STEEL";#N/A,#N/A,TRUE,"Door"}</definedName>
    <definedName name="QQQ">BlankMacro1</definedName>
    <definedName name="QQQQ" localSheetId="0" hidden="1">{#N/A,#N/A,TRUE,"Basic";#N/A,#N/A,TRUE,"EXT-TABLE";#N/A,#N/A,TRUE,"STEEL";#N/A,#N/A,TRUE,"INT-Table";#N/A,#N/A,TRUE,"STEEL";#N/A,#N/A,TRUE,"Door"}</definedName>
    <definedName name="QQQQ" hidden="1">{#N/A,#N/A,TRUE,"Basic";#N/A,#N/A,TRUE,"EXT-TABLE";#N/A,#N/A,TRUE,"STEEL";#N/A,#N/A,TRUE,"INT-Table";#N/A,#N/A,TRUE,"STEEL";#N/A,#N/A,TRUE,"Door"}</definedName>
    <definedName name="qqqqq" localSheetId="0" hidden="1">{#N/A,#N/A,TRUE,"Basic";#N/A,#N/A,TRUE,"EXT-TABLE";#N/A,#N/A,TRUE,"STEEL";#N/A,#N/A,TRUE,"INT-Table";#N/A,#N/A,TRUE,"STEEL";#N/A,#N/A,TRUE,"Door"}</definedName>
    <definedName name="qqqqq" hidden="1">{#N/A,#N/A,TRUE,"Basic";#N/A,#N/A,TRUE,"EXT-TABLE";#N/A,#N/A,TRUE,"STEEL";#N/A,#N/A,TRUE,"INT-Table";#N/A,#N/A,TRUE,"STEEL";#N/A,#N/A,TRUE,"Door"}</definedName>
    <definedName name="qryFGPtoc24aug05_2149">#REF!</definedName>
    <definedName name="QTN" localSheetId="0">[34]data_mci!$I$8:$I$126</definedName>
    <definedName name="QTN">[35]data_mci!$I$8:$I$126</definedName>
    <definedName name="Qty">#REF!</definedName>
    <definedName name="Qty_1">#REF!</definedName>
    <definedName name="Qty_Temp">#REF!</definedName>
    <definedName name="Query1">#REF!</definedName>
    <definedName name="qw" localSheetId="0" hidden="1">{#N/A,#N/A,TRUE,"Basic";#N/A,#N/A,TRUE,"EXT-TABLE";#N/A,#N/A,TRUE,"STEEL";#N/A,#N/A,TRUE,"INT-Table";#N/A,#N/A,TRUE,"STEEL";#N/A,#N/A,TRUE,"Door"}</definedName>
    <definedName name="qw" hidden="1">{#N/A,#N/A,TRUE,"Basic";#N/A,#N/A,TRUE,"EXT-TABLE";#N/A,#N/A,TRUE,"STEEL";#N/A,#N/A,TRUE,"INT-Table";#N/A,#N/A,TRUE,"STEEL";#N/A,#N/A,TRUE,"Door"}</definedName>
    <definedName name="R_">#REF!</definedName>
    <definedName name="R_I_Q_A_S">#N/A</definedName>
    <definedName name="RASCO__3">#N/A</definedName>
    <definedName name="RASCO__A">#N/A</definedName>
    <definedName name="RATE">#REF!</definedName>
    <definedName name="Rate_MD">[62]Proposal!#REF!</definedName>
    <definedName name="rated" localSheetId="0">[61]PumpSpec!$X$2:$Y$26</definedName>
    <definedName name="rated">[56]PumpSpec!$X$2:$Y$26</definedName>
    <definedName name="rated_active_load_001" localSheetId="0">#REF!</definedName>
    <definedName name="rated_active_load_001">#REF!</definedName>
    <definedName name="rated_apparent_load_001" localSheetId="0">#REF!</definedName>
    <definedName name="rated_apparent_load_001">#REF!</definedName>
    <definedName name="rated_reactive_load_001" localSheetId="0">#REF!</definedName>
    <definedName name="rated_reactive_load_001">#REF!</definedName>
    <definedName name="rated_voltage_id_001" localSheetId="0">#REF!</definedName>
    <definedName name="rated_voltage_id_001">#REF!</definedName>
    <definedName name="Rating" localSheetId="0">[61]PumpSpec!$U$2:$V$5</definedName>
    <definedName name="Rating">[56]PumpSpec!$U$2:$V$5</definedName>
    <definedName name="RawAgencyPrice" localSheetId="0">#REF!</definedName>
    <definedName name="RawAgencyPrice">#REF!</definedName>
    <definedName name="RBData" localSheetId="0">#REF!</definedName>
    <definedName name="RBData">#REF!</definedName>
    <definedName name="RCROOF" localSheetId="0">#REF!</definedName>
    <definedName name="RCROOF">#REF!</definedName>
    <definedName name="re_bar" localSheetId="0">#REF!</definedName>
    <definedName name="re_bar">#REF!</definedName>
    <definedName name="reac11" localSheetId="0">#REF!</definedName>
    <definedName name="reac11">#REF!</definedName>
    <definedName name="reac12" localSheetId="0">#REF!</definedName>
    <definedName name="reac12">#REF!</definedName>
    <definedName name="ReadCaseButton">"Button 19"</definedName>
    <definedName name="ReadItemButton">"Button 18"</definedName>
    <definedName name="ReadSelectByButton">"Button 16"</definedName>
    <definedName name="ReadStatusButton">"Button 17"</definedName>
    <definedName name="ReadWgButton">"Button 15"</definedName>
    <definedName name="RECEIVE" localSheetId="0">#REF!</definedName>
    <definedName name="RECEIVE">#REF!</definedName>
    <definedName name="RECEIVE_V" localSheetId="0">[34]data_mci!$N$8:$N$126</definedName>
    <definedName name="RECEIVE_V">[35]data_mci!$N$8:$N$126</definedName>
    <definedName name="_xlnm.Recorder">#REF!</definedName>
    <definedName name="related_voltage_id_001" localSheetId="0">#REF!</definedName>
    <definedName name="related_voltage_id_001">#REF!</definedName>
    <definedName name="REMK">#N/A</definedName>
    <definedName name="RemoveDuplicates">#REF!</definedName>
    <definedName name="RemoveLineFrmTo">#REF!</definedName>
    <definedName name="Rental">#REF!</definedName>
    <definedName name="req_no_001" localSheetId="0">#REF!</definedName>
    <definedName name="req_no_001">#REF!</definedName>
    <definedName name="requi">#REF!</definedName>
    <definedName name="requires_power_supply_001" localSheetId="0">#REF!</definedName>
    <definedName name="requires_power_supply_001">#REF!</definedName>
    <definedName name="Reselects" localSheetId="0">#REF!</definedName>
    <definedName name="Reselects">#REF!</definedName>
    <definedName name="Rev" localSheetId="0">#REF!</definedName>
    <definedName name="Rev">#REF!</definedName>
    <definedName name="rev_id_001" localSheetId="0">#REF!</definedName>
    <definedName name="rev_id_001">#REF!</definedName>
    <definedName name="RevBy" localSheetId="0">#REF!</definedName>
    <definedName name="RevBy">#REF!</definedName>
    <definedName name="RevDate" localSheetId="0">#REF!</definedName>
    <definedName name="RevDate">#REF!</definedName>
    <definedName name="REVISION">#REF!</definedName>
    <definedName name="RevList" localSheetId="0">#REF!</definedName>
    <definedName name="RevList">#REF!</definedName>
    <definedName name="RevListBy" localSheetId="0">#REF!</definedName>
    <definedName name="RevListBy">#REF!</definedName>
    <definedName name="RevListDate" localSheetId="0">#REF!</definedName>
    <definedName name="RevListDate">#REF!</definedName>
    <definedName name="RevListNo" localSheetId="0">#REF!</definedName>
    <definedName name="RevListNo">#REF!</definedName>
    <definedName name="RevListStatus" localSheetId="0">#REF!</definedName>
    <definedName name="RevListStatus">#REF!</definedName>
    <definedName name="RevTable">#REF!</definedName>
    <definedName name="REWWQ">#REF!</definedName>
    <definedName name="RFA">#REF!</definedName>
    <definedName name="RFB">#REF!</definedName>
    <definedName name="RFC">#REF!</definedName>
    <definedName name="RFE">#REF!</definedName>
    <definedName name="RFF">#REF!</definedName>
    <definedName name="RFG">#REF!</definedName>
    <definedName name="RFQ" localSheetId="0">[34]data_mci!$H$8:$H$126</definedName>
    <definedName name="RFQ">[35]data_mci!$H$8:$H$126</definedName>
    <definedName name="rhhh">#REF!</definedName>
    <definedName name="Risk_Class">[13]Cover!$N$6:$O$14</definedName>
    <definedName name="rout_t" localSheetId="0">#REF!</definedName>
    <definedName name="rout_t">#REF!</definedName>
    <definedName name="rr" localSheetId="0" hidden="1">{#N/A,#N/A,TRUE,"Basic";#N/A,#N/A,TRUE,"EXT-TABLE";#N/A,#N/A,TRUE,"STEEL";#N/A,#N/A,TRUE,"INT-Table";#N/A,#N/A,TRUE,"STEEL";#N/A,#N/A,TRUE,"Door"}</definedName>
    <definedName name="rr" hidden="1">{#N/A,#N/A,TRUE,"Basic";#N/A,#N/A,TRUE,"EXT-TABLE";#N/A,#N/A,TRUE,"STEEL";#N/A,#N/A,TRUE,"INT-Table";#N/A,#N/A,TRUE,"STEEL";#N/A,#N/A,TRUE,"Door"}</definedName>
    <definedName name="S" localSheetId="0">#REF!</definedName>
    <definedName name="S">#REF!</definedName>
    <definedName name="S_M_D_S">#N/A</definedName>
    <definedName name="S41M" localSheetId="0">#REF!</definedName>
    <definedName name="S41M">#REF!</definedName>
    <definedName name="S41Y" localSheetId="0">#REF!</definedName>
    <definedName name="S41Y">#REF!</definedName>
    <definedName name="S43M" localSheetId="0">#REF!</definedName>
    <definedName name="S43M">#REF!</definedName>
    <definedName name="S43Y" localSheetId="0">#REF!</definedName>
    <definedName name="S43Y">#REF!</definedName>
    <definedName name="sa">#REF!</definedName>
    <definedName name="SALESPLAN" localSheetId="0">#REF!</definedName>
    <definedName name="SALESPLAN">#REF!</definedName>
    <definedName name="SAM" localSheetId="0" hidden="1">{#N/A,#N/A,TRUE,"Basic";#N/A,#N/A,TRUE,"EXT-TABLE";#N/A,#N/A,TRUE,"STEEL";#N/A,#N/A,TRUE,"INT-Table";#N/A,#N/A,TRUE,"STEEL";#N/A,#N/A,TRUE,"Door"}</definedName>
    <definedName name="SAM" hidden="1">{#N/A,#N/A,TRUE,"Basic";#N/A,#N/A,TRUE,"EXT-TABLE";#N/A,#N/A,TRUE,"STEEL";#N/A,#N/A,TRUE,"INT-Table";#N/A,#N/A,TRUE,"STEEL";#N/A,#N/A,TRUE,"Door"}</definedName>
    <definedName name="SAPOC">[1]회사99!#REF!</definedName>
    <definedName name="scale" localSheetId="0">#REF!</definedName>
    <definedName name="scale">#REF!</definedName>
    <definedName name="SCOPE" localSheetId="0">[77]eq_data!$C$5:$C$54</definedName>
    <definedName name="SCOPE">[75]eq_data!$C$5:$C$54</definedName>
    <definedName name="sddd" localSheetId="0">BlankMacro1</definedName>
    <definedName name="sddd">BlankMacro1</definedName>
    <definedName name="SEQU">#N/A</definedName>
    <definedName name="SetWrapText">#REF!</definedName>
    <definedName name="SEXP">#N/A</definedName>
    <definedName name="SFA">#REF!</definedName>
    <definedName name="SFB">#REF!</definedName>
    <definedName name="SFC">#REF!</definedName>
    <definedName name="SG">#REF!</definedName>
    <definedName name="Sheet1Remark0" localSheetId="0">#REF!</definedName>
    <definedName name="Sheet1Remark0">#REF!</definedName>
    <definedName name="Sheet1Remark1" localSheetId="0">#REF!</definedName>
    <definedName name="Sheet1Remark1">#REF!</definedName>
    <definedName name="Sheet1Remark10" localSheetId="0">#REF!</definedName>
    <definedName name="Sheet1Remark10">#REF!</definedName>
    <definedName name="Sheet1Remark11" localSheetId="0">#REF!</definedName>
    <definedName name="Sheet1Remark11">#REF!</definedName>
    <definedName name="Sheet1Remark12" localSheetId="0">#REF!</definedName>
    <definedName name="Sheet1Remark12">#REF!</definedName>
    <definedName name="Sheet1Remark13" localSheetId="0">#REF!</definedName>
    <definedName name="Sheet1Remark13">#REF!</definedName>
    <definedName name="Sheet1Remark14" localSheetId="0">#REF!</definedName>
    <definedName name="Sheet1Remark14">#REF!</definedName>
    <definedName name="Sheet1Remark15" localSheetId="0">#REF!</definedName>
    <definedName name="Sheet1Remark15">#REF!</definedName>
    <definedName name="Sheet1Remark16" localSheetId="0">#REF!</definedName>
    <definedName name="Sheet1Remark16">#REF!</definedName>
    <definedName name="Sheet1Remark17" localSheetId="0">#REF!</definedName>
    <definedName name="Sheet1Remark17">#REF!</definedName>
    <definedName name="Sheet1Remark18" localSheetId="0">#REF!</definedName>
    <definedName name="Sheet1Remark18">#REF!</definedName>
    <definedName name="Sheet1Remark19" localSheetId="0">#REF!</definedName>
    <definedName name="Sheet1Remark19">#REF!</definedName>
    <definedName name="Sheet1Remark2" localSheetId="0">#REF!</definedName>
    <definedName name="Sheet1Remark2">#REF!</definedName>
    <definedName name="Sheet1Remark20" localSheetId="0">#REF!</definedName>
    <definedName name="Sheet1Remark20">#REF!</definedName>
    <definedName name="Sheet1Remark21" localSheetId="0">#REF!</definedName>
    <definedName name="Sheet1Remark21">#REF!</definedName>
    <definedName name="Sheet1Remark22" localSheetId="0">#REF!</definedName>
    <definedName name="Sheet1Remark22">#REF!</definedName>
    <definedName name="Sheet1Remark3" localSheetId="0">#REF!</definedName>
    <definedName name="Sheet1Remark3">#REF!</definedName>
    <definedName name="Sheet1Remark4" localSheetId="0">#REF!</definedName>
    <definedName name="Sheet1Remark4">#REF!</definedName>
    <definedName name="Sheet1Remark5" localSheetId="0">#REF!</definedName>
    <definedName name="Sheet1Remark5">#REF!</definedName>
    <definedName name="Sheet1Remark6" localSheetId="0">#REF!</definedName>
    <definedName name="Sheet1Remark6">#REF!</definedName>
    <definedName name="Sheet1Remark7" localSheetId="0">#REF!</definedName>
    <definedName name="Sheet1Remark7">#REF!</definedName>
    <definedName name="Sheet1Remark8" localSheetId="0">#REF!</definedName>
    <definedName name="Sheet1Remark8">#REF!</definedName>
    <definedName name="Sheet1Remark9" localSheetId="0">#REF!</definedName>
    <definedName name="Sheet1Remark9">#REF!</definedName>
    <definedName name="Sheet1Value10" localSheetId="0">#REF!</definedName>
    <definedName name="Sheet1Value10">#REF!</definedName>
    <definedName name="Sheet1Value11" localSheetId="0">#REF!</definedName>
    <definedName name="Sheet1Value11">#REF!</definedName>
    <definedName name="Sheet1Value12" localSheetId="0">#REF!</definedName>
    <definedName name="Sheet1Value12">#REF!</definedName>
    <definedName name="Sheet1Value13" localSheetId="0">#REF!</definedName>
    <definedName name="Sheet1Value13">#REF!</definedName>
    <definedName name="Sheet1Value14" localSheetId="0">#REF!</definedName>
    <definedName name="Sheet1Value14">#REF!</definedName>
    <definedName name="Sheet1Value15" localSheetId="0">#REF!</definedName>
    <definedName name="Sheet1Value15">#REF!</definedName>
    <definedName name="Sheet1Value16" localSheetId="0">#REF!</definedName>
    <definedName name="Sheet1Value16">#REF!</definedName>
    <definedName name="Sheet1Value17" localSheetId="0">#REF!</definedName>
    <definedName name="Sheet1Value17">#REF!</definedName>
    <definedName name="Sheet1Value18" localSheetId="0">#REF!</definedName>
    <definedName name="Sheet1Value18">#REF!</definedName>
    <definedName name="Sheet1Value19" localSheetId="0">#REF!</definedName>
    <definedName name="Sheet1Value19">#REF!</definedName>
    <definedName name="Sheet1Value20" localSheetId="0">#REF!</definedName>
    <definedName name="Sheet1Value20">#REF!</definedName>
    <definedName name="Sheet1Value21" localSheetId="0">#REF!</definedName>
    <definedName name="Sheet1Value21">#REF!</definedName>
    <definedName name="Sheet1Value22" localSheetId="0">#REF!</definedName>
    <definedName name="Sheet1Value22">#REF!</definedName>
    <definedName name="Sheet1Value23" localSheetId="0">#REF!</definedName>
    <definedName name="Sheet1Value23">#REF!</definedName>
    <definedName name="Sheet1Value24" localSheetId="0">#REF!</definedName>
    <definedName name="Sheet1Value24">#REF!</definedName>
    <definedName name="Sheet1Value25" localSheetId="0">#REF!</definedName>
    <definedName name="Sheet1Value25">#REF!</definedName>
    <definedName name="Sheet1Value26" localSheetId="0">#REF!</definedName>
    <definedName name="Sheet1Value26">#REF!</definedName>
    <definedName name="Sheet1Value27" localSheetId="0">#REF!</definedName>
    <definedName name="Sheet1Value27">#REF!</definedName>
    <definedName name="Sheet1Value28" localSheetId="0">#REF!</definedName>
    <definedName name="Sheet1Value28">#REF!</definedName>
    <definedName name="Sheet1Value29" localSheetId="0">#REF!</definedName>
    <definedName name="Sheet1Value29">#REF!</definedName>
    <definedName name="Sheet1Value30" localSheetId="0">#REF!</definedName>
    <definedName name="Sheet1Value30">#REF!</definedName>
    <definedName name="Sheet1Value31" localSheetId="0">#REF!</definedName>
    <definedName name="Sheet1Value31">#REF!</definedName>
    <definedName name="Sheet1Value32" localSheetId="0">#REF!</definedName>
    <definedName name="Sheet1Value32">#REF!</definedName>
    <definedName name="Sheet1Value33" localSheetId="0">#REF!</definedName>
    <definedName name="Sheet1Value33">#REF!</definedName>
    <definedName name="Sheet1Value34" localSheetId="0">#REF!</definedName>
    <definedName name="Sheet1Value34">#REF!</definedName>
    <definedName name="Sheet1Value35" localSheetId="0">#REF!</definedName>
    <definedName name="Sheet1Value35">#REF!</definedName>
    <definedName name="Sheet1Value36" localSheetId="0">#REF!</definedName>
    <definedName name="Sheet1Value36">#REF!</definedName>
    <definedName name="Sheet1Value37" localSheetId="0">#REF!</definedName>
    <definedName name="Sheet1Value37">#REF!</definedName>
    <definedName name="Sheet1Value38" localSheetId="0">#REF!</definedName>
    <definedName name="Sheet1Value38">#REF!</definedName>
    <definedName name="Sheet1Value39" localSheetId="0">#REF!</definedName>
    <definedName name="Sheet1Value39">#REF!</definedName>
    <definedName name="Sheet1Value40" localSheetId="0">#REF!</definedName>
    <definedName name="Sheet1Value40">#REF!</definedName>
    <definedName name="Sheet1Value41" localSheetId="0">#REF!</definedName>
    <definedName name="Sheet1Value41">#REF!</definedName>
    <definedName name="Sheet1Value42" localSheetId="0">#REF!</definedName>
    <definedName name="Sheet1Value42">#REF!</definedName>
    <definedName name="Sheet1Value43" localSheetId="0">#REF!</definedName>
    <definedName name="Sheet1Value43">#REF!</definedName>
    <definedName name="Sheet1Value44" localSheetId="0">#REF!</definedName>
    <definedName name="Sheet1Value44">#REF!</definedName>
    <definedName name="Sheet1Value45" localSheetId="0">#REF!</definedName>
    <definedName name="Sheet1Value45">#REF!</definedName>
    <definedName name="Sheet1Value46" localSheetId="0">#REF!</definedName>
    <definedName name="Sheet1Value46">#REF!</definedName>
    <definedName name="Sheet1Value47" localSheetId="0">#REF!</definedName>
    <definedName name="Sheet1Value47">#REF!</definedName>
    <definedName name="Sheet1Value48" localSheetId="0">#REF!</definedName>
    <definedName name="Sheet1Value48">#REF!</definedName>
    <definedName name="Sheet1Value49" localSheetId="0">#REF!</definedName>
    <definedName name="Sheet1Value49">#REF!</definedName>
    <definedName name="Sheet1Value50" localSheetId="0">#REF!</definedName>
    <definedName name="Sheet1Value50">#REF!</definedName>
    <definedName name="Sheet1Value51" localSheetId="0">#REF!</definedName>
    <definedName name="Sheet1Value51">#REF!</definedName>
    <definedName name="Sheet1Value52" localSheetId="0">#REF!</definedName>
    <definedName name="Sheet1Value52">#REF!</definedName>
    <definedName name="Sheet1Value53" localSheetId="0">#REF!</definedName>
    <definedName name="Sheet1Value53">#REF!</definedName>
    <definedName name="Sheet1Value54" localSheetId="0">#REF!</definedName>
    <definedName name="Sheet1Value54">#REF!</definedName>
    <definedName name="Sheet1Value55" localSheetId="0">#REF!</definedName>
    <definedName name="Sheet1Value55">#REF!</definedName>
    <definedName name="Sheet1Value56" localSheetId="0">#REF!</definedName>
    <definedName name="Sheet1Value56">#REF!</definedName>
    <definedName name="Sheet1Value57" localSheetId="0">#REF!</definedName>
    <definedName name="Sheet1Value57">#REF!</definedName>
    <definedName name="Sheet1Value58" localSheetId="0">#REF!</definedName>
    <definedName name="Sheet1Value58">#REF!</definedName>
    <definedName name="Sheet1Value59" localSheetId="0">#REF!</definedName>
    <definedName name="Sheet1Value59">#REF!</definedName>
    <definedName name="Sheet1Value60" localSheetId="0">#REF!</definedName>
    <definedName name="Sheet1Value60">#REF!</definedName>
    <definedName name="Sheet1Value61" localSheetId="0">#REF!</definedName>
    <definedName name="Sheet1Value61">#REF!</definedName>
    <definedName name="Sheet1Value62" localSheetId="0">#REF!</definedName>
    <definedName name="Sheet1Value62">#REF!</definedName>
    <definedName name="Sheet1Value9" localSheetId="0">#REF!</definedName>
    <definedName name="Sheet1Value9">#REF!</definedName>
    <definedName name="SHEET8" localSheetId="0">BlankMacro1</definedName>
    <definedName name="SHEET8">BlankMacro1</definedName>
    <definedName name="SHELTER" localSheetId="0" hidden="1">{#N/A,#N/A,TRUE,"Basic";#N/A,#N/A,TRUE,"EXT-TABLE";#N/A,#N/A,TRUE,"STEEL";#N/A,#N/A,TRUE,"INT-Table";#N/A,#N/A,TRUE,"STEEL";#N/A,#N/A,TRUE,"Door"}</definedName>
    <definedName name="SHELTER" hidden="1">{#N/A,#N/A,TRUE,"Basic";#N/A,#N/A,TRUE,"EXT-TABLE";#N/A,#N/A,TRUE,"STEEL";#N/A,#N/A,TRUE,"INT-Table";#N/A,#N/A,TRUE,"STEEL";#N/A,#N/A,TRUE,"Door"}</definedName>
    <definedName name="Shop_Erection" localSheetId="0">#REF!</definedName>
    <definedName name="Shop_Erection">#REF!</definedName>
    <definedName name="Shop_Internals" localSheetId="0">#REF!</definedName>
    <definedName name="Shop_Internals">#REF!</definedName>
    <definedName name="Shop_Platform" localSheetId="0">#REF!</definedName>
    <definedName name="Shop_Platform">#REF!</definedName>
    <definedName name="shpe" localSheetId="0">#REF!</definedName>
    <definedName name="shpe">#REF!</definedName>
    <definedName name="silo11" localSheetId="0">#REF!</definedName>
    <definedName name="silo11">#REF!</definedName>
    <definedName name="silo12" localSheetId="0">#REF!</definedName>
    <definedName name="silo12">#REF!</definedName>
    <definedName name="SITE">#REF!</definedName>
    <definedName name="site_id_001" localSheetId="0">#REF!</definedName>
    <definedName name="site_id_001">#REF!</definedName>
    <definedName name="SIZE">#N/A</definedName>
    <definedName name="SK">#REF!</definedName>
    <definedName name="SLAB">#N/A</definedName>
    <definedName name="slope" localSheetId="0">#REF!</definedName>
    <definedName name="slope">#REF!</definedName>
    <definedName name="SMAT">#N/A</definedName>
    <definedName name="SMHR">#N/A</definedName>
    <definedName name="SMLTOOLS">#REF!</definedName>
    <definedName name="sort">#REF!</definedName>
    <definedName name="sortedprvlist1">[78]SortedList!$B$2:$D$41</definedName>
    <definedName name="SortRows">#REF!</definedName>
    <definedName name="SOURCE" localSheetId="0">#REF!</definedName>
    <definedName name="SOURCE">#REF!</definedName>
    <definedName name="spec_cmpnt_func_001" localSheetId="0">#REF!</definedName>
    <definedName name="spec_cmpnt_func_001">#REF!</definedName>
    <definedName name="spec_cmpnt_mounting_001" localSheetId="0">#REF!</definedName>
    <definedName name="spec_cmpnt_mounting_001">#REF!</definedName>
    <definedName name="spec_cmpnt_po_item_no_001" localSheetId="0">#REF!</definedName>
    <definedName name="spec_cmpnt_po_item_no_001">#REF!</definedName>
    <definedName name="spec_cmpnt_po_no" localSheetId="0">#REF!</definedName>
    <definedName name="spec_cmpnt_po_no">#REF!</definedName>
    <definedName name="spec_cmpnt_po_no_001" localSheetId="0">#REF!</definedName>
    <definedName name="spec_cmpnt_po_no_001">#REF!</definedName>
    <definedName name="spec_cmpnt_power_supply_001" localSheetId="0">#REF!</definedName>
    <definedName name="spec_cmpnt_power_supply_001">#REF!</definedName>
    <definedName name="spec_cmpnt_price_001" localSheetId="0">#REF!</definedName>
    <definedName name="spec_cmpnt_price_001">#REF!</definedName>
    <definedName name="spec_cmpnt_sn" localSheetId="0">#REF!</definedName>
    <definedName name="spec_cmpnt_sn">#REF!</definedName>
    <definedName name="spec_cmpnt_sn_001" localSheetId="0">#REF!</definedName>
    <definedName name="spec_cmpnt_sn_001">#REF!</definedName>
    <definedName name="spec_cmpnt_type_001" localSheetId="0">#REF!</definedName>
    <definedName name="spec_cmpnt_type_001">#REF!</definedName>
    <definedName name="spec_enclosure_class_001" localSheetId="0">#REF!</definedName>
    <definedName name="spec_enclosure_class_001">#REF!</definedName>
    <definedName name="spec_id_001" localSheetId="0">#REF!</definedName>
    <definedName name="spec_id_001">#REF!</definedName>
    <definedName name="spec_note" localSheetId="0">#REF!</definedName>
    <definedName name="spec_note">#REF!</definedName>
    <definedName name="spec_note_001" localSheetId="0">#REF!</definedName>
    <definedName name="spec_note_001">#REF!</definedName>
    <definedName name="spec_sheet_of" localSheetId="0">#REF!</definedName>
    <definedName name="spec_sheet_of">#REF!</definedName>
    <definedName name="spec_sheet_of_001" localSheetId="0">#REF!</definedName>
    <definedName name="spec_sheet_of_001">#REF!</definedName>
    <definedName name="spec_sheets" localSheetId="0">#REF!</definedName>
    <definedName name="spec_sheets">#REF!</definedName>
    <definedName name="spec_sheets_001" localSheetId="0">#REF!</definedName>
    <definedName name="spec_sheets_001">#REF!</definedName>
    <definedName name="spec_type_flg_001" localSheetId="0">#REF!</definedName>
    <definedName name="spec_type_flg_001">#REF!</definedName>
    <definedName name="spec_udf_c01" localSheetId="0">#REF!</definedName>
    <definedName name="spec_udf_c01">#REF!</definedName>
    <definedName name="spec_udf_c01_001" localSheetId="0">#REF!</definedName>
    <definedName name="spec_udf_c01_001">#REF!</definedName>
    <definedName name="spec_udf_c04_001" localSheetId="0">#REF!</definedName>
    <definedName name="spec_udf_c04_001">#REF!</definedName>
    <definedName name="spec_udf_c05_001" localSheetId="0">#REF!</definedName>
    <definedName name="spec_udf_c05_001">#REF!</definedName>
    <definedName name="spec_udf_c06" localSheetId="0">#REF!</definedName>
    <definedName name="spec_udf_c06">#REF!</definedName>
    <definedName name="spec_udf_c06_001" localSheetId="0">#REF!</definedName>
    <definedName name="spec_udf_c06_001">#REF!</definedName>
    <definedName name="spec_udf_c07_001" localSheetId="0">#REF!</definedName>
    <definedName name="spec_udf_c07_001">#REF!</definedName>
    <definedName name="spec_udf_c13_001" localSheetId="0">#REF!</definedName>
    <definedName name="spec_udf_c13_001">#REF!</definedName>
    <definedName name="spec_udf_c14" localSheetId="0">#REF!</definedName>
    <definedName name="spec_udf_c14">#REF!</definedName>
    <definedName name="spec_udf_c14_001" localSheetId="0">#REF!</definedName>
    <definedName name="spec_udf_c14_001">#REF!</definedName>
    <definedName name="spec_udf_c16" localSheetId="0">#REF!</definedName>
    <definedName name="spec_udf_c16">#REF!</definedName>
    <definedName name="spec_udf_c16_001" localSheetId="0">#REF!</definedName>
    <definedName name="spec_udf_c16_001">#REF!</definedName>
    <definedName name="spec_udf_c17" localSheetId="0">#REF!</definedName>
    <definedName name="spec_udf_c17">#REF!</definedName>
    <definedName name="spec_udf_c17_001" localSheetId="0">#REF!</definedName>
    <definedName name="spec_udf_c17_001">#REF!</definedName>
    <definedName name="spec_udf_c19" localSheetId="0">#REF!</definedName>
    <definedName name="spec_udf_c19">#REF!</definedName>
    <definedName name="spec_udf_c19_001" localSheetId="0">#REF!</definedName>
    <definedName name="spec_udf_c19_001">#REF!</definedName>
    <definedName name="spec_udf_c20" localSheetId="0">#REF!</definedName>
    <definedName name="spec_udf_c20">#REF!</definedName>
    <definedName name="spec_udf_c20_001" localSheetId="0">#REF!</definedName>
    <definedName name="spec_udf_c20_001">#REF!</definedName>
    <definedName name="spec_udf_c21" localSheetId="0">#REF!</definedName>
    <definedName name="spec_udf_c21">#REF!</definedName>
    <definedName name="spec_udf_c21_001" localSheetId="0">#REF!</definedName>
    <definedName name="spec_udf_c21_001">#REF!</definedName>
    <definedName name="spec_udf_c24" localSheetId="0">#REF!</definedName>
    <definedName name="spec_udf_c24">#REF!</definedName>
    <definedName name="spec_udf_c24_001" localSheetId="0">#REF!</definedName>
    <definedName name="spec_udf_c24_001">#REF!</definedName>
    <definedName name="spec_udf_c25" localSheetId="0">#REF!</definedName>
    <definedName name="spec_udf_c25">#REF!</definedName>
    <definedName name="spec_udf_c25_001" localSheetId="0">#REF!</definedName>
    <definedName name="spec_udf_c25_001">#REF!</definedName>
    <definedName name="spec_udf_c26" localSheetId="0">#REF!</definedName>
    <definedName name="spec_udf_c26">#REF!</definedName>
    <definedName name="spec_udf_c26_001" localSheetId="0">#REF!</definedName>
    <definedName name="spec_udf_c26_001">#REF!</definedName>
    <definedName name="spec_udf_c27_001" localSheetId="0">#REF!</definedName>
    <definedName name="spec_udf_c27_001">#REF!</definedName>
    <definedName name="spec_udf_c28" localSheetId="0">#REF!</definedName>
    <definedName name="spec_udf_c28">#REF!</definedName>
    <definedName name="spec_udf_c28_001" localSheetId="0">#REF!</definedName>
    <definedName name="spec_udf_c28_001">#REF!</definedName>
    <definedName name="spec_udf_c29" localSheetId="0">#REF!</definedName>
    <definedName name="spec_udf_c29">#REF!</definedName>
    <definedName name="spec_udf_c29_001" localSheetId="0">#REF!</definedName>
    <definedName name="spec_udf_c29_001">#REF!</definedName>
    <definedName name="spec_udf_c30" localSheetId="0">#REF!</definedName>
    <definedName name="spec_udf_c30">#REF!</definedName>
    <definedName name="spec_udf_c30_001" localSheetId="0">#REF!</definedName>
    <definedName name="spec_udf_c30_001">#REF!</definedName>
    <definedName name="spec_udf_c31" localSheetId="0">#REF!</definedName>
    <definedName name="spec_udf_c31">#REF!</definedName>
    <definedName name="spec_udf_c31_001" localSheetId="0">#REF!</definedName>
    <definedName name="spec_udf_c31_001">#REF!</definedName>
    <definedName name="spec_udf_c32" localSheetId="0">#REF!</definedName>
    <definedName name="spec_udf_c32">#REF!</definedName>
    <definedName name="spec_udf_c32_001" localSheetId="0">#REF!</definedName>
    <definedName name="spec_udf_c32_001">#REF!</definedName>
    <definedName name="spec_udf_c33" localSheetId="0">#REF!</definedName>
    <definedName name="spec_udf_c33">#REF!</definedName>
    <definedName name="spec_udf_c33_001" localSheetId="0">#REF!</definedName>
    <definedName name="spec_udf_c33_001">#REF!</definedName>
    <definedName name="spec_udf_c34" localSheetId="0">#REF!</definedName>
    <definedName name="spec_udf_c34">#REF!</definedName>
    <definedName name="spec_udf_c34_001" localSheetId="0">#REF!</definedName>
    <definedName name="spec_udf_c34_001">#REF!</definedName>
    <definedName name="spec_udf_c37" localSheetId="0">#REF!</definedName>
    <definedName name="spec_udf_c37">#REF!</definedName>
    <definedName name="spec_udf_c37_001" localSheetId="0">#REF!</definedName>
    <definedName name="spec_udf_c37_001">#REF!</definedName>
    <definedName name="spec_udf_c38" localSheetId="0">#REF!</definedName>
    <definedName name="spec_udf_c38">#REF!</definedName>
    <definedName name="spec_udf_c38_001" localSheetId="0">#REF!</definedName>
    <definedName name="spec_udf_c38_001">#REF!</definedName>
    <definedName name="spec_udf_c40" localSheetId="0">#REF!</definedName>
    <definedName name="spec_udf_c40">#REF!</definedName>
    <definedName name="spec_udf_c40_001" localSheetId="0">#REF!</definedName>
    <definedName name="spec_udf_c40_001">#REF!</definedName>
    <definedName name="spec_udf_c41" localSheetId="0">#REF!</definedName>
    <definedName name="spec_udf_c41">#REF!</definedName>
    <definedName name="spec_udf_c41_001" localSheetId="0">#REF!</definedName>
    <definedName name="spec_udf_c41_001">#REF!</definedName>
    <definedName name="spec_udf_c43" localSheetId="0">#REF!</definedName>
    <definedName name="spec_udf_c43">#REF!</definedName>
    <definedName name="spec_udf_c43_001" localSheetId="0">#REF!</definedName>
    <definedName name="spec_udf_c43_001">#REF!</definedName>
    <definedName name="spec_udf_c44" localSheetId="0">#REF!</definedName>
    <definedName name="spec_udf_c44">#REF!</definedName>
    <definedName name="spec_udf_c44_001" localSheetId="0">#REF!</definedName>
    <definedName name="spec_udf_c44_001">#REF!</definedName>
    <definedName name="spec_udf_c45" localSheetId="0">#REF!</definedName>
    <definedName name="spec_udf_c45">#REF!</definedName>
    <definedName name="spec_udf_c45_001" localSheetId="0">#REF!</definedName>
    <definedName name="spec_udf_c45_001">#REF!</definedName>
    <definedName name="spec_udf_c49" localSheetId="0">#REF!</definedName>
    <definedName name="spec_udf_c49">#REF!</definedName>
    <definedName name="spec_udf_c49_001" localSheetId="0">#REF!</definedName>
    <definedName name="spec_udf_c49_001">#REF!</definedName>
    <definedName name="spec_udf_c50" localSheetId="0">#REF!</definedName>
    <definedName name="spec_udf_c50">#REF!</definedName>
    <definedName name="spec_udf_c50_001" localSheetId="0">#REF!</definedName>
    <definedName name="spec_udf_c50_001">#REF!</definedName>
    <definedName name="spec_udf_c51" localSheetId="0">#REF!</definedName>
    <definedName name="spec_udf_c51">#REF!</definedName>
    <definedName name="spec_udf_c51_001" localSheetId="0">#REF!</definedName>
    <definedName name="spec_udf_c51_001">#REF!</definedName>
    <definedName name="spec_udf_c52" localSheetId="0">#REF!</definedName>
    <definedName name="spec_udf_c52">#REF!</definedName>
    <definedName name="spec_udf_c52_001" localSheetId="0">#REF!</definedName>
    <definedName name="spec_udf_c52_001">#REF!</definedName>
    <definedName name="spec_udf_c55" localSheetId="0">#REF!</definedName>
    <definedName name="spec_udf_c55">#REF!</definedName>
    <definedName name="spec_udf_c55_001" localSheetId="0">#REF!</definedName>
    <definedName name="spec_udf_c55_001">#REF!</definedName>
    <definedName name="spec_udf_c56" localSheetId="0">#REF!</definedName>
    <definedName name="spec_udf_c56">#REF!</definedName>
    <definedName name="spec_udf_c56_001" localSheetId="0">#REF!</definedName>
    <definedName name="spec_udf_c56_001">#REF!</definedName>
    <definedName name="spec_udf_c57" localSheetId="0">#REF!</definedName>
    <definedName name="spec_udf_c57">#REF!</definedName>
    <definedName name="spec_udf_c57_001" localSheetId="0">#REF!</definedName>
    <definedName name="spec_udf_c57_001">#REF!</definedName>
    <definedName name="spec_udf_c58" localSheetId="0">#REF!</definedName>
    <definedName name="spec_udf_c58">#REF!</definedName>
    <definedName name="spec_udf_c58_001" localSheetId="0">#REF!</definedName>
    <definedName name="spec_udf_c58_001">#REF!</definedName>
    <definedName name="spec_udf_c59" localSheetId="0">#REF!</definedName>
    <definedName name="spec_udf_c59">#REF!</definedName>
    <definedName name="spec_udf_c59_001" localSheetId="0">#REF!</definedName>
    <definedName name="spec_udf_c59_001">#REF!</definedName>
    <definedName name="spec_udf_c60" localSheetId="0">#REF!</definedName>
    <definedName name="spec_udf_c60">#REF!</definedName>
    <definedName name="spec_udf_c60_001" localSheetId="0">#REF!</definedName>
    <definedName name="spec_udf_c60_001">#REF!</definedName>
    <definedName name="spec_udf_c90" localSheetId="0">#REF!</definedName>
    <definedName name="spec_udf_c90">#REF!</definedName>
    <definedName name="spec_udf_c90_001" localSheetId="0">#REF!</definedName>
    <definedName name="spec_udf_c90_001">#REF!</definedName>
    <definedName name="Sprep_E4TK187">'[79]SPrep_E4TK(R187)'!$C$8:$M$112</definedName>
    <definedName name="squad" localSheetId="0">[34]data_dci!$H$8:$H$746</definedName>
    <definedName name="squad">[35]data_dci!$H$8:$H$746</definedName>
    <definedName name="SR" localSheetId="0" hidden="1">#REF!</definedName>
    <definedName name="SR" hidden="1">#REF!</definedName>
    <definedName name="SS" localSheetId="0">BlankMacro1</definedName>
    <definedName name="SS">BlankMacro1</definedName>
    <definedName name="ssd" localSheetId="0">Cover!ClearSheet</definedName>
    <definedName name="ssd">[0]!ClearSheet</definedName>
    <definedName name="sss" localSheetId="0" hidden="1">{#N/A,#N/A,TRUE,"Basic";#N/A,#N/A,TRUE,"EXT-TABLE";#N/A,#N/A,TRUE,"STEEL";#N/A,#N/A,TRUE,"INT-Table";#N/A,#N/A,TRUE,"STEEL";#N/A,#N/A,TRUE,"Door"}</definedName>
    <definedName name="sss">#REF!</definedName>
    <definedName name="ssss" localSheetId="0" hidden="1">{#N/A,#N/A,TRUE,"Basic";#N/A,#N/A,TRUE,"EXT-TABLE";#N/A,#N/A,TRUE,"STEEL";#N/A,#N/A,TRUE,"INT-Table";#N/A,#N/A,TRUE,"STEEL";#N/A,#N/A,TRUE,"Door"}</definedName>
    <definedName name="ssss" hidden="1">{#N/A,#N/A,TRUE,"Basic";#N/A,#N/A,TRUE,"EXT-TABLE";#N/A,#N/A,TRUE,"STEEL";#N/A,#N/A,TRUE,"INT-Table";#N/A,#N/A,TRUE,"STEEL";#N/A,#N/A,TRUE,"Door"}</definedName>
    <definedName name="start" localSheetId="0">[34]data_dci!$G$8:$G$746</definedName>
    <definedName name="start">[35]data_dci!$G$8:$G$746</definedName>
    <definedName name="StartCell">#REF!</definedName>
    <definedName name="starting_current_001" localSheetId="0">#REF!</definedName>
    <definedName name="starting_current_001">#REF!</definedName>
    <definedName name="STAS_Design_Capacity">#REF!</definedName>
    <definedName name="STAS_Weight_Empty">#REF!</definedName>
    <definedName name="STAS_Weight_Operating">#REF!</definedName>
    <definedName name="stmx11" localSheetId="0">#REF!</definedName>
    <definedName name="stmx11">#REF!</definedName>
    <definedName name="strip_id_001" localSheetId="0">#REF!</definedName>
    <definedName name="strip_id_001">#REF!</definedName>
    <definedName name="Subject_2_Electrical">#REF!</definedName>
    <definedName name="Subject_3_Electrical">#REF!</definedName>
    <definedName name="Subject_5_Electrical">#REF!</definedName>
    <definedName name="sum" localSheetId="0">{#N/A,#N/A,TRUE,"Basic";#N/A,#N/A,TRUE,"EXT-TABLE";#N/A,#N/A,TRUE,"STEEL";#N/A,#N/A,TRUE,"INT-Table";#N/A,#N/A,TRUE,"STEEL";#N/A,#N/A,TRUE,"Door"}</definedName>
    <definedName name="sum">{#N/A,#N/A,TRUE,"Basic";#N/A,#N/A,TRUE,"EXT-TABLE";#N/A,#N/A,TRUE,"STEEL";#N/A,#N/A,TRUE,"INT-Table";#N/A,#N/A,TRUE,"STEEL";#N/A,#N/A,TRUE,"Door"}</definedName>
    <definedName name="summary" localSheetId="0">#REF!</definedName>
    <definedName name="summary">#REF!</definedName>
    <definedName name="SUMPREVIEWS" localSheetId="0">'[80]INPUT DATA'!$AM$8,'[80]INPUT DATA'!$AI$8,'[80]INPUT DATA'!$AI$8,'[80]INPUT DATA'!$AJ$8,'[80]INPUT DATA'!$AJ$8,'[80]INPUT DATA'!$AK$8,'[80]INPUT DATA'!$AK$8,'[80]INPUT DATA'!$AL$8,'[80]INPUT DATA'!$AL$8</definedName>
    <definedName name="SUMPREVIEWS">'[81]INPUT DATA'!$AM$8,'[81]INPUT DATA'!$AI$8,'[81]INPUT DATA'!$AI$8,'[81]INPUT DATA'!$AJ$8,'[81]INPUT DATA'!$AJ$8,'[81]INPUT DATA'!$AK$8,'[81]INPUT DATA'!$AK$8,'[81]INPUT DATA'!$AL$8,'[81]INPUT DATA'!$AL$8</definedName>
    <definedName name="Sup_MATL_Rate">#REF!</definedName>
    <definedName name="Sup_MD_Rate">#REF!</definedName>
    <definedName name="Sup_Total_WT">[67]BQ!#REF!</definedName>
    <definedName name="Sup_WT">[67]BQ!#REF!</definedName>
    <definedName name="SWBR_5021A">#REF!</definedName>
    <definedName name="T">[82]경제지표!$A$3:$D$52</definedName>
    <definedName name="T_2">#N/A</definedName>
    <definedName name="T_3">#N/A</definedName>
    <definedName name="T_4">#N/A</definedName>
    <definedName name="T2_">#N/A</definedName>
    <definedName name="Table" localSheetId="0">#REF!</definedName>
    <definedName name="Table">#REF!</definedName>
    <definedName name="Table1" localSheetId="0">#REF!</definedName>
    <definedName name="Table1">#REF!</definedName>
    <definedName name="tableau1">#REF!</definedName>
    <definedName name="tag_number_note" localSheetId="0">#REF!</definedName>
    <definedName name="tag_number_note">#REF!</definedName>
    <definedName name="TAX">#REF!</definedName>
    <definedName name="TBA" localSheetId="0">[34]data_mci!$J$8:$J$126</definedName>
    <definedName name="TBA">[35]data_mci!$J$8:$J$126</definedName>
    <definedName name="tc_field_equipment_id_001" localSheetId="0">#REF!</definedName>
    <definedName name="tc_field_equipment_id_001">#REF!</definedName>
    <definedName name="tc_fire_area_001" localSheetId="0">#REF!</definedName>
    <definedName name="tc_fire_area_001">#REF!</definedName>
    <definedName name="tc_line_number_id_001" localSheetId="0">#REF!</definedName>
    <definedName name="tc_line_number_id_001">#REF!</definedName>
    <definedName name="tc_location_layout_001" localSheetId="0">#REF!</definedName>
    <definedName name="tc_location_layout_001">#REF!</definedName>
    <definedName name="tc_signal_id_001" localSheetId="0">#REF!</definedName>
    <definedName name="tc_signal_id_001">#REF!</definedName>
    <definedName name="TC2C">#REF!</definedName>
    <definedName name="TC3C">#REF!</definedName>
    <definedName name="TC7C">#REF!</definedName>
    <definedName name="TC9C">#REF!</definedName>
    <definedName name="TE">#REF!</definedName>
    <definedName name="teri" localSheetId="0" hidden="1">{#N/A,#N/A,TRUE,"Basic";#N/A,#N/A,TRUE,"EXT-TABLE";#N/A,#N/A,TRUE,"STEEL";#N/A,#N/A,TRUE,"INT-Table";#N/A,#N/A,TRUE,"STEEL";#N/A,#N/A,TRUE,"Door"}</definedName>
    <definedName name="teri" hidden="1">{#N/A,#N/A,TRUE,"Basic";#N/A,#N/A,TRUE,"EXT-TABLE";#N/A,#N/A,TRUE,"STEEL";#N/A,#N/A,TRUE,"INT-Table";#N/A,#N/A,TRUE,"STEEL";#N/A,#N/A,TRUE,"Door"}</definedName>
    <definedName name="TEST" localSheetId="0">#REF!</definedName>
    <definedName name="TEST">#REF!</definedName>
    <definedName name="theta">#REF!</definedName>
    <definedName name="TidyUpFrom">#REF!</definedName>
    <definedName name="TidyUpTo">#REF!</definedName>
    <definedName name="TIT">#REF!</definedName>
    <definedName name="TO" localSheetId="0">[34]Main!$C$9</definedName>
    <definedName name="to">[35]Main!$C$9</definedName>
    <definedName name="TO_C" localSheetId="0">[43]MAIN!$E$8</definedName>
    <definedName name="TO_C">[44]MAIN!$E$8</definedName>
    <definedName name="TOT_MATL">[62]Proposal!#REF!</definedName>
    <definedName name="tower11" localSheetId="0">#REF!</definedName>
    <definedName name="tower11">#REF!</definedName>
    <definedName name="tower12" localSheetId="0">#REF!</definedName>
    <definedName name="tower12">#REF!</definedName>
    <definedName name="tower21" localSheetId="0">#REF!</definedName>
    <definedName name="tower21">#REF!</definedName>
    <definedName name="tower22" localSheetId="0">#REF!</definedName>
    <definedName name="tower22">#REF!</definedName>
    <definedName name="tray11" localSheetId="0">#REF!</definedName>
    <definedName name="tray11">#REF!</definedName>
    <definedName name="tray12" localSheetId="0">#REF!</definedName>
    <definedName name="tray12">#REF!</definedName>
    <definedName name="tt">#REF!</definedName>
    <definedName name="TYPE10" localSheetId="0">#REF!</definedName>
    <definedName name="TYPE10">#REF!</definedName>
    <definedName name="typical_schematic_001" localSheetId="0">#REF!</definedName>
    <definedName name="typical_schematic_001">#REF!</definedName>
    <definedName name="UD">#REF!</definedName>
    <definedName name="udt_support_id1_001" localSheetId="0">#REF!</definedName>
    <definedName name="udt_support_id1_001">#REF!</definedName>
    <definedName name="udt_support_id10_001" localSheetId="0">#REF!</definedName>
    <definedName name="udt_support_id10_001">#REF!</definedName>
    <definedName name="udt_support_id11_001" localSheetId="0">#REF!</definedName>
    <definedName name="udt_support_id11_001">#REF!</definedName>
    <definedName name="udt_support_id12_001" localSheetId="0">#REF!</definedName>
    <definedName name="udt_support_id12_001">#REF!</definedName>
    <definedName name="udt_support_id13_001" localSheetId="0">#REF!</definedName>
    <definedName name="udt_support_id13_001">#REF!</definedName>
    <definedName name="udt_support_id14_001" localSheetId="0">#REF!</definedName>
    <definedName name="udt_support_id14_001">#REF!</definedName>
    <definedName name="udt_support_id15_001" localSheetId="0">#REF!</definedName>
    <definedName name="udt_support_id15_001">#REF!</definedName>
    <definedName name="udt_support_id16_001" localSheetId="0">#REF!</definedName>
    <definedName name="udt_support_id16_001">#REF!</definedName>
    <definedName name="udt_support_id2_001" localSheetId="0">#REF!</definedName>
    <definedName name="udt_support_id2_001">#REF!</definedName>
    <definedName name="udt_support_id3_001" localSheetId="0">#REF!</definedName>
    <definedName name="udt_support_id3_001">#REF!</definedName>
    <definedName name="udt_support_id4_001" localSheetId="0">#REF!</definedName>
    <definedName name="udt_support_id4_001">#REF!</definedName>
    <definedName name="udt_support_id5_001" localSheetId="0">#REF!</definedName>
    <definedName name="udt_support_id5_001">#REF!</definedName>
    <definedName name="udt_support_id6_001" localSheetId="0">#REF!</definedName>
    <definedName name="udt_support_id6_001">#REF!</definedName>
    <definedName name="udt_support_id7_001" localSheetId="0">#REF!</definedName>
    <definedName name="udt_support_id7_001">#REF!</definedName>
    <definedName name="udt_support_id8_001" localSheetId="0">#REF!</definedName>
    <definedName name="udt_support_id8_001">#REF!</definedName>
    <definedName name="udt_support_id9_001" localSheetId="0">#REF!</definedName>
    <definedName name="udt_support_id9_001">#REF!</definedName>
    <definedName name="ue____I¨￡">#N/A</definedName>
    <definedName name="ue____Iª">#N/A</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#REF!</definedName>
    <definedName name="UniqueFrom">#REF!</definedName>
    <definedName name="UniqueTo">#REF!</definedName>
    <definedName name="UNIT">#N/A</definedName>
    <definedName name="unit_id_001" localSheetId="0">#REF!</definedName>
    <definedName name="unit_id_001">#REF!</definedName>
    <definedName name="Unit_Matl">[62]Proposal!#REF!</definedName>
    <definedName name="Unit_MD">[62]Proposal!#REF!</definedName>
    <definedName name="Unit100">[79]U00!$C$8:$M$107</definedName>
    <definedName name="Unit101">[79]U01!$C$8:$M$107</definedName>
    <definedName name="Unit102">[79]U02!$C$8:$M$107</definedName>
    <definedName name="Unit103">[79]U03!$C$8:$M$107</definedName>
    <definedName name="Unit106">[79]U06!$C$8:$M$107</definedName>
    <definedName name="Unit107">[79]U07!$C$8:$M$107</definedName>
    <definedName name="Unit108">[79]U08!$C$8:$M$107</definedName>
    <definedName name="Unit109">[79]U09!$C$8:$M$107</definedName>
    <definedName name="Unit110">[79]U10!$C$8:$M$107</definedName>
    <definedName name="Unit111">[79]U11!$C$8:$M$107</definedName>
    <definedName name="Unit113">[79]U13!$C$8:$M$107</definedName>
    <definedName name="Unit120" localSheetId="0">#REF!</definedName>
    <definedName name="Unit120">#REF!</definedName>
    <definedName name="Unit121">[79]U21!$C$8:$M$107</definedName>
    <definedName name="Unit125">[79]U25!$C$8:$M$107</definedName>
    <definedName name="Unit126">[79]U26!$C$8:$M$107</definedName>
    <definedName name="Unit129">[79]U29!$C$8:$M$107</definedName>
    <definedName name="Unit130">[79]U30!$C$8:$M$107</definedName>
    <definedName name="Unit131">[79]U31_Base!$C$8:$M$107</definedName>
    <definedName name="Unit140">[79]U40!$C$8:$M$107</definedName>
    <definedName name="Unit142">[79]U42!$C$8:$M$107</definedName>
    <definedName name="Unit143">[79]U43!$C$8:$M$107</definedName>
    <definedName name="Unit145">[79]U45!$C$8:$M$107</definedName>
    <definedName name="Unit147">[79]U47!$C$8:$M$107</definedName>
    <definedName name="Unit148">[79]U48!$C$8:$M$107</definedName>
    <definedName name="Unit160">[79]U60!$C$8:$M$107</definedName>
    <definedName name="UNITNO" localSheetId="0">#REF!</definedName>
    <definedName name="UNITNO">#REF!</definedName>
    <definedName name="Units_Value">[69]Instructions!$AO$18</definedName>
    <definedName name="uom_id_001" localSheetId="0">#REF!</definedName>
    <definedName name="uom_id_001">#REF!</definedName>
    <definedName name="user_name_001" localSheetId="0">#REF!</definedName>
    <definedName name="user_name_001">#REF!</definedName>
    <definedName name="v" localSheetId="0">#REF!</definedName>
    <definedName name="v">#REF!</definedName>
    <definedName name="vffsfs" localSheetId="0" hidden="1">{#N/A,#N/A,TRUE,"Basic";#N/A,#N/A,TRUE,"EXT-TABLE";#N/A,#N/A,TRUE,"STEEL";#N/A,#N/A,TRUE,"INT-Table";#N/A,#N/A,TRUE,"STEEL";#N/A,#N/A,TRUE,"Door"}</definedName>
    <definedName name="vffsfs" hidden="1">{#N/A,#N/A,TRUE,"Basic";#N/A,#N/A,TRUE,"EXT-TABLE";#N/A,#N/A,TRUE,"STEEL";#N/A,#N/A,TRUE,"INT-Table";#N/A,#N/A,TRUE,"STEEL";#N/A,#N/A,TRUE,"Door"}</definedName>
    <definedName name="VS">#REF!</definedName>
    <definedName name="Waste" localSheetId="0" hidden="1">{#N/A,#N/A,TRUE,"Basic";#N/A,#N/A,TRUE,"EXT-TABLE";#N/A,#N/A,TRUE,"STEEL";#N/A,#N/A,TRUE,"INT-Table";#N/A,#N/A,TRUE,"STEEL";#N/A,#N/A,TRUE,"Door"}</definedName>
    <definedName name="Waste" hidden="1">{#N/A,#N/A,TRUE,"Basic";#N/A,#N/A,TRUE,"EXT-TABLE";#N/A,#N/A,TRUE,"STEEL";#N/A,#N/A,TRUE,"INT-Table";#N/A,#N/A,TRUE,"STEEL";#N/A,#N/A,TRUE,"Door"}</definedName>
    <definedName name="WE">#REF!</definedName>
    <definedName name="WEIGHT" localSheetId="0">#REF!</definedName>
    <definedName name="WEIGHT">#REF!</definedName>
    <definedName name="WFC" localSheetId="0" hidden="1">#REF!</definedName>
    <definedName name="WFC" hidden="1">#REF!</definedName>
    <definedName name="wire_group_id_001" localSheetId="0">#REF!</definedName>
    <definedName name="wire_group_id_001">#REF!</definedName>
    <definedName name="WORKSHOP" localSheetId="0" hidden="1">{#N/A,#N/A,TRUE,"Basic";#N/A,#N/A,TRUE,"EXT-TABLE";#N/A,#N/A,TRUE,"STEEL";#N/A,#N/A,TRUE,"INT-Table";#N/A,#N/A,TRUE,"STEEL";#N/A,#N/A,TRUE,"Door"}</definedName>
    <definedName name="WORKSHOP" hidden="1">{#N/A,#N/A,TRUE,"Basic";#N/A,#N/A,TRUE,"EXT-TABLE";#N/A,#N/A,TRUE,"STEEL";#N/A,#N/A,TRUE,"INT-Table";#N/A,#N/A,TRUE,"STEEL";#N/A,#N/A,TRUE,"Door"}</definedName>
    <definedName name="wrn.BM." localSheetId="0" hidden="1">{#N/A,#N/A,TRUE,"Basic";#N/A,#N/A,TRUE,"EXT-TABLE";#N/A,#N/A,TRUE,"STEEL";#N/A,#N/A,TRUE,"INT-Table";#N/A,#N/A,TRUE,"STEEL";#N/A,#N/A,TRUE,"Door"}</definedName>
    <definedName name="wrn.BM." hidden="1">{#N/A,#N/A,TRUE,"Basic";#N/A,#N/A,TRUE,"EXT-TABLE";#N/A,#N/A,TRUE,"STEEL";#N/A,#N/A,TRUE,"INT-Table";#N/A,#N/A,TRUE,"STEEL";#N/A,#N/A,TRUE,"Door"}</definedName>
    <definedName name="wrn.SRU._.CONDENSER." localSheetId="0" hidden="1">{#N/A,#N/A,FALSE,"HXSheet1";#N/A,#N/A,FALSE,"Sheet2";#N/A,#N/A,FALSE,"Sheet3";#N/A,#N/A,FALSE,"Sheet4"}</definedName>
    <definedName name="wrn.SRU._.CONDENSER." hidden="1">{#N/A,#N/A,FALSE,"HXSheet1";#N/A,#N/A,FALSE,"Sheet2";#N/A,#N/A,FALSE,"Sheet3";#N/A,#N/A,FALSE,"Sheet4"}</definedName>
    <definedName name="www" localSheetId="0" hidden="1">{#N/A,#N/A,TRUE,"Basic";#N/A,#N/A,TRUE,"EXT-TABLE";#N/A,#N/A,TRUE,"STEEL";#N/A,#N/A,TRUE,"INT-Table";#N/A,#N/A,TRUE,"STEEL";#N/A,#N/A,TRUE,"Door"}</definedName>
    <definedName name="www" hidden="1">{#N/A,#N/A,TRUE,"Basic";#N/A,#N/A,TRUE,"EXT-TABLE";#N/A,#N/A,TRUE,"STEEL";#N/A,#N/A,TRUE,"INT-Table";#N/A,#N/A,TRUE,"STEEL";#N/A,#N/A,TRUE,"Door"}</definedName>
    <definedName name="X">#REF!</definedName>
    <definedName name="xcoincidencefactor_001" localSheetId="0">#REF!</definedName>
    <definedName name="xcoincidencefactor_001">#REF!</definedName>
    <definedName name="XX" localSheetId="0">BlankMacro1</definedName>
    <definedName name="XX">BlankMacro1</definedName>
    <definedName name="XXX">#REF!</definedName>
    <definedName name="XXXXX">#REF!</definedName>
    <definedName name="ycoincidencefactor_001" localSheetId="0">#REF!</definedName>
    <definedName name="ycoincidencefactor_001">#REF!</definedName>
    <definedName name="YN">#REF!</definedName>
    <definedName name="ynkim" localSheetId="0" hidden="1">{#N/A,#N/A,TRUE,"Basic";#N/A,#N/A,TRUE,"EXT-TABLE";#N/A,#N/A,TRUE,"STEEL";#N/A,#N/A,TRUE,"INT-Table";#N/A,#N/A,TRUE,"STEEL";#N/A,#N/A,TRUE,"Door"}</definedName>
    <definedName name="ynkim" hidden="1">{#N/A,#N/A,TRUE,"Basic";#N/A,#N/A,TRUE,"EXT-TABLE";#N/A,#N/A,TRUE,"STEEL";#N/A,#N/A,TRUE,"INT-Table";#N/A,#N/A,TRUE,"STEEL";#N/A,#N/A,TRUE,"Door"}</definedName>
    <definedName name="YSB">#REF!</definedName>
    <definedName name="Z" localSheetId="0">#REF!</definedName>
    <definedName name="Z">BlankMacro1</definedName>
    <definedName name="Z_0038F670_AB89_11D5_B39B_00D0590671AF_.wvu.PrintArea" localSheetId="0" hidden="1">Cover!$A$1:$T$26</definedName>
    <definedName name="Z_0038F670_AB89_11D5_B39B_00D0590671AF_.wvu.Rows" localSheetId="0" hidden="1">Cover!$11:$11</definedName>
    <definedName name="Z_5CB85862_B86F_4344_B945_AF2C592262DB_.wvu.PrintArea" localSheetId="0" hidden="1">Cover!$A$1:$T$26</definedName>
    <definedName name="Z_5CB85862_B86F_4344_B945_AF2C592262DB_.wvu.Rows" localSheetId="0" hidden="1">Cover!$11:$11</definedName>
    <definedName name="Z_7B58B964_ACE8_11D5_9F66_002035F4328D_.wvu.PrintArea" localSheetId="0" hidden="1">Cover!$A$1:$T$26</definedName>
    <definedName name="Z_7B58B964_ACE8_11D5_9F66_002035F4328D_.wvu.Rows" localSheetId="0" hidden="1">Cover!$11:$11</definedName>
    <definedName name="Z_L_I_T_E_N">#N/A</definedName>
    <definedName name="zcoincidencefactor_001" localSheetId="0">#REF!</definedName>
    <definedName name="zcoincidencefactor_001">#REF!</definedName>
    <definedName name="ZOKI">[1]회사99!#REF!</definedName>
    <definedName name="Zone_impres_MI">#REF!</definedName>
    <definedName name="zz" localSheetId="0">'[83]h-013211-2'!$Q$5</definedName>
    <definedName name="zz">'[19]h-013211-2'!$Q$5</definedName>
    <definedName name="zzcoincidencefactor_001" localSheetId="0">#REF!</definedName>
    <definedName name="zzcoincidencefactor_001">#REF!</definedName>
    <definedName name="zzz" localSheetId="0" hidden="1">{#N/A,#N/A,TRUE,"Basic";#N/A,#N/A,TRUE,"EXT-TABLE";#N/A,#N/A,TRUE,"STEEL";#N/A,#N/A,TRUE,"INT-Table";#N/A,#N/A,TRUE,"STEEL";#N/A,#N/A,TRUE,"Door"}</definedName>
    <definedName name="zzz" hidden="1">{#N/A,#N/A,TRUE,"Basic";#N/A,#N/A,TRUE,"EXT-TABLE";#N/A,#N/A,TRUE,"STEEL";#N/A,#N/A,TRUE,"INT-Table";#N/A,#N/A,TRUE,"STEEL";#N/A,#N/A,TRUE,"Door"}</definedName>
    <definedName name="ZZZZ">#REF!</definedName>
    <definedName name="ZZZZZ">#REF!</definedName>
    <definedName name="ㄱ미" localSheetId="0" hidden="1">{#N/A,#N/A,TRUE,"Basic";#N/A,#N/A,TRUE,"EXT-TABLE";#N/A,#N/A,TRUE,"STEEL";#N/A,#N/A,TRUE,"INT-Table";#N/A,#N/A,TRUE,"STEEL";#N/A,#N/A,TRUE,"Door"}</definedName>
    <definedName name="ㄱ미" hidden="1">{#N/A,#N/A,TRUE,"Basic";#N/A,#N/A,TRUE,"EXT-TABLE";#N/A,#N/A,TRUE,"STEEL";#N/A,#N/A,TRUE,"INT-Table";#N/A,#N/A,TRUE,"STEEL";#N/A,#N/A,TRUE,"Door"}</definedName>
    <definedName name="가" localSheetId="0">#REF!</definedName>
    <definedName name="가">#REF!</definedName>
    <definedName name="갈바후렉스_돌출" localSheetId="0">#REF!</definedName>
    <definedName name="갈바후렉스_돌출">#REF!</definedName>
    <definedName name="갈바후렉스_전면" localSheetId="0">#REF!</definedName>
    <definedName name="갈바후렉스_전면">#REF!</definedName>
    <definedName name="감" localSheetId="0" hidden="1">{#N/A,#N/A,TRUE,"Basic";#N/A,#N/A,TRUE,"EXT-TABLE";#N/A,#N/A,TRUE,"STEEL";#N/A,#N/A,TRUE,"INT-Table";#N/A,#N/A,TRUE,"STEEL";#N/A,#N/A,TRUE,"Door"}</definedName>
    <definedName name="감" hidden="1">{#N/A,#N/A,TRUE,"Basic";#N/A,#N/A,TRUE,"EXT-TABLE";#N/A,#N/A,TRUE,"STEEL";#N/A,#N/A,TRUE,"INT-Table";#N/A,#N/A,TRUE,"STEEL";#N/A,#N/A,TRUE,"Door"}</definedName>
    <definedName name="갑">#REF!</definedName>
    <definedName name="개수" localSheetId="0">#REF!</definedName>
    <definedName name="개수">#REF!</definedName>
    <definedName name="건">#N/A</definedName>
    <definedName name="겉표지" localSheetId="0" hidden="1">{#N/A,#N/A,TRUE,"Basic";#N/A,#N/A,TRUE,"EXT-TABLE";#N/A,#N/A,TRUE,"STEEL";#N/A,#N/A,TRUE,"INT-Table";#N/A,#N/A,TRUE,"STEEL";#N/A,#N/A,TRUE,"Door"}</definedName>
    <definedName name="겉표지" hidden="1">{#N/A,#N/A,TRUE,"Basic";#N/A,#N/A,TRUE,"EXT-TABLE";#N/A,#N/A,TRUE,"STEEL";#N/A,#N/A,TRUE,"INT-Table";#N/A,#N/A,TRUE,"STEEL";#N/A,#N/A,TRUE,"Door"}</definedName>
    <definedName name="견적기준">#REF!</definedName>
    <definedName name="경비조정중기">#REF!</definedName>
    <definedName name="경제" localSheetId="0">[82]세금자료!$A$3:$D$52</definedName>
    <definedName name="경제">[84]세금자료!$A$3:$D$52</definedName>
    <definedName name="공사_NDE" localSheetId="0">[85]공사비_NDE!$A$1:$K$6295</definedName>
    <definedName name="공사_NDE">[86]공사비_NDE!$A$1:$K$6295</definedName>
    <definedName name="공사_PAINT" localSheetId="0">[85]공사비_NDE!$A$1:$K$6295</definedName>
    <definedName name="공사_PAINT">[86]공사비_NDE!$A$1:$K$6295</definedName>
    <definedName name="공사손익.중국">#REF!</definedName>
    <definedName name="공일">#REF!</definedName>
    <definedName name="기설">#REF!</definedName>
    <definedName name="기성" localSheetId="0">#REF!</definedName>
    <definedName name="기성">#REF!</definedName>
    <definedName name="김" localSheetId="0" hidden="1">{#N/A,#N/A,TRUE,"Basic";#N/A,#N/A,TRUE,"EXT-TABLE";#N/A,#N/A,TRUE,"STEEL";#N/A,#N/A,TRUE,"INT-Table";#N/A,#N/A,TRUE,"STEEL";#N/A,#N/A,TRUE,"Door"}</definedName>
    <definedName name="김" hidden="1">{#N/A,#N/A,TRUE,"Basic";#N/A,#N/A,TRUE,"EXT-TABLE";#N/A,#N/A,TRUE,"STEEL";#N/A,#N/A,TRUE,"INT-Table";#N/A,#N/A,TRUE,"STEEL";#N/A,#N/A,TRUE,"Door"}</definedName>
    <definedName name="김1" localSheetId="0" hidden="1">{#N/A,#N/A,TRUE,"Basic";#N/A,#N/A,TRUE,"EXT-TABLE";#N/A,#N/A,TRUE,"STEEL";#N/A,#N/A,TRUE,"INT-Table";#N/A,#N/A,TRUE,"STEEL";#N/A,#N/A,TRUE,"Door"}</definedName>
    <definedName name="김1" hidden="1">{#N/A,#N/A,TRUE,"Basic";#N/A,#N/A,TRUE,"EXT-TABLE";#N/A,#N/A,TRUE,"STEEL";#N/A,#N/A,TRUE,"INT-Table";#N/A,#N/A,TRUE,"STEEL";#N/A,#N/A,TRUE,"Door"}</definedName>
    <definedName name="김3" localSheetId="0" hidden="1">{#N/A,#N/A,TRUE,"Basic";#N/A,#N/A,TRUE,"EXT-TABLE";#N/A,#N/A,TRUE,"STEEL";#N/A,#N/A,TRUE,"INT-Table";#N/A,#N/A,TRUE,"STEEL";#N/A,#N/A,TRUE,"Door"}</definedName>
    <definedName name="김3" hidden="1">{#N/A,#N/A,TRUE,"Basic";#N/A,#N/A,TRUE,"EXT-TABLE";#N/A,#N/A,TRUE,"STEEL";#N/A,#N/A,TRUE,"INT-Table";#N/A,#N/A,TRUE,"STEEL";#N/A,#N/A,TRUE,"Door"}</definedName>
    <definedName name="ㄴ">#REF!</definedName>
    <definedName name="ㄴㄴㄴ">#N/A</definedName>
    <definedName name="ㄴㄴㄴㄴㅇ">#N/A</definedName>
    <definedName name="ㄴㅁㅁㄴㄴㅁ">#N/A</definedName>
    <definedName name="나" localSheetId="0">#REF!</definedName>
    <definedName name="나">#REF!</definedName>
    <definedName name="내선전공" localSheetId="0">#REF!</definedName>
    <definedName name="내선전공">#REF!</definedName>
    <definedName name="네온_갈바_스카시" localSheetId="0">#REF!</definedName>
    <definedName name="네온_갈바_스카시">#REF!</definedName>
    <definedName name="네온_갈바_쟌넬" localSheetId="0">#REF!</definedName>
    <definedName name="네온_갈바_쟌넬">#REF!</definedName>
    <definedName name="네온_포엠_스카시" localSheetId="0">#REF!</definedName>
    <definedName name="네온_포엠_스카시">#REF!</definedName>
    <definedName name="네온_포엠_쟌넬" localSheetId="0">#REF!</definedName>
    <definedName name="네온_포엠_쟌넬">#REF!</definedName>
    <definedName name="ㄷㄷ">#N/A</definedName>
    <definedName name="ㄷㄷㄷ" localSheetId="0">#REF!</definedName>
    <definedName name="ㄷㄷㄷ">#REF!</definedName>
    <definedName name="닥트">#REF!</definedName>
    <definedName name="단가" localSheetId="0">#REF!</definedName>
    <definedName name="단가">#REF!</definedName>
    <definedName name="당초계획" localSheetId="0" hidden="1">#REF!</definedName>
    <definedName name="당초계획" hidden="1">#REF!</definedName>
    <definedName name="대">#REF!</definedName>
    <definedName name="대비">#REF!</definedName>
    <definedName name="대비표">#REF!</definedName>
    <definedName name="대아설계가">#REF!</definedName>
    <definedName name="도장">#REF!</definedName>
    <definedName name="ㄹㄹㄹㄹㅀㅎ">#N/A</definedName>
    <definedName name="ㄹㅇㅁ" localSheetId="0">[87]사업부배부A!#REF!</definedName>
    <definedName name="ㄹㅇㅁ">[85]사업부배부A!#REF!</definedName>
    <definedName name="ㅁ">#N/A</definedName>
    <definedName name="ㅁ1" localSheetId="0">#REF!</definedName>
    <definedName name="ㅁ1">#REF!</definedName>
    <definedName name="ㅁ1180">#REF!</definedName>
    <definedName name="ㅁㄴㅁㅁ">#N/A</definedName>
    <definedName name="ㅁㅁㅁ" localSheetId="0">#REF!</definedName>
    <definedName name="ㅁㅁㅁ">#REF!</definedName>
    <definedName name="먁" localSheetId="0" hidden="1">#REF!</definedName>
    <definedName name="먁" hidden="1">#REF!</definedName>
    <definedName name="목공">#REF!</definedName>
    <definedName name="뭐야">#REF!</definedName>
    <definedName name="ㅂ">#N/A</definedName>
    <definedName name="ㅂㅂㅂ">#N/A</definedName>
    <definedName name="ㅂㅂㅂㅂㅂ">#N/A</definedName>
    <definedName name="바보">#REF!</definedName>
    <definedName name="배관">#REF!</definedName>
    <definedName name="배부기준" localSheetId="0">[88]영업소실적!#REF!</definedName>
    <definedName name="배부기준">[87]영업소실적!#REF!</definedName>
    <definedName name="배부내역" localSheetId="0">[31]주관사업!#REF!</definedName>
    <definedName name="배부내역">[4]주관사업!#REF!</definedName>
    <definedName name="버티">#N/A</definedName>
    <definedName name="보온">#REF!</definedName>
    <definedName name="보인">#REF!</definedName>
    <definedName name="보일">#REF!</definedName>
    <definedName name="복사">#REF!</definedName>
    <definedName name="비계">#REF!</definedName>
    <definedName name="산출" localSheetId="0" hidden="1">#REF!</definedName>
    <definedName name="산출" hidden="1">#REF!</definedName>
    <definedName name="상각비2" localSheetId="0" hidden="1">#REF!</definedName>
    <definedName name="상각비2" hidden="1">#REF!</definedName>
    <definedName name="설계집계">#REF!</definedName>
    <definedName name="수" localSheetId="0" hidden="1">{#N/A,#N/A,TRUE,"Basic";#N/A,#N/A,TRUE,"EXT-TABLE";#N/A,#N/A,TRUE,"STEEL";#N/A,#N/A,TRUE,"INT-Table";#N/A,#N/A,TRUE,"STEEL";#N/A,#N/A,TRUE,"Door"}</definedName>
    <definedName name="수" hidden="1">{#N/A,#N/A,TRUE,"Basic";#N/A,#N/A,TRUE,"EXT-TABLE";#N/A,#N/A,TRUE,"STEEL";#N/A,#N/A,TRUE,"INT-Table";#N/A,#N/A,TRUE,"STEEL";#N/A,#N/A,TRUE,"Door"}</definedName>
    <definedName name="ㅇ">#N/A</definedName>
    <definedName name="ㅇ191">#REF!</definedName>
    <definedName name="ㅇㄴㅁㄴㅁㄴㅇㄴㅇㅁㄴㅇㅁㄴㅇㅁㄴㅇㅇㄴㄴㅇㅇㄴㅁ">#N/A</definedName>
    <definedName name="ㅇㄴㅇ">#N/A</definedName>
    <definedName name="ㅇㄹㄹ">#N/A</definedName>
    <definedName name="ㅇㅇ">#N/A</definedName>
    <definedName name="ㅇㅇㅇ">#N/A</definedName>
    <definedName name="ㅇㅇㅇㅇ">#N/A</definedName>
    <definedName name="알미늄후렉스_돌출" localSheetId="0">#REF!</definedName>
    <definedName name="알미늄후렉스_돌출">#REF!</definedName>
    <definedName name="알미늄후렉스_전면" localSheetId="0">#REF!</definedName>
    <definedName name="알미늄후렉스_전면">#REF!</definedName>
    <definedName name="약수">#N/A</definedName>
    <definedName name="용접">#REF!</definedName>
    <definedName name="원가네온" localSheetId="0">#REF!</definedName>
    <definedName name="원가네온">#REF!</definedName>
    <definedName name="원가쟌넬" localSheetId="0">#REF!</definedName>
    <definedName name="원가쟌넬">#REF!</definedName>
    <definedName name="원가포엠" localSheetId="0">#REF!</definedName>
    <definedName name="원가포엠">#REF!</definedName>
    <definedName name="원가프랑카드" localSheetId="0">#REF!</definedName>
    <definedName name="원가프랑카드">#REF!</definedName>
    <definedName name="원가플랙스" localSheetId="0">#REF!</definedName>
    <definedName name="원가플랙스">#REF!</definedName>
    <definedName name="월별영업">#REF!</definedName>
    <definedName name="위생">#REF!</definedName>
    <definedName name="이태원" localSheetId="0">'[75]IT-BAT'!#REF!</definedName>
    <definedName name="이태원">'[76]IT-BAT'!#REF!</definedName>
    <definedName name="인원2">[89]인원계획!#REF!</definedName>
    <definedName name="ㅈ" localSheetId="0">[29]상반기손익차2총괄!#REF!</definedName>
    <definedName name="ㅈ">[30]상반기손익차2총괄!#REF!</definedName>
    <definedName name="ㅈㄷㅈㄷ">#N/A</definedName>
    <definedName name="ㅈㅈㅈ" localSheetId="0">#REF!</definedName>
    <definedName name="ㅈㅈㅈ">#REF!</definedName>
    <definedName name="잔액" localSheetId="0">#REF!</definedName>
    <definedName name="잔액">#REF!</definedName>
    <definedName name="저사양PC사용자">#REF!</definedName>
    <definedName name="전" localSheetId="0">#N/A</definedName>
    <definedName name="전">#REF!</definedName>
    <definedName name="전기">#REF!</definedName>
    <definedName name="전기내역">#REF!</definedName>
    <definedName name="전기총괄">#REF!</definedName>
    <definedName name="전체sum" localSheetId="0">#REF!</definedName>
    <definedName name="전체sum">#REF!</definedName>
    <definedName name="주택사업본부">#REF!</definedName>
    <definedName name="중경">#REF!</definedName>
    <definedName name="중기">#REF!</definedName>
    <definedName name="중재">#REF!</definedName>
    <definedName name="직종별SORT">#REF!</definedName>
    <definedName name="ㅊ2409" localSheetId="0">#REF!</definedName>
    <definedName name="ㅊ2409">#REF!</definedName>
    <definedName name="철공">#REF!</definedName>
    <definedName name="철구사업본부">#REF!</definedName>
    <definedName name="클_레_임">#N/A</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#N/A</definedName>
    <definedName name="토목지입재료비">#REF!</definedName>
    <definedName name="특인">#REF!</definedName>
    <definedName name="ㅍㅍㅍ">#N/A</definedName>
    <definedName name="표지" localSheetId="0" hidden="1">{#N/A,#N/A,TRUE,"Basic";#N/A,#N/A,TRUE,"EXT-TABLE";#N/A,#N/A,TRUE,"STEEL";#N/A,#N/A,TRUE,"INT-Table";#N/A,#N/A,TRUE,"STEEL";#N/A,#N/A,TRUE,"Door"}</definedName>
    <definedName name="표지" hidden="1">{#N/A,#N/A,TRUE,"Basic";#N/A,#N/A,TRUE,"EXT-TABLE";#N/A,#N/A,TRUE,"STEEL";#N/A,#N/A,TRUE,"INT-Table";#N/A,#N/A,TRUE,"STEEL";#N/A,#N/A,TRUE,"Door"}</definedName>
    <definedName name="표지2" localSheetId="0" hidden="1">#REF!</definedName>
    <definedName name="표지2" hidden="1">#REF!</definedName>
    <definedName name="표지3">#REF!</definedName>
    <definedName name="플">#N/A</definedName>
    <definedName name="플기">#REF!</definedName>
    <definedName name="플배">#REF!</definedName>
    <definedName name="플용">#REF!</definedName>
    <definedName name="ㅎㅎ">#N/A</definedName>
    <definedName name="한강진">#N/A</definedName>
    <definedName name="함석">#REF!</definedName>
    <definedName name="합계" localSheetId="0">#REF!</definedName>
    <definedName name="합계">#REF!</definedName>
    <definedName name="해외인원추이" localSheetId="0">[46]요약배부!#REF!</definedName>
    <definedName name="해외인원추이">[47]요약배부!#REF!</definedName>
    <definedName name="ㅏㅏㅏㅏㅏ">#N/A</definedName>
    <definedName name="ㅐㅗㅅ" localSheetId="0">#REF!</definedName>
    <definedName name="ㅐㅗㅅ">#REF!</definedName>
    <definedName name="ㅓㅓㅓㅓㅓ">#N/A</definedName>
    <definedName name="ㅓㅓㅗ라ㅓㄴ오라ㅓㅁㄴ오라넘오람ㄴ엄ㄴㅇㅇㄴㅁㅁㄴㅇㅇㄴㄴㅇㅁ">#N/A</definedName>
    <definedName name="ㅗㅗㅗㅗ">#N/A</definedName>
    <definedName name="ㅛㅕㅕㅕ">#N/A</definedName>
    <definedName name="ㅜ" localSheetId="0">'[38]9-1차이내역'!#REF!</definedName>
    <definedName name="ㅜ">'[39]9-1차이내역'!#REF!</definedName>
    <definedName name="ㅜㅜㅜ">#N/A</definedName>
    <definedName name="ㅠ" localSheetId="0">#REF!</definedName>
    <definedName name="ㅠ">#REF!</definedName>
    <definedName name="ㅠㅜㅠㅜㅜㅜ">#N/A</definedName>
    <definedName name="合____計">#N/A</definedName>
    <definedName name="完工工事_計">#N/A</definedName>
    <definedName name="新規工事_計">#N/A</definedName>
    <definedName name="現代綜合商事經由分" localSheetId="0">[23]수입!#REF!</definedName>
    <definedName name="現代綜合商事經由分">[90]수입!#REF!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52" i="7" l="1"/>
  <c r="X252" i="7"/>
  <c r="U252" i="7"/>
  <c r="T252" i="7"/>
  <c r="S252" i="7"/>
  <c r="R252" i="7"/>
  <c r="AS88" i="2"/>
  <c r="Z277" i="7"/>
  <c r="AP277" i="7"/>
  <c r="O287" i="7" l="1"/>
  <c r="O286" i="7"/>
  <c r="O285" i="7"/>
  <c r="U284" i="7"/>
  <c r="R284" i="7"/>
  <c r="Q284" i="7"/>
  <c r="O284" i="7"/>
  <c r="R283" i="7"/>
  <c r="O283" i="7"/>
  <c r="O282" i="7"/>
  <c r="O281" i="7"/>
  <c r="O280" i="7"/>
  <c r="U279" i="7"/>
  <c r="Q279" i="7"/>
  <c r="O279" i="7" s="1"/>
  <c r="O278" i="7"/>
  <c r="U277" i="7"/>
  <c r="R277" i="7"/>
  <c r="Q277" i="7"/>
  <c r="O277" i="7"/>
  <c r="O276" i="7"/>
  <c r="O275" i="7"/>
  <c r="O274" i="7"/>
  <c r="O273" i="7"/>
  <c r="O272" i="7"/>
  <c r="O271" i="7"/>
  <c r="O270" i="7"/>
  <c r="O269" i="7"/>
  <c r="O268" i="7"/>
  <c r="O267" i="7"/>
  <c r="O266" i="7"/>
  <c r="O265" i="7"/>
  <c r="O264" i="7"/>
  <c r="O263" i="7"/>
  <c r="O262" i="7"/>
  <c r="O261" i="7"/>
  <c r="O260" i="7"/>
  <c r="O259" i="7"/>
  <c r="O258" i="7"/>
  <c r="O257" i="7"/>
  <c r="O256" i="7"/>
  <c r="O255" i="7"/>
  <c r="O254" i="7"/>
  <c r="O253" i="7"/>
  <c r="AD252" i="7"/>
  <c r="AC252" i="7"/>
  <c r="O252" i="7"/>
  <c r="O251" i="7"/>
  <c r="O250" i="7"/>
  <c r="O249" i="7"/>
  <c r="O248" i="7"/>
  <c r="O247" i="7"/>
  <c r="O246" i="7"/>
  <c r="O245" i="7"/>
  <c r="O244" i="7"/>
  <c r="O243" i="7"/>
  <c r="O242" i="7"/>
  <c r="O241" i="7"/>
  <c r="O240" i="7"/>
  <c r="O239" i="7"/>
  <c r="O238" i="7"/>
  <c r="O237" i="7"/>
  <c r="O236" i="7"/>
  <c r="O235" i="7"/>
  <c r="O234" i="7"/>
  <c r="O233" i="7"/>
  <c r="O232" i="7"/>
  <c r="O231" i="7"/>
  <c r="O230" i="7"/>
  <c r="O229" i="7"/>
  <c r="O228" i="7"/>
  <c r="O227" i="7"/>
  <c r="O226" i="7"/>
  <c r="O225" i="7"/>
  <c r="O224" i="7"/>
  <c r="O223" i="7"/>
  <c r="O222" i="7"/>
  <c r="O221" i="7"/>
  <c r="O220" i="7"/>
  <c r="O219" i="7"/>
  <c r="O218" i="7"/>
  <c r="O217" i="7"/>
  <c r="O216" i="7"/>
  <c r="O215" i="7"/>
  <c r="O214" i="7"/>
  <c r="O213" i="7"/>
  <c r="O212" i="7"/>
  <c r="O211" i="7"/>
  <c r="O210" i="7"/>
  <c r="O209" i="7"/>
  <c r="O208" i="7"/>
  <c r="O207" i="7"/>
  <c r="O206" i="7"/>
  <c r="O205" i="7"/>
  <c r="O204" i="7"/>
  <c r="O203" i="7"/>
  <c r="O202" i="7"/>
  <c r="O201" i="7"/>
  <c r="O200" i="7"/>
  <c r="O199" i="7"/>
  <c r="O198" i="7"/>
  <c r="O197" i="7"/>
  <c r="O196" i="7"/>
  <c r="O195" i="7"/>
  <c r="O194" i="7"/>
  <c r="O193" i="7"/>
  <c r="O192" i="7"/>
  <c r="O191" i="7"/>
  <c r="O190" i="7"/>
  <c r="O189" i="7"/>
  <c r="O188" i="7"/>
  <c r="O187" i="7"/>
  <c r="O186" i="7"/>
  <c r="O185" i="7"/>
  <c r="O184" i="7"/>
  <c r="O183" i="7"/>
  <c r="O182" i="7"/>
  <c r="O181" i="7"/>
  <c r="O180" i="7"/>
  <c r="O179" i="7"/>
  <c r="O178" i="7"/>
  <c r="O177" i="7"/>
  <c r="O176" i="7"/>
  <c r="O175" i="7"/>
  <c r="O174" i="7"/>
  <c r="O173" i="7"/>
  <c r="O172" i="7"/>
  <c r="O171" i="7"/>
  <c r="O170" i="7"/>
  <c r="O169" i="7"/>
  <c r="O168" i="7"/>
  <c r="O167" i="7"/>
  <c r="O166" i="7"/>
  <c r="O165" i="7"/>
  <c r="O164" i="7"/>
  <c r="O163" i="7"/>
  <c r="O162" i="7"/>
  <c r="O161" i="7"/>
  <c r="O160" i="7"/>
  <c r="O159" i="7"/>
  <c r="O158" i="7"/>
  <c r="AD157" i="7"/>
  <c r="AC157" i="7"/>
  <c r="R157" i="7"/>
  <c r="O157" i="7" s="1"/>
  <c r="AD156" i="7"/>
  <c r="AC156" i="7"/>
  <c r="R156" i="7"/>
  <c r="O156" i="7" s="1"/>
  <c r="W155" i="7"/>
  <c r="O155" i="7" s="1"/>
  <c r="AG154" i="7"/>
  <c r="AF154" i="7"/>
  <c r="Z154" i="7"/>
  <c r="W154" i="7"/>
  <c r="V154" i="7"/>
  <c r="O154" i="7" s="1"/>
  <c r="O153" i="7"/>
  <c r="O152" i="7"/>
  <c r="O151" i="7"/>
  <c r="O150" i="7"/>
  <c r="O149" i="7"/>
  <c r="O148" i="7"/>
  <c r="O147" i="7"/>
  <c r="O146" i="7"/>
  <c r="O145" i="7"/>
  <c r="O144" i="7"/>
  <c r="O143" i="7"/>
  <c r="O142" i="7"/>
  <c r="O141" i="7"/>
  <c r="O140" i="7"/>
  <c r="O139" i="7"/>
  <c r="O138" i="7"/>
  <c r="O137" i="7"/>
  <c r="O136" i="7"/>
  <c r="O135" i="7"/>
  <c r="O134" i="7"/>
  <c r="O133" i="7"/>
  <c r="O132" i="7"/>
  <c r="O131" i="7"/>
  <c r="O130" i="7"/>
  <c r="O129" i="7"/>
  <c r="O128" i="7"/>
  <c r="O127" i="7"/>
  <c r="O126" i="7"/>
  <c r="O125" i="7"/>
  <c r="O124" i="7"/>
  <c r="O123" i="7"/>
  <c r="O122" i="7"/>
  <c r="O121" i="7"/>
  <c r="O120" i="7"/>
  <c r="O119" i="7"/>
  <c r="O118" i="7"/>
  <c r="O117" i="7"/>
  <c r="O116" i="7"/>
  <c r="O115" i="7"/>
  <c r="O114" i="7"/>
  <c r="O113" i="7"/>
  <c r="O112" i="7"/>
  <c r="O111" i="7"/>
  <c r="O110" i="7"/>
  <c r="O109" i="7"/>
  <c r="O108" i="7"/>
  <c r="O107" i="7"/>
  <c r="O106" i="7"/>
  <c r="O105" i="7"/>
  <c r="O104" i="7"/>
  <c r="O103" i="7"/>
  <c r="O102" i="7"/>
  <c r="O101" i="7"/>
  <c r="O100" i="7"/>
  <c r="O99" i="7"/>
  <c r="O98" i="7"/>
  <c r="O97" i="7"/>
  <c r="O96" i="7"/>
  <c r="O95" i="7"/>
  <c r="O94" i="7"/>
  <c r="O93" i="7"/>
  <c r="O92" i="7"/>
  <c r="O91" i="7"/>
  <c r="O90" i="7"/>
  <c r="O89" i="7"/>
  <c r="O88" i="7"/>
  <c r="O87" i="7"/>
  <c r="O86" i="7"/>
  <c r="O85" i="7"/>
  <c r="O84" i="7"/>
  <c r="O83" i="7"/>
  <c r="O82" i="7"/>
  <c r="O81" i="7"/>
  <c r="O80" i="7"/>
  <c r="O79" i="7"/>
  <c r="O78" i="7"/>
  <c r="O77" i="7"/>
  <c r="O76"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O33" i="7"/>
  <c r="O32" i="7"/>
  <c r="O31" i="7"/>
  <c r="O30" i="7"/>
  <c r="O29" i="7"/>
  <c r="O28" i="7"/>
  <c r="O27" i="7"/>
  <c r="O26" i="7"/>
  <c r="O25" i="7"/>
  <c r="O24" i="7"/>
  <c r="O23" i="7"/>
  <c r="O22" i="7"/>
  <c r="O21" i="7"/>
  <c r="O20" i="7"/>
  <c r="O19" i="7"/>
  <c r="O18" i="7"/>
  <c r="O17" i="7"/>
  <c r="O16" i="7"/>
  <c r="O15" i="7"/>
  <c r="O14" i="7"/>
  <c r="O13" i="7"/>
  <c r="O12" i="7"/>
  <c r="O11" i="7"/>
  <c r="O10" i="7"/>
  <c r="P154" i="6"/>
  <c r="P151" i="6"/>
  <c r="P149" i="6"/>
  <c r="P148" i="6"/>
  <c r="P145" i="6"/>
  <c r="P144" i="6"/>
  <c r="P143" i="6"/>
  <c r="P142" i="6"/>
  <c r="P141" i="6"/>
  <c r="P135" i="6"/>
  <c r="P134" i="6"/>
  <c r="P133" i="6"/>
  <c r="P132" i="6"/>
  <c r="P126" i="6"/>
  <c r="P125" i="6"/>
  <c r="P122" i="6"/>
  <c r="P121" i="6"/>
  <c r="P120" i="6"/>
  <c r="P119" i="6"/>
  <c r="P118" i="6"/>
  <c r="P112" i="6"/>
  <c r="P111" i="6"/>
  <c r="P110" i="6"/>
  <c r="P109" i="6"/>
  <c r="P108" i="6"/>
  <c r="P107" i="6"/>
  <c r="P101" i="6"/>
  <c r="P100" i="6"/>
  <c r="AH99" i="6"/>
  <c r="AG99" i="6"/>
  <c r="P99" i="6" s="1"/>
  <c r="P98" i="6"/>
  <c r="P97" i="6"/>
  <c r="P95" i="6"/>
  <c r="P92" i="6"/>
  <c r="P90" i="6"/>
  <c r="P88" i="6"/>
  <c r="P87" i="6"/>
  <c r="P85" i="6"/>
  <c r="P84" i="6"/>
  <c r="P82" i="6"/>
  <c r="P81" i="6"/>
  <c r="P80" i="6"/>
  <c r="P79" i="6"/>
  <c r="P77" i="6"/>
  <c r="P75" i="6"/>
  <c r="P74" i="6"/>
  <c r="P72" i="6"/>
  <c r="P71" i="6"/>
  <c r="P69" i="6"/>
  <c r="P68" i="6"/>
  <c r="P65" i="6"/>
  <c r="P64" i="6"/>
  <c r="P63" i="6"/>
  <c r="P62" i="6"/>
  <c r="P59" i="6"/>
  <c r="P58" i="6"/>
  <c r="P57" i="6"/>
  <c r="P55" i="6"/>
  <c r="P54" i="6"/>
  <c r="P53" i="6"/>
  <c r="P52" i="6"/>
  <c r="P51" i="6"/>
  <c r="P50" i="6"/>
  <c r="P49" i="6"/>
  <c r="P48" i="6"/>
  <c r="P47" i="6"/>
  <c r="P46" i="6"/>
  <c r="P45" i="6"/>
  <c r="P44" i="6"/>
  <c r="P43" i="6"/>
  <c r="P42" i="6"/>
  <c r="P41" i="6"/>
  <c r="P40" i="6"/>
  <c r="P39" i="6"/>
  <c r="P38" i="6"/>
  <c r="P35" i="6"/>
  <c r="P34" i="6"/>
  <c r="P33" i="6"/>
  <c r="P32" i="6"/>
  <c r="P31" i="6"/>
  <c r="P30" i="6"/>
  <c r="P26" i="6"/>
  <c r="P25" i="6"/>
  <c r="P24" i="6"/>
  <c r="P23" i="6"/>
  <c r="P21" i="6"/>
  <c r="P20" i="6"/>
  <c r="P19" i="6"/>
  <c r="P18" i="6"/>
  <c r="P17" i="6"/>
  <c r="P16" i="6"/>
  <c r="P14" i="6"/>
  <c r="P13" i="6"/>
  <c r="P12" i="6"/>
  <c r="P11" i="6"/>
  <c r="P10" i="6"/>
  <c r="P9" i="6"/>
  <c r="P8" i="6"/>
  <c r="N80" i="5"/>
  <c r="N79" i="5"/>
  <c r="N78" i="5"/>
  <c r="N77" i="5"/>
  <c r="N76" i="5"/>
  <c r="N72" i="5"/>
  <c r="N71" i="5"/>
  <c r="N70" i="5"/>
  <c r="N69" i="5"/>
  <c r="N68" i="5"/>
  <c r="N67" i="5"/>
  <c r="N66" i="5"/>
  <c r="N65" i="5"/>
  <c r="N64" i="5"/>
  <c r="N60" i="5"/>
  <c r="N59" i="5"/>
  <c r="N58" i="5"/>
  <c r="N57" i="5"/>
  <c r="N56" i="5"/>
  <c r="N55" i="5"/>
  <c r="N54" i="5"/>
  <c r="N53" i="5"/>
  <c r="N52" i="5"/>
  <c r="N51" i="5"/>
  <c r="N50" i="5"/>
  <c r="N49" i="5"/>
  <c r="N48" i="5"/>
  <c r="N47" i="5"/>
  <c r="N46" i="5"/>
  <c r="N42" i="5"/>
  <c r="N41" i="5"/>
  <c r="N40" i="5"/>
  <c r="N39" i="5"/>
  <c r="N38" i="5"/>
  <c r="N37" i="5"/>
  <c r="N36" i="5"/>
  <c r="N35" i="5"/>
  <c r="N34" i="5"/>
  <c r="N33" i="5"/>
  <c r="N32" i="5"/>
  <c r="N31" i="5"/>
  <c r="N30" i="5"/>
  <c r="N23" i="5"/>
  <c r="N22" i="5"/>
  <c r="N21" i="5"/>
  <c r="N20" i="5"/>
  <c r="AV19" i="5"/>
  <c r="AF19" i="5"/>
  <c r="AE19" i="5"/>
  <c r="AC19" i="5"/>
  <c r="AB19" i="5"/>
  <c r="V19" i="5"/>
  <c r="U19" i="5"/>
  <c r="Q19" i="5"/>
  <c r="N19" i="5" s="1"/>
  <c r="N18" i="5"/>
  <c r="N17" i="5"/>
  <c r="N16" i="5"/>
  <c r="N15" i="5"/>
  <c r="N14" i="5"/>
  <c r="U76" i="4"/>
  <c r="Q76" i="4"/>
  <c r="O76" i="4"/>
  <c r="U75" i="4"/>
  <c r="Q75" i="4"/>
  <c r="O75" i="4" s="1"/>
  <c r="U74" i="4"/>
  <c r="Q74" i="4"/>
  <c r="O74" i="4" s="1"/>
  <c r="U73" i="4"/>
  <c r="Q73" i="4"/>
  <c r="O73" i="4"/>
  <c r="O70" i="4"/>
  <c r="O69" i="4"/>
  <c r="O68" i="4"/>
  <c r="O65" i="4"/>
  <c r="O64" i="4"/>
  <c r="O63" i="4"/>
  <c r="O62" i="4"/>
  <c r="O61" i="4"/>
  <c r="O60" i="4"/>
  <c r="O59" i="4"/>
  <c r="O58" i="4"/>
  <c r="O57" i="4"/>
  <c r="O53" i="4"/>
  <c r="O52" i="4"/>
  <c r="O51" i="4"/>
  <c r="O50" i="4"/>
  <c r="O49" i="4"/>
  <c r="O46" i="4"/>
  <c r="O45" i="4"/>
  <c r="O44" i="4"/>
  <c r="O43" i="4"/>
  <c r="O42" i="4"/>
  <c r="O41" i="4"/>
  <c r="AG40" i="4"/>
  <c r="AF40" i="4"/>
  <c r="O40" i="4"/>
  <c r="O36" i="4"/>
  <c r="O35" i="4"/>
  <c r="O34" i="4"/>
  <c r="O31" i="4"/>
  <c r="O30" i="4"/>
  <c r="O29" i="4"/>
  <c r="O28" i="4"/>
  <c r="O27" i="4"/>
  <c r="O26" i="4"/>
  <c r="O25" i="4"/>
  <c r="O21" i="4"/>
  <c r="O20" i="4"/>
  <c r="O19" i="4"/>
  <c r="O18" i="4"/>
  <c r="O17" i="4"/>
  <c r="O16" i="4"/>
  <c r="O15" i="4"/>
  <c r="O14" i="4"/>
  <c r="O13" i="4"/>
  <c r="O12" i="4"/>
  <c r="O11" i="4"/>
  <c r="AH179" i="3"/>
  <c r="AG179" i="3"/>
  <c r="P179" i="3"/>
  <c r="AH175" i="3"/>
  <c r="AG175" i="3"/>
  <c r="P175" i="3" s="1"/>
  <c r="P170" i="3"/>
  <c r="P166" i="3"/>
  <c r="P165" i="3"/>
  <c r="P164" i="3"/>
  <c r="P160" i="3"/>
  <c r="P156" i="3"/>
  <c r="P152" i="3"/>
  <c r="P151" i="3"/>
  <c r="P150" i="3"/>
  <c r="P146" i="3"/>
  <c r="P145" i="3"/>
  <c r="P144" i="3"/>
  <c r="P141" i="3"/>
  <c r="P140" i="3"/>
  <c r="P138" i="3"/>
  <c r="P137" i="3"/>
  <c r="P136" i="3"/>
  <c r="P135" i="3"/>
  <c r="P134" i="3"/>
  <c r="P131" i="3"/>
  <c r="P130" i="3"/>
  <c r="P129" i="3"/>
  <c r="AH128" i="3"/>
  <c r="AG128" i="3"/>
  <c r="P128" i="3" s="1"/>
  <c r="AH127" i="3"/>
  <c r="AG127" i="3"/>
  <c r="P127" i="3" s="1"/>
  <c r="V111" i="3"/>
  <c r="R111" i="3"/>
  <c r="P111" i="3"/>
  <c r="P110" i="3"/>
  <c r="P109" i="3"/>
  <c r="P108" i="3"/>
  <c r="V103" i="3"/>
  <c r="R103" i="3"/>
  <c r="P103" i="3" s="1"/>
  <c r="P102" i="3"/>
  <c r="P101" i="3"/>
  <c r="P100" i="3"/>
  <c r="P99" i="3"/>
  <c r="P98" i="3"/>
  <c r="V94" i="3"/>
  <c r="R94" i="3"/>
  <c r="P94" i="3"/>
  <c r="P89" i="3"/>
  <c r="P85" i="3"/>
  <c r="P81" i="3"/>
  <c r="P80" i="3"/>
  <c r="P79" i="3"/>
  <c r="P78" i="3"/>
  <c r="P74" i="3"/>
  <c r="P70" i="3"/>
  <c r="P66" i="3"/>
  <c r="P65" i="3"/>
  <c r="P64" i="3"/>
  <c r="P63" i="3"/>
  <c r="P59" i="3"/>
  <c r="P58" i="3"/>
  <c r="P57" i="3"/>
  <c r="P56" i="3"/>
  <c r="P53" i="3"/>
  <c r="P52" i="3"/>
  <c r="P51" i="3"/>
  <c r="P50" i="3"/>
  <c r="P47" i="3"/>
  <c r="P44" i="3"/>
  <c r="P43" i="3"/>
  <c r="P42" i="3"/>
  <c r="P41" i="3"/>
  <c r="P38" i="3"/>
  <c r="P37" i="3"/>
  <c r="P36" i="3"/>
  <c r="P35" i="3"/>
  <c r="V32" i="3"/>
  <c r="R32" i="3"/>
  <c r="P32" i="3" s="1"/>
  <c r="P31" i="3"/>
  <c r="P30" i="3"/>
  <c r="P29" i="3"/>
  <c r="V26" i="3"/>
  <c r="R26" i="3"/>
  <c r="P26" i="3" s="1"/>
  <c r="P25" i="3"/>
  <c r="P24" i="3"/>
  <c r="P23" i="3"/>
  <c r="R197" i="2"/>
  <c r="R196" i="2"/>
  <c r="R195" i="2"/>
  <c r="R193" i="2"/>
  <c r="R184" i="2"/>
  <c r="R183" i="2"/>
  <c r="R182" i="2"/>
  <c r="R181" i="2"/>
  <c r="R180" i="2"/>
  <c r="R179" i="2"/>
  <c r="R178" i="2"/>
  <c r="R177" i="2"/>
  <c r="R170" i="2"/>
  <c r="R169" i="2"/>
  <c r="R168" i="2"/>
  <c r="R167" i="2"/>
  <c r="R166" i="2"/>
  <c r="R158" i="2"/>
  <c r="R157" i="2"/>
  <c r="R156" i="2"/>
  <c r="R155" i="2"/>
  <c r="R154" i="2"/>
  <c r="R153" i="2"/>
  <c r="R143" i="2"/>
  <c r="AJ142" i="2"/>
  <c r="AI142" i="2"/>
  <c r="R142" i="2" s="1"/>
  <c r="R130" i="2"/>
  <c r="R129" i="2"/>
  <c r="R128" i="2"/>
  <c r="R108" i="2"/>
  <c r="R107" i="2"/>
  <c r="R106" i="2"/>
  <c r="R105" i="2"/>
  <c r="AZ90" i="2"/>
  <c r="AG90" i="2"/>
  <c r="AF90" i="2"/>
  <c r="R90" i="2" s="1"/>
  <c r="AZ89" i="2"/>
  <c r="R89" i="2" s="1"/>
  <c r="R88" i="2"/>
  <c r="R87" i="2"/>
  <c r="R86" i="2"/>
  <c r="R85" i="2"/>
  <c r="R84" i="2"/>
  <c r="R67" i="2"/>
  <c r="R66" i="2"/>
  <c r="R65" i="2"/>
  <c r="R55" i="2"/>
  <c r="R54" i="2"/>
  <c r="AJ53" i="2"/>
  <c r="AI53" i="2"/>
  <c r="AG53" i="2"/>
  <c r="AF53" i="2"/>
  <c r="R53" i="2" s="1"/>
  <c r="AZ52" i="2"/>
  <c r="AJ52" i="2"/>
  <c r="AI52" i="2"/>
  <c r="AG52" i="2"/>
  <c r="AF52" i="2"/>
  <c r="R52" i="2" s="1"/>
  <c r="AJ41" i="2"/>
  <c r="AI41" i="2"/>
  <c r="R41" i="2"/>
  <c r="AX40" i="2"/>
  <c r="AW40" i="2"/>
  <c r="AV40" i="2"/>
  <c r="AU40" i="2"/>
  <c r="AT40" i="2"/>
  <c r="AS40" i="2"/>
  <c r="AJ40" i="2"/>
  <c r="AI40" i="2"/>
  <c r="R40" i="2" s="1"/>
  <c r="R39" i="2"/>
  <c r="R38" i="2"/>
  <c r="R37" i="2"/>
  <c r="AJ36" i="2"/>
  <c r="AI36" i="2"/>
  <c r="R36" i="2" s="1"/>
  <c r="R35" i="2"/>
  <c r="AZ23" i="2"/>
  <c r="R23" i="2" s="1"/>
  <c r="AZ22" i="2"/>
  <c r="AG22" i="2"/>
  <c r="AF22" i="2"/>
  <c r="R22" i="2" s="1"/>
  <c r="R21" i="2"/>
  <c r="R20" i="2"/>
  <c r="R19" i="2"/>
  <c r="AZ18" i="2"/>
  <c r="AG18" i="2"/>
  <c r="AF18" i="2"/>
  <c r="R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AF18" authorId="0" shapeId="0" xr:uid="{00000000-0006-0000-0100-000001000000}">
      <text>
        <r>
          <rPr>
            <sz val="11"/>
            <color theme="1"/>
            <rFont val="Calibri"/>
            <family val="2"/>
            <scheme val="minor"/>
          </rPr>
          <t>HEC:
Assumed Location of UPS PDP at field
- PCCTV
- Industrial Wifi
-  Flashin Beacon</t>
        </r>
      </text>
    </comment>
    <comment ref="AG18" authorId="0" shapeId="0" xr:uid="{00000000-0006-0000-0100-000002000000}">
      <text>
        <r>
          <rPr>
            <sz val="11"/>
            <color theme="1"/>
            <rFont val="Calibri"/>
            <family val="2"/>
            <scheme val="minor"/>
          </rPr>
          <t>HEC:
Assumed Location of UPS PDP at field
- PCCTV
- Industrial Wifi
- Flashin Beacon</t>
        </r>
      </text>
    </comment>
    <comment ref="AZ18" authorId="0" shapeId="0" xr:uid="{00000000-0006-0000-0100-000003000000}">
      <text>
        <r>
          <rPr>
            <sz val="11"/>
            <color theme="1"/>
            <rFont val="Calibri"/>
            <family val="2"/>
            <scheme val="minor"/>
          </rPr>
          <t>HEC:
Assumed Location of UPS PDP at field
Security CCTV</t>
        </r>
      </text>
    </comment>
    <comment ref="AF22" authorId="0" shapeId="0" xr:uid="{00000000-0006-0000-0100-000004000000}">
      <text>
        <r>
          <rPr>
            <sz val="11"/>
            <color theme="1"/>
            <rFont val="Calibri"/>
            <family val="2"/>
            <scheme val="minor"/>
          </rPr>
          <t>HEC:
ESS JB Power from PIB</t>
        </r>
      </text>
    </comment>
    <comment ref="AG22" authorId="0" shapeId="0" xr:uid="{00000000-0006-0000-0100-000005000000}">
      <text>
        <r>
          <rPr>
            <sz val="11"/>
            <color theme="1"/>
            <rFont val="Calibri"/>
            <family val="2"/>
            <scheme val="minor"/>
          </rPr>
          <t>HEC:
ESS JB Power from PIB</t>
        </r>
      </text>
    </comment>
    <comment ref="AI36" authorId="0" shapeId="0" xr:uid="{00000000-0006-0000-0100-000006000000}">
      <text>
        <r>
          <rPr>
            <sz val="11"/>
            <color theme="1"/>
            <rFont val="Calibri"/>
            <family val="2"/>
            <scheme val="minor"/>
          </rPr>
          <t>HEC:
Power for the SACS Local Controller</t>
        </r>
      </text>
    </comment>
    <comment ref="AJ36" authorId="0" shapeId="0" xr:uid="{00000000-0006-0000-0100-000007000000}">
      <text>
        <r>
          <rPr>
            <sz val="11"/>
            <color theme="1"/>
            <rFont val="Calibri"/>
            <family val="2"/>
            <scheme val="minor"/>
          </rPr>
          <t>HEC:
Power for the SACS Local Controller</t>
        </r>
      </text>
    </comment>
    <comment ref="AI40" authorId="0" shapeId="0" xr:uid="{00000000-0006-0000-0100-000008000000}">
      <text>
        <r>
          <rPr>
            <sz val="11"/>
            <color theme="1"/>
            <rFont val="Calibri"/>
            <family val="2"/>
            <scheme val="minor"/>
          </rPr>
          <t>HEC:
UPS Power SACS Cabinet &amp; PCCTV Cabinet &amp;
1 x UPS Power for Data Network</t>
        </r>
      </text>
    </comment>
    <comment ref="AJ40" authorId="0" shapeId="0" xr:uid="{00000000-0006-0000-0100-000009000000}">
      <text>
        <r>
          <rPr>
            <sz val="11"/>
            <color theme="1"/>
            <rFont val="Calibri"/>
            <family val="2"/>
            <scheme val="minor"/>
          </rPr>
          <t>HEC:
UPS Power SACS Cabinet &amp; PCCTV Cabinet
&amp; IVPS Cabinet
&amp; 2 x UPS Power for Data Network
&amp;
2 x Emergency Siren System</t>
        </r>
      </text>
    </comment>
    <comment ref="AS40" authorId="0" shapeId="0" xr:uid="{00000000-0006-0000-0100-00000A000000}">
      <text>
        <r>
          <rPr>
            <sz val="11"/>
            <color theme="1"/>
            <rFont val="Calibri"/>
            <family val="2"/>
            <scheme val="minor"/>
          </rPr>
          <t>HEC:
UPS Power SACS Cabinet &amp; PCCTV Cabinet
&amp; IVPS Cabinet &amp;
2 x UPS Power for Data Network</t>
        </r>
      </text>
    </comment>
    <comment ref="AT40" authorId="0" shapeId="0" xr:uid="{00000000-0006-0000-0100-00000B000000}">
      <text>
        <r>
          <rPr>
            <sz val="11"/>
            <color theme="1"/>
            <rFont val="Calibri"/>
            <family val="2"/>
            <scheme val="minor"/>
          </rPr>
          <t>HEC:
UPS Power SACS Cabinet</t>
        </r>
      </text>
    </comment>
    <comment ref="AU40" authorId="0" shapeId="0" xr:uid="{00000000-0006-0000-0100-00000C000000}">
      <text>
        <r>
          <rPr>
            <sz val="11"/>
            <color theme="1"/>
            <rFont val="Calibri"/>
            <family val="2"/>
            <scheme val="minor"/>
          </rPr>
          <t>HEC:
2 x UPS Power for Data Network</t>
        </r>
      </text>
    </comment>
    <comment ref="AV40" authorId="0" shapeId="0" xr:uid="{00000000-0006-0000-0100-00000D000000}">
      <text>
        <r>
          <rPr>
            <sz val="11"/>
            <color theme="1"/>
            <rFont val="Calibri"/>
            <family val="2"/>
            <scheme val="minor"/>
          </rPr>
          <t>HEC:
UPS Power SACS Cabinet</t>
        </r>
      </text>
    </comment>
    <comment ref="AW40" authorId="0" shapeId="0" xr:uid="{00000000-0006-0000-0100-00000E000000}">
      <text>
        <r>
          <rPr>
            <sz val="11"/>
            <color theme="1"/>
            <rFont val="Calibri"/>
            <family val="2"/>
            <scheme val="minor"/>
          </rPr>
          <t>HEC:
UPS Power SACS Cabinet</t>
        </r>
      </text>
    </comment>
    <comment ref="AX40" authorId="0" shapeId="0" xr:uid="{00000000-0006-0000-0100-00000F000000}">
      <text>
        <r>
          <rPr>
            <sz val="11"/>
            <color theme="1"/>
            <rFont val="Calibri"/>
            <family val="2"/>
            <scheme val="minor"/>
          </rPr>
          <t>HEC:
UPS Power for IVPS</t>
        </r>
      </text>
    </comment>
    <comment ref="AI41" authorId="0" shapeId="0" xr:uid="{00000000-0006-0000-0100-000010000000}">
      <text>
        <r>
          <rPr>
            <sz val="11"/>
            <color theme="1"/>
            <rFont val="Calibri"/>
            <family val="2"/>
            <scheme val="minor"/>
          </rPr>
          <t>HEC:
Control for the SACS Local Controller</t>
        </r>
      </text>
    </comment>
    <comment ref="AJ41" authorId="0" shapeId="0" xr:uid="{00000000-0006-0000-0100-000011000000}">
      <text>
        <r>
          <rPr>
            <sz val="11"/>
            <color theme="1"/>
            <rFont val="Calibri"/>
            <family val="2"/>
            <scheme val="minor"/>
          </rPr>
          <t>HEC:
Control for the SACS Local Controller</t>
        </r>
      </text>
    </comment>
    <comment ref="AF52" authorId="0" shapeId="0" xr:uid="{00000000-0006-0000-0100-000012000000}">
      <text>
        <r>
          <rPr>
            <sz val="11"/>
            <color theme="1"/>
            <rFont val="Calibri"/>
            <family val="2"/>
            <scheme val="minor"/>
          </rPr>
          <t>HEC:
Speaker, PCCTV, Flashing Beacon, ESS Siren JB</t>
        </r>
      </text>
    </comment>
    <comment ref="AG52" authorId="0" shapeId="0" xr:uid="{00000000-0006-0000-0100-000013000000}">
      <text>
        <r>
          <rPr>
            <sz val="11"/>
            <color theme="1"/>
            <rFont val="Calibri"/>
            <family val="2"/>
            <scheme val="minor"/>
          </rPr>
          <t>HEC:
Speaker, PCCTV, Flashing Beacon, ESS Siren JB</t>
        </r>
      </text>
    </comment>
    <comment ref="AI52" authorId="0" shapeId="0" xr:uid="{00000000-0006-0000-0100-000014000000}">
      <text>
        <r>
          <rPr>
            <sz val="11"/>
            <color theme="1"/>
            <rFont val="Calibri"/>
            <family val="2"/>
            <scheme val="minor"/>
          </rPr>
          <t>HEC:
Speaker, SACS CCTV &amp; PCCTV</t>
        </r>
      </text>
    </comment>
    <comment ref="AJ52" authorId="0" shapeId="0" xr:uid="{00000000-0006-0000-0100-000015000000}">
      <text>
        <r>
          <rPr>
            <sz val="11"/>
            <color theme="1"/>
            <rFont val="Calibri"/>
            <family val="2"/>
            <scheme val="minor"/>
          </rPr>
          <t>HEC:
Speaker, SACS CCTV &amp; PCCTV</t>
        </r>
      </text>
    </comment>
    <comment ref="AZ52" authorId="0" shapeId="0" xr:uid="{00000000-0006-0000-0100-000016000000}">
      <text>
        <r>
          <rPr>
            <sz val="11"/>
            <color theme="1"/>
            <rFont val="Calibri"/>
            <family val="2"/>
            <scheme val="minor"/>
          </rPr>
          <t>HEC:
SACS CCTV &amp; MSB</t>
        </r>
      </text>
    </comment>
    <comment ref="AF53" authorId="0" shapeId="0" xr:uid="{00000000-0006-0000-0100-000017000000}">
      <text>
        <r>
          <rPr>
            <sz val="11"/>
            <color theme="1"/>
            <rFont val="Calibri"/>
            <family val="2"/>
            <scheme val="minor"/>
          </rPr>
          <t>HEC:
Speaker JB &amp; Call Station &amp; Industrial Wifi, Amp. enclosure</t>
        </r>
      </text>
    </comment>
    <comment ref="AG53" authorId="0" shapeId="0" xr:uid="{00000000-0006-0000-0100-000018000000}">
      <text>
        <r>
          <rPr>
            <sz val="11"/>
            <color theme="1"/>
            <rFont val="Calibri"/>
            <family val="2"/>
            <scheme val="minor"/>
          </rPr>
          <t>HEC:
Speaker JB &amp; Call Station &amp; Industrial Wifi, Amp. enclosure</t>
        </r>
      </text>
    </comment>
    <comment ref="AI53" authorId="0" shapeId="0" xr:uid="{00000000-0006-0000-0100-000019000000}">
      <text>
        <r>
          <rPr>
            <sz val="11"/>
            <color theme="1"/>
            <rFont val="Calibri"/>
            <family val="2"/>
            <scheme val="minor"/>
          </rPr>
          <t>HEC:
Amp. enclosure</t>
        </r>
      </text>
    </comment>
    <comment ref="AJ53" authorId="0" shapeId="0" xr:uid="{00000000-0006-0000-0100-00001A000000}">
      <text>
        <r>
          <rPr>
            <sz val="11"/>
            <color theme="1"/>
            <rFont val="Calibri"/>
            <family val="2"/>
            <scheme val="minor"/>
          </rPr>
          <t>HEC:
Amp. enclosure</t>
        </r>
      </text>
    </comment>
    <comment ref="AS84" authorId="0" shapeId="0" xr:uid="{E8190D37-8D6F-4EA9-92EA-4EE9EF3E4536}">
      <text>
        <r>
          <rPr>
            <sz val="11"/>
            <color theme="1"/>
            <rFont val="Calibri"/>
            <family val="2"/>
            <scheme val="minor"/>
          </rPr>
          <t>HEC:
IT</t>
        </r>
      </text>
    </comment>
    <comment ref="AS87" authorId="0" shapeId="0" xr:uid="{1583C8E9-7F1A-42D1-8B76-0384A57E5091}">
      <text>
        <r>
          <rPr>
            <sz val="11"/>
            <color theme="1"/>
            <rFont val="Calibri"/>
            <family val="2"/>
            <scheme val="minor"/>
          </rPr>
          <t>HEC:
PAS</t>
        </r>
      </text>
    </comment>
    <comment ref="AS88" authorId="0" shapeId="0" xr:uid="{CE7FC94C-10AF-482E-8010-3A8A678C17F7}">
      <text>
        <r>
          <rPr>
            <sz val="11"/>
            <color theme="1"/>
            <rFont val="Calibri"/>
            <family val="2"/>
            <scheme val="minor"/>
          </rPr>
          <t>HEC:
PSA: 16800 meters
SACS: 470 meters
PMS: 5180 meters</t>
        </r>
      </text>
    </comment>
    <comment ref="U89" authorId="0" shapeId="0" xr:uid="{00000000-0006-0000-0100-00001E000000}">
      <text>
        <r>
          <rPr>
            <sz val="11"/>
            <color theme="1"/>
            <rFont val="Calibri"/>
            <family val="2"/>
            <scheme val="minor"/>
          </rPr>
          <t>HEC:
Analyzer Shelter</t>
        </r>
      </text>
    </comment>
    <comment ref="AF89" authorId="0" shapeId="0" xr:uid="{00000000-0006-0000-0100-00001F000000}">
      <text>
        <r>
          <rPr>
            <sz val="11"/>
            <color theme="1"/>
            <rFont val="Calibri"/>
            <family val="2"/>
            <scheme val="minor"/>
          </rPr>
          <t>HEC:
Analyzer Shelter</t>
        </r>
      </text>
    </comment>
    <comment ref="AG89" authorId="0" shapeId="0" xr:uid="{00000000-0006-0000-0100-000020000000}">
      <text>
        <r>
          <rPr>
            <sz val="11"/>
            <color theme="1"/>
            <rFont val="Calibri"/>
            <family val="2"/>
            <scheme val="minor"/>
          </rPr>
          <t>HEC:
Analyzer Shelter</t>
        </r>
      </text>
    </comment>
    <comment ref="AZ89" authorId="0" shapeId="0" xr:uid="{00000000-0006-0000-0100-000021000000}">
      <text>
        <r>
          <rPr>
            <sz val="11"/>
            <color theme="1"/>
            <rFont val="Calibri"/>
            <family val="2"/>
            <scheme val="minor"/>
          </rPr>
          <t>HEC:
FEC Cabinet to RTU (Assumed Length)</t>
        </r>
      </text>
    </comment>
    <comment ref="U90" authorId="0" shapeId="0" xr:uid="{00000000-0006-0000-0100-000022000000}">
      <text>
        <r>
          <rPr>
            <sz val="11"/>
            <color theme="1"/>
            <rFont val="Calibri"/>
            <family val="2"/>
            <scheme val="minor"/>
          </rPr>
          <t>HEC:
PCCTV</t>
        </r>
      </text>
    </comment>
    <comment ref="AF90" authorId="0" shapeId="0" xr:uid="{00000000-0006-0000-0100-000023000000}">
      <text>
        <r>
          <rPr>
            <sz val="11"/>
            <color theme="1"/>
            <rFont val="Calibri"/>
            <family val="2"/>
            <scheme val="minor"/>
          </rPr>
          <t>HEC:
PCCTV to PIB</t>
        </r>
      </text>
    </comment>
    <comment ref="AG90" authorId="0" shapeId="0" xr:uid="{00000000-0006-0000-0100-000024000000}">
      <text>
        <r>
          <rPr>
            <sz val="11"/>
            <color theme="1"/>
            <rFont val="Calibri"/>
            <family val="2"/>
            <scheme val="minor"/>
          </rPr>
          <t>HEC:
PCCTV to PIB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R26" authorId="0" shapeId="0" xr:uid="{00000000-0006-0000-0200-000001000000}">
      <text>
        <r>
          <rPr>
            <sz val="11"/>
            <color theme="1"/>
            <rFont val="Calibri"/>
            <family val="2"/>
            <scheme val="minor"/>
          </rPr>
          <t>HEC:
150m
6500m OSP Security
5800m OSP PAS
5700m OSP PSA</t>
        </r>
      </text>
    </comment>
    <comment ref="R32" authorId="0" shapeId="0" xr:uid="{00000000-0006-0000-0200-000002000000}">
      <text>
        <r>
          <rPr>
            <sz val="11"/>
            <color theme="1"/>
            <rFont val="Calibri"/>
            <family val="2"/>
            <scheme val="minor"/>
          </rPr>
          <t>HEC:
150m
6500m OSP Security
5800m OSP PAS
5700m OSP PSA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AF40" authorId="0" shapeId="0" xr:uid="{00000000-0006-0000-0300-000001000000}">
      <text>
        <r>
          <rPr>
            <sz val="11"/>
            <color theme="1"/>
            <rFont val="Calibri"/>
            <family val="2"/>
            <scheme val="minor"/>
          </rPr>
          <t>HEC:
IVPS=170meters
SCS=45meters</t>
        </r>
      </text>
    </comment>
    <comment ref="AG40" authorId="0" shapeId="0" xr:uid="{00000000-0006-0000-0300-000002000000}">
      <text>
        <r>
          <rPr>
            <sz val="11"/>
            <color theme="1"/>
            <rFont val="Calibri"/>
            <family val="2"/>
            <scheme val="minor"/>
          </rPr>
          <t>HEC:
IVPS=180meters
SCS=355meters</t>
        </r>
      </text>
    </comment>
    <comment ref="AC50" authorId="0" shapeId="0" xr:uid="{00000000-0006-0000-0300-000003000000}">
      <text>
        <r>
          <rPr>
            <sz val="11"/>
            <color theme="1"/>
            <rFont val="Calibri"/>
            <family val="2"/>
            <scheme val="minor"/>
          </rPr>
          <t>HEC:
FO PCCTV</t>
        </r>
      </text>
    </comment>
    <comment ref="AD50" authorId="0" shapeId="0" xr:uid="{00000000-0006-0000-0300-000004000000}">
      <text>
        <r>
          <rPr>
            <sz val="11"/>
            <color theme="1"/>
            <rFont val="Calibri"/>
            <family val="2"/>
            <scheme val="minor"/>
          </rPr>
          <t>HEC:
FO PCCTV</t>
        </r>
      </text>
    </comment>
    <comment ref="Q73" authorId="0" shapeId="0" xr:uid="{00000000-0006-0000-0300-000005000000}">
      <text>
        <r>
          <rPr>
            <sz val="11"/>
            <color theme="1"/>
            <rFont val="Calibri"/>
            <family val="2"/>
            <scheme val="minor"/>
          </rPr>
          <t>HEC:
IT:9000
Non-IT:2000
Security:1000</t>
        </r>
      </text>
    </comment>
    <comment ref="Q74" authorId="0" shapeId="0" xr:uid="{00000000-0006-0000-0300-000006000000}">
      <text>
        <r>
          <rPr>
            <sz val="11"/>
            <color theme="1"/>
            <rFont val="Calibri"/>
            <family val="2"/>
            <scheme val="minor"/>
          </rPr>
          <t>HEC:
IT:9000
Non-IT:2000
Security:1000</t>
        </r>
      </text>
    </comment>
    <comment ref="Q75" authorId="0" shapeId="0" xr:uid="{00000000-0006-0000-0300-000007000000}">
      <text>
        <r>
          <rPr>
            <sz val="11"/>
            <color theme="1"/>
            <rFont val="Calibri"/>
            <family val="2"/>
            <scheme val="minor"/>
          </rPr>
          <t>HEC:
IT:9000
Non-IT:2000
Security:1000</t>
        </r>
      </text>
    </comment>
    <comment ref="Q76" authorId="0" shapeId="0" xr:uid="{00000000-0006-0000-0300-000008000000}">
      <text>
        <r>
          <rPr>
            <sz val="11"/>
            <color theme="1"/>
            <rFont val="Calibri"/>
            <family val="2"/>
            <scheme val="minor"/>
          </rPr>
          <t>HEC:
IT:9000
Non-IT:2000
Security:1000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Q19" authorId="0" shapeId="0" xr:uid="{00000000-0006-0000-0400-000001000000}">
      <text>
        <r>
          <rPr>
            <sz val="11"/>
            <color theme="1"/>
            <rFont val="Calibri"/>
            <family val="2"/>
            <scheme val="minor"/>
          </rPr>
          <t>HEC:
Speaker, Interom Station, Camera, Wifi</t>
        </r>
      </text>
    </comment>
    <comment ref="U19" authorId="0" shapeId="0" xr:uid="{00000000-0006-0000-0400-000002000000}">
      <text>
        <r>
          <rPr>
            <sz val="11"/>
            <color theme="1"/>
            <rFont val="Calibri"/>
            <family val="2"/>
            <scheme val="minor"/>
          </rPr>
          <t>HEC:
Speaker, CCTV</t>
        </r>
      </text>
    </comment>
    <comment ref="V19" authorId="0" shapeId="0" xr:uid="{00000000-0006-0000-0400-000003000000}">
      <text>
        <r>
          <rPr>
            <sz val="11"/>
            <color theme="1"/>
            <rFont val="Calibri"/>
            <family val="2"/>
            <scheme val="minor"/>
          </rPr>
          <t>HEC:
Speaker, CCTV</t>
        </r>
      </text>
    </comment>
    <comment ref="AB19" authorId="0" shapeId="0" xr:uid="{00000000-0006-0000-0400-000004000000}">
      <text>
        <r>
          <rPr>
            <sz val="11"/>
            <color theme="1"/>
            <rFont val="Calibri"/>
            <family val="2"/>
            <scheme val="minor"/>
          </rPr>
          <t>HEC:
Speaker, Interom Station, Camera, Wifi</t>
        </r>
      </text>
    </comment>
    <comment ref="AC19" authorId="0" shapeId="0" xr:uid="{00000000-0006-0000-0400-000005000000}">
      <text>
        <r>
          <rPr>
            <sz val="11"/>
            <color theme="1"/>
            <rFont val="Calibri"/>
            <family val="2"/>
            <scheme val="minor"/>
          </rPr>
          <t>HEC:
Speaker, Interom Station, Camera, Wifi</t>
        </r>
      </text>
    </comment>
    <comment ref="AE19" authorId="0" shapeId="0" xr:uid="{00000000-0006-0000-0400-000006000000}">
      <text>
        <r>
          <rPr>
            <sz val="11"/>
            <color theme="1"/>
            <rFont val="Calibri"/>
            <family val="2"/>
            <scheme val="minor"/>
          </rPr>
          <t>HEC:
Speaker, CCTV</t>
        </r>
      </text>
    </comment>
    <comment ref="AF19" authorId="0" shapeId="0" xr:uid="{00000000-0006-0000-0400-000007000000}">
      <text>
        <r>
          <rPr>
            <sz val="11"/>
            <color theme="1"/>
            <rFont val="Calibri"/>
            <family val="2"/>
            <scheme val="minor"/>
          </rPr>
          <t>HEC:
Speaker, CCTV</t>
        </r>
      </text>
    </comment>
    <comment ref="AV19" authorId="0" shapeId="0" xr:uid="{00000000-0006-0000-0400-000008000000}">
      <text>
        <r>
          <rPr>
            <sz val="11"/>
            <color theme="1"/>
            <rFont val="Calibri"/>
            <family val="2"/>
            <scheme val="minor"/>
          </rPr>
          <t>HEC:
CCTV Camera, MBS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AG99" authorId="0" shapeId="0" xr:uid="{00000000-0006-0000-0500-000001000000}">
      <text>
        <r>
          <rPr>
            <sz val="11"/>
            <color theme="1"/>
            <rFont val="Calibri"/>
            <family val="2"/>
            <scheme val="minor"/>
          </rPr>
          <t>HEC:
50 for Data outlet (assumed)
38 for Security (as per IFB drawing)</t>
        </r>
      </text>
    </comment>
    <comment ref="AH99" authorId="0" shapeId="0" xr:uid="{00000000-0006-0000-0500-000002000000}">
      <text>
        <r>
          <rPr>
            <sz val="11"/>
            <color theme="1"/>
            <rFont val="Calibri"/>
            <family val="2"/>
            <scheme val="minor"/>
          </rPr>
          <t>HEC:
50 for Data outlet (assumed)
38 for Security (as per IFB drawing)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제제헬프랑카(JEZEHEL FRANCA) 책임매니저</author>
    <author>HEC</author>
  </authors>
  <commentList>
    <comment ref="AP12" authorId="0" shapeId="0" xr:uid="{6BA337CE-F837-4684-A972-1148EC6EC508}">
      <text>
        <r>
          <rPr>
            <sz val="11"/>
            <color theme="1"/>
            <rFont val="Calibri"/>
            <family val="2"/>
            <scheme val="minor"/>
          </rPr>
          <t>제제헬프랑카(JEZEHEL FRANCA) 책임매니저:
Model follows the 60% FEED document</t>
        </r>
      </text>
    </comment>
    <comment ref="V36" authorId="0" shapeId="0" xr:uid="{398F8ACB-48BF-4FC3-B33A-DB0F0939175A}">
      <text>
        <r>
          <rPr>
            <sz val="11"/>
            <color theme="1"/>
            <rFont val="Calibri"/>
            <family val="2"/>
            <scheme val="minor"/>
          </rPr>
          <t xml:space="preserve">제제헬프랑카(JEZEHEL FRANCA) 책임매니저:
TQ No.
IFP2-PK2-CI(TE)-022
apply 3kVA
</t>
        </r>
      </text>
    </comment>
    <comment ref="W36" authorId="0" shapeId="0" xr:uid="{99A672A1-1F2D-4432-AC42-C0FD17545BBE}">
      <text>
        <r>
          <rPr>
            <sz val="11"/>
            <color theme="1"/>
            <rFont val="Calibri"/>
            <family val="2"/>
            <scheme val="minor"/>
          </rPr>
          <t xml:space="preserve">제제헬프랑카(JEZEHEL FRANCA) 책임매니저:
TQ No.
IFP2-PK2-CI(TE)-022
apply 3kVA
</t>
        </r>
      </text>
    </comment>
    <comment ref="Z36" authorId="0" shapeId="0" xr:uid="{7878C530-A11B-4BC2-BF27-BF03409CD8AC}">
      <text>
        <r>
          <rPr>
            <sz val="11"/>
            <color theme="1"/>
            <rFont val="Calibri"/>
            <family val="2"/>
            <scheme val="minor"/>
          </rPr>
          <t xml:space="preserve">제제헬프랑카(JEZEHEL FRANCA) 책임매니저:
TQ No.
IFP2-PK2-CI(TE)-022
apply 3kVA
</t>
        </r>
      </text>
    </comment>
    <comment ref="AF37" authorId="0" shapeId="0" xr:uid="{5C90457B-393B-49C9-B0C9-CF351D683E80}">
      <text>
        <r>
          <rPr>
            <sz val="11"/>
            <color theme="1"/>
            <rFont val="Calibri"/>
            <family val="2"/>
            <scheme val="minor"/>
          </rPr>
          <t xml:space="preserve">제제헬프랑카(JEZEHEL FRANCA) 책임매니저:
TQ No.
IFP2-PK2-CI(TE)-022
Apply 3.5kVA for SS072 and PIB-081
</t>
        </r>
      </text>
    </comment>
    <comment ref="AG37" authorId="0" shapeId="0" xr:uid="{6041836D-04AF-4B17-BEA2-7FD12715B5F3}">
      <text>
        <r>
          <rPr>
            <sz val="11"/>
            <color theme="1"/>
            <rFont val="Calibri"/>
            <family val="2"/>
            <scheme val="minor"/>
          </rPr>
          <t xml:space="preserve">제제헬프랑카(JEZEHEL FRANCA) 책임매니저:
TQ No.
IFP2-PK2-CI(TE)-022
Apply 3.5kVA for SS072 and PIB-081
</t>
        </r>
      </text>
    </comment>
    <comment ref="V39" authorId="0" shapeId="0" xr:uid="{C8CB36D4-6FB1-4E96-A929-AE9103BA4814}">
      <text>
        <r>
          <rPr>
            <sz val="11"/>
            <color theme="1"/>
            <rFont val="Calibri"/>
            <family val="2"/>
            <scheme val="minor"/>
          </rPr>
          <t xml:space="preserve">제제헬프랑카(JEZEHEL FRANCA) 책임매니저:
TQ No.
IFP2-PK2-CI(TE)-022
apply 3kVA
</t>
        </r>
      </text>
    </comment>
    <comment ref="W39" authorId="0" shapeId="0" xr:uid="{14E44A47-DB27-4A1E-B026-06C67007778E}">
      <text>
        <r>
          <rPr>
            <sz val="11"/>
            <color theme="1"/>
            <rFont val="Calibri"/>
            <family val="2"/>
            <scheme val="minor"/>
          </rPr>
          <t xml:space="preserve">제제헬프랑카(JEZEHEL FRANCA) 책임매니저:
TQ No.
IFP2-PK2-CI(TE)-022
apply 3kVA
</t>
        </r>
      </text>
    </comment>
    <comment ref="Z39" authorId="0" shapeId="0" xr:uid="{45D980B2-4CB2-47D3-87EB-3A0B7AF23125}">
      <text>
        <r>
          <rPr>
            <sz val="11"/>
            <color theme="1"/>
            <rFont val="Calibri"/>
            <family val="2"/>
            <scheme val="minor"/>
          </rPr>
          <t xml:space="preserve">제제헬프랑카(JEZEHEL FRANCA) 책임매니저:
TQ No.
IFP2-PK2-CI(TE)-022
apply 3kVA
</t>
        </r>
      </text>
    </comment>
    <comment ref="AF39" authorId="0" shapeId="0" xr:uid="{6D60E32A-C539-470E-882E-8C43832C486C}">
      <text>
        <r>
          <rPr>
            <sz val="11"/>
            <color theme="1"/>
            <rFont val="Calibri"/>
            <family val="2"/>
            <scheme val="minor"/>
          </rPr>
          <t xml:space="preserve">제제헬프랑카(JEZEHEL FRANCA) 책임매니저:
TQ No.
IFP2-PK2-CI(TE)-022
Apply 3.5kVA for SS072 and PIB-081
</t>
        </r>
      </text>
    </comment>
    <comment ref="AG39" authorId="0" shapeId="0" xr:uid="{DAC0F016-21F0-4BAF-A694-7BFAFC9289DC}">
      <text>
        <r>
          <rPr>
            <sz val="11"/>
            <color theme="1"/>
            <rFont val="Calibri"/>
            <family val="2"/>
            <scheme val="minor"/>
          </rPr>
          <t xml:space="preserve">제제헬프랑카(JEZEHEL FRANCA) 책임매니저:
TQ No.
IFP2-PK2-CI(TE)-022
Company recommend to keep use 3.5kVA or less.
Action: To use 3kVA
</t>
        </r>
      </text>
    </comment>
    <comment ref="V40" authorId="0" shapeId="0" xr:uid="{964BD29E-606D-4428-A3B5-A11F2A101B13}">
      <text>
        <r>
          <rPr>
            <sz val="11"/>
            <color theme="1"/>
            <rFont val="Calibri"/>
            <family val="2"/>
            <scheme val="minor"/>
          </rPr>
          <t xml:space="preserve">제제헬프랑카(JEZEHEL FRANCA) 책임매니저:
TQ No.
IFP2-PK2-CI(TE)-022
apply 3kVA
</t>
        </r>
      </text>
    </comment>
    <comment ref="W40" authorId="0" shapeId="0" xr:uid="{E4391A26-7853-499B-9B17-C04908605F46}">
      <text>
        <r>
          <rPr>
            <sz val="11"/>
            <color theme="1"/>
            <rFont val="Calibri"/>
            <family val="2"/>
            <scheme val="minor"/>
          </rPr>
          <t xml:space="preserve">제제헬프랑카(JEZEHEL FRANCA) 책임매니저:
TQ No.
IFP2-PK2-CI(TE)-022
apply 3kVA
</t>
        </r>
      </text>
    </comment>
    <comment ref="Z40" authorId="0" shapeId="0" xr:uid="{792CFF29-5A3F-406A-B97F-D63C3636689A}">
      <text>
        <r>
          <rPr>
            <sz val="11"/>
            <color theme="1"/>
            <rFont val="Calibri"/>
            <family val="2"/>
            <scheme val="minor"/>
          </rPr>
          <t xml:space="preserve">제제헬프랑카(JEZEHEL FRANCA) 책임매니저:
TQ No.
IFP2-PK2-CI(TE)-022
apply 3kVA
</t>
        </r>
      </text>
    </comment>
    <comment ref="AF41" authorId="0" shapeId="0" xr:uid="{174F0BBD-6892-4F41-8300-C160980D812A}">
      <text>
        <r>
          <rPr>
            <sz val="11"/>
            <color theme="1"/>
            <rFont val="Calibri"/>
            <family val="2"/>
            <scheme val="minor"/>
          </rPr>
          <t xml:space="preserve">제제헬프랑카(JEZEHEL FRANCA) 책임매니저:
TQ No.
IFP2-PK2-CI(TE)-022
Apply 3.5kVA for SS072 and PIB-081
</t>
        </r>
      </text>
    </comment>
    <comment ref="AG41" authorId="0" shapeId="0" xr:uid="{B5DCAFFF-13B4-4072-ACE7-B61C1D6DC02B}">
      <text>
        <r>
          <rPr>
            <sz val="11"/>
            <color theme="1"/>
            <rFont val="Calibri"/>
            <family val="2"/>
            <scheme val="minor"/>
          </rPr>
          <t xml:space="preserve">제제헬프랑카(JEZEHEL FRANCA) 책임매니저:
TQ No.
IFP2-PK2-CI(TE)-022
Apply 3.5kVA for SS072 and PIB-081
</t>
        </r>
      </text>
    </comment>
    <comment ref="V42" authorId="0" shapeId="0" xr:uid="{0E431F6D-A57B-4CCC-8616-FE1F09463C29}">
      <text>
        <r>
          <rPr>
            <sz val="11"/>
            <color theme="1"/>
            <rFont val="Calibri"/>
            <family val="2"/>
            <scheme val="minor"/>
          </rPr>
          <t xml:space="preserve">제제헬프랑카(JEZEHEL FRANCA) 책임매니저:
TQ No.
IFP2-PK2-CI(TE)-022
apply 3kVA
</t>
        </r>
      </text>
    </comment>
    <comment ref="W42" authorId="0" shapeId="0" xr:uid="{2A74A437-4D88-4963-BE43-2364EAC67129}">
      <text>
        <r>
          <rPr>
            <sz val="11"/>
            <color theme="1"/>
            <rFont val="Calibri"/>
            <family val="2"/>
            <scheme val="minor"/>
          </rPr>
          <t xml:space="preserve">제제헬프랑카(JEZEHEL FRANCA) 책임매니저:
TQ No.
IFP2-PK2-CI(TE)-022
apply 3kVA
</t>
        </r>
      </text>
    </comment>
    <comment ref="Z42" authorId="0" shapeId="0" xr:uid="{26A120D9-899A-48D5-99B6-E5859130FD73}">
      <text>
        <r>
          <rPr>
            <sz val="11"/>
            <color theme="1"/>
            <rFont val="Calibri"/>
            <family val="2"/>
            <scheme val="minor"/>
          </rPr>
          <t xml:space="preserve">제제헬프랑카(JEZEHEL FRANCA) 책임매니저:
TQ No.
IFP2-PK2-CI(TE)-022
apply 3kVA
</t>
        </r>
      </text>
    </comment>
    <comment ref="AF42" authorId="0" shapeId="0" xr:uid="{140A4D68-528C-4C6D-A490-15D3D220B5CA}">
      <text>
        <r>
          <rPr>
            <sz val="11"/>
            <color theme="1"/>
            <rFont val="Calibri"/>
            <family val="2"/>
            <scheme val="minor"/>
          </rPr>
          <t xml:space="preserve">제제헬프랑카(JEZEHEL FRANCA) 책임매니저:
TQ No.
IFP2-PK2-CI(TE)-022
Apply 3.5kVA for SS072 and PIB-081
</t>
        </r>
      </text>
    </comment>
    <comment ref="AG42" authorId="0" shapeId="0" xr:uid="{9FC68C44-FF89-4ED6-9982-EAF25E3E896B}">
      <text>
        <r>
          <rPr>
            <sz val="11"/>
            <color theme="1"/>
            <rFont val="Calibri"/>
            <family val="2"/>
            <scheme val="minor"/>
          </rPr>
          <t xml:space="preserve">제제헬프랑카(JEZEHEL FRANCA) 책임매니저:
TQ No.
IFP2-PK2-CI(TE)-022
Apply 3.5kVA for SS072 and PIB-081
</t>
        </r>
      </text>
    </comment>
    <comment ref="V154" authorId="0" shapeId="0" xr:uid="{00000000-0006-0000-0600-000001000000}">
      <text>
        <r>
          <rPr>
            <sz val="11"/>
            <color theme="1"/>
            <rFont val="Calibri"/>
            <family val="2"/>
            <scheme val="minor"/>
          </rPr>
          <t>제제헬프랑카(JEZEHEL FRANCA) 책임매니저:
inclkude the vertical height and termination: 4 meters each to speaker</t>
        </r>
      </text>
    </comment>
    <comment ref="W154" authorId="0" shapeId="0" xr:uid="{00000000-0006-0000-0600-000002000000}">
      <text>
        <r>
          <rPr>
            <sz val="11"/>
            <color theme="1"/>
            <rFont val="Calibri"/>
            <family val="2"/>
            <scheme val="minor"/>
          </rPr>
          <t>제제헬프랑카(JEZEHEL FRANCA) 책임매니저:
inclkude the vertical height and termination: 4 meters each to speaker</t>
        </r>
      </text>
    </comment>
    <comment ref="Z154" authorId="0" shapeId="0" xr:uid="{00000000-0006-0000-0600-000003000000}">
      <text>
        <r>
          <rPr>
            <sz val="11"/>
            <color theme="1"/>
            <rFont val="Calibri"/>
            <family val="2"/>
            <scheme val="minor"/>
          </rPr>
          <t>제제헬프랑카(JEZEHEL FRANCA) 책임매니저:
inclkude the vertical height and termination: 4 meters each to speaker</t>
        </r>
      </text>
    </comment>
    <comment ref="AF154" authorId="0" shapeId="0" xr:uid="{00000000-0006-0000-0600-000004000000}">
      <text>
        <r>
          <rPr>
            <sz val="11"/>
            <color theme="1"/>
            <rFont val="Calibri"/>
            <family val="2"/>
            <scheme val="minor"/>
          </rPr>
          <t>제제헬프랑카(JEZEHEL FRANCA) 책임매니저:
inclkude the vertical height and termination: 4 meters each to speaker</t>
        </r>
      </text>
    </comment>
    <comment ref="AG154" authorId="0" shapeId="0" xr:uid="{00000000-0006-0000-0600-000005000000}">
      <text>
        <r>
          <rPr>
            <sz val="11"/>
            <color theme="1"/>
            <rFont val="Calibri"/>
            <family val="2"/>
            <scheme val="minor"/>
          </rPr>
          <t>제제헬프랑카(JEZEHEL FRANCA) 책임매니저:
inclkude the vertical height and termination: 4 meters each to speaker</t>
        </r>
      </text>
    </comment>
    <comment ref="R156" authorId="0" shapeId="0" xr:uid="{00000000-0006-0000-0600-000006000000}">
      <text>
        <r>
          <rPr>
            <sz val="11"/>
            <color theme="1"/>
            <rFont val="Calibri"/>
            <family val="2"/>
            <scheme val="minor"/>
          </rPr>
          <t>제제헬프랑카(JEZEHEL FRANCA) 책임매니저:
inclkude the vertical height and termination: 7 meters each to speaker</t>
        </r>
      </text>
    </comment>
    <comment ref="AC156" authorId="0" shapeId="0" xr:uid="{00000000-0006-0000-0600-000007000000}">
      <text>
        <r>
          <rPr>
            <sz val="11"/>
            <color theme="1"/>
            <rFont val="Calibri"/>
            <family val="2"/>
            <scheme val="minor"/>
          </rPr>
          <t>제제헬프랑카(JEZEHEL FRANCA) 책임매니저:
inclkude the vertical height and termination: 6 meters each to speaker</t>
        </r>
      </text>
    </comment>
    <comment ref="AD156" authorId="0" shapeId="0" xr:uid="{00000000-0006-0000-0600-000008000000}">
      <text>
        <r>
          <rPr>
            <sz val="11"/>
            <color theme="1"/>
            <rFont val="Calibri"/>
            <family val="2"/>
            <scheme val="minor"/>
          </rPr>
          <t>제제헬프랑카(JEZEHEL FRANCA) 책임매니저:
inclkude the vertical height and termination: 6 meters each to speaker</t>
        </r>
      </text>
    </comment>
    <comment ref="R157" authorId="1" shapeId="0" xr:uid="{00000000-0006-0000-0600-000009000000}">
      <text>
        <r>
          <rPr>
            <sz val="11"/>
            <color theme="1"/>
            <rFont val="Calibri"/>
            <family val="2"/>
            <scheme val="minor"/>
          </rPr>
          <t>HEC:
+500 loop cable</t>
        </r>
      </text>
    </comment>
    <comment ref="AC157" authorId="1" shapeId="0" xr:uid="{00000000-0006-0000-0600-00000A000000}">
      <text>
        <r>
          <rPr>
            <sz val="11"/>
            <color theme="1"/>
            <rFont val="Calibri"/>
            <family val="2"/>
            <scheme val="minor"/>
          </rPr>
          <t>HEC:
+175 loop cable</t>
        </r>
      </text>
    </comment>
    <comment ref="AD157" authorId="1" shapeId="0" xr:uid="{00000000-0006-0000-0600-00000B000000}">
      <text>
        <r>
          <rPr>
            <sz val="11"/>
            <color theme="1"/>
            <rFont val="Calibri"/>
            <family val="2"/>
            <scheme val="minor"/>
          </rPr>
          <t>HEC:
+175 loop cable</t>
        </r>
      </text>
    </comment>
    <comment ref="AV187" authorId="0" shapeId="0" xr:uid="{B6BB307B-D449-4C80-8085-BCCCC6F931E4}">
      <text>
        <r>
          <rPr>
            <sz val="11"/>
            <color theme="1"/>
            <rFont val="Calibri"/>
            <family val="2"/>
            <scheme val="minor"/>
          </rPr>
          <t>제제헬프랑카(JEZEHEL FRANCA) 책임매니저:
TQ No. PRC-PK2-TQ-375
Not Required.
Included in Proposal Basis document</t>
        </r>
      </text>
    </comment>
    <comment ref="AV195" authorId="0" shapeId="0" xr:uid="{16AC4B0C-5103-4237-96D0-3943D1187A5B}">
      <text>
        <r>
          <rPr>
            <sz val="11"/>
            <color theme="1"/>
            <rFont val="Calibri"/>
            <family val="2"/>
            <scheme val="minor"/>
          </rPr>
          <t>제제헬프랑카(JEZEHEL FRANCA) 책임매니저:
TQ No. PRC-PK2-TQ-375
Not Required.
Included in Proposal Basis document</t>
        </r>
      </text>
    </comment>
    <comment ref="F237" authorId="0" shapeId="0" xr:uid="{3DA78BE6-35AF-49D2-9447-DC221BFF32AC}">
      <text>
        <r>
          <rPr>
            <sz val="11"/>
            <color theme="1"/>
            <rFont val="Calibri"/>
            <family val="2"/>
            <scheme val="minor"/>
          </rPr>
          <t>제제헬프랑카(JEZEHEL FRANCA) 책임매니저:
FSD of PCCTV</t>
        </r>
      </text>
    </comment>
    <comment ref="Q275" authorId="1" shapeId="0" xr:uid="{00000000-0006-0000-0600-00000C000000}">
      <text>
        <r>
          <rPr>
            <sz val="11"/>
            <color theme="1"/>
            <rFont val="Calibri"/>
            <family val="2"/>
            <scheme val="minor"/>
          </rPr>
          <t>HEC:
data</t>
        </r>
      </text>
    </comment>
    <comment ref="R275" authorId="1" shapeId="0" xr:uid="{00000000-0006-0000-0600-00000D000000}">
      <text>
        <r>
          <rPr>
            <sz val="11"/>
            <color theme="1"/>
            <rFont val="Calibri"/>
            <family val="2"/>
            <scheme val="minor"/>
          </rPr>
          <t>HEC:
data</t>
        </r>
      </text>
    </comment>
    <comment ref="Q276" authorId="1" shapeId="0" xr:uid="{00000000-0006-0000-0600-00000E000000}">
      <text>
        <r>
          <rPr>
            <sz val="11"/>
            <color theme="1"/>
            <rFont val="Calibri"/>
            <family val="2"/>
            <scheme val="minor"/>
          </rPr>
          <t>HEC:
PAS</t>
        </r>
      </text>
    </comment>
    <comment ref="R276" authorId="1" shapeId="0" xr:uid="{00000000-0006-0000-0600-00000F000000}">
      <text>
        <r>
          <rPr>
            <sz val="11"/>
            <color theme="1"/>
            <rFont val="Calibri"/>
            <family val="2"/>
            <scheme val="minor"/>
          </rPr>
          <t>HEC:
PAS</t>
        </r>
      </text>
    </comment>
    <comment ref="Q277" authorId="1" shapeId="0" xr:uid="{00000000-0006-0000-0600-000010000000}">
      <text>
        <r>
          <rPr>
            <sz val="11"/>
            <color theme="1"/>
            <rFont val="Calibri"/>
            <family val="2"/>
            <scheme val="minor"/>
          </rPr>
          <t>HEC:
IT:2
PAS:2
PSA:2
SACS: 2
Analyzer: 3</t>
        </r>
      </text>
    </comment>
    <comment ref="R277" authorId="1" shapeId="0" xr:uid="{00000000-0006-0000-0600-000011000000}">
      <text>
        <r>
          <rPr>
            <sz val="11"/>
            <color theme="1"/>
            <rFont val="Calibri"/>
            <family val="2"/>
            <scheme val="minor"/>
          </rPr>
          <t>HEC:
6: PSA
4: IT
4: SACS
13: Analyzer</t>
        </r>
      </text>
    </comment>
    <comment ref="Z277" authorId="1" shapeId="0" xr:uid="{4EF18CD7-0F38-47EC-9F94-0393E768DB2C}">
      <text>
        <r>
          <rPr>
            <b/>
            <sz val="9"/>
            <color indexed="81"/>
            <rFont val="Tahoma"/>
            <family val="2"/>
          </rPr>
          <t>HEC:</t>
        </r>
        <r>
          <rPr>
            <sz val="9"/>
            <color indexed="81"/>
            <rFont val="Tahoma"/>
            <family val="2"/>
          </rPr>
          <t xml:space="preserve">
PSA:2
PMS:2</t>
        </r>
      </text>
    </comment>
    <comment ref="AP277" authorId="1" shapeId="0" xr:uid="{B1DE8CBA-D736-435F-A2C4-6367EF97EADC}">
      <text>
        <r>
          <rPr>
            <b/>
            <sz val="9"/>
            <color indexed="81"/>
            <rFont val="Tahoma"/>
            <family val="2"/>
          </rPr>
          <t>HEC:</t>
        </r>
        <r>
          <rPr>
            <sz val="9"/>
            <color indexed="81"/>
            <rFont val="Tahoma"/>
            <family val="2"/>
          </rPr>
          <t xml:space="preserve">
PSA:2
PMS:2</t>
        </r>
      </text>
    </comment>
    <comment ref="R278" authorId="1" shapeId="0" xr:uid="{00000000-0006-0000-0600-000012000000}">
      <text>
        <r>
          <rPr>
            <sz val="11"/>
            <color theme="1"/>
            <rFont val="Calibri"/>
            <family val="2"/>
            <scheme val="minor"/>
          </rPr>
          <t>HEC:
PCCTV</t>
        </r>
      </text>
    </comment>
  </commentList>
</comments>
</file>

<file path=xl/sharedStrings.xml><?xml version="1.0" encoding="utf-8"?>
<sst xmlns="http://schemas.openxmlformats.org/spreadsheetml/2006/main" count="6526" uniqueCount="2406">
  <si>
    <t>BOTB (PKG-2) PROJECT</t>
  </si>
  <si>
    <t xml:space="preserve">         </t>
  </si>
  <si>
    <t>July. 01, 2026</t>
  </si>
  <si>
    <t>기안</t>
  </si>
  <si>
    <t>팀장</t>
  </si>
  <si>
    <t>실장</t>
  </si>
  <si>
    <t xml:space="preserve">     본 문서의 내용과 관련된 지적재산권에 대한 소유는 현대엔지니어링에 있으며 본문서의 내용에 대한 무단복제 및 무단도용은 법에 저촉됨을 알려 드립니다.
     Intellectual property right of this document is belongs to Hyundai Engineering.  Any reproduction and copy without permission of Hyundai Engineering will be strongly prohibited.</t>
  </si>
  <si>
    <t>[TE] Data Input/View</t>
  </si>
  <si>
    <t>As of 2026-07-31</t>
  </si>
  <si>
    <t>SN</t>
  </si>
  <si>
    <t>Status</t>
  </si>
  <si>
    <t>Message</t>
  </si>
  <si>
    <t>Item No.</t>
  </si>
  <si>
    <t>MR No.</t>
  </si>
  <si>
    <t>Item</t>
  </si>
  <si>
    <t>Description</t>
  </si>
  <si>
    <t>Additional Spec.</t>
  </si>
  <si>
    <t>Commodity</t>
  </si>
  <si>
    <t>Core/Pair Number</t>
  </si>
  <si>
    <t>Composition</t>
  </si>
  <si>
    <t>Conductor Size</t>
  </si>
  <si>
    <t>Earthing Size</t>
  </si>
  <si>
    <t>Unit of Cable Size</t>
  </si>
  <si>
    <t>Ident</t>
  </si>
  <si>
    <t>Unit</t>
  </si>
  <si>
    <t>Total Q'ty</t>
  </si>
  <si>
    <t>PKG-1</t>
  </si>
  <si>
    <t>PKG-2</t>
  </si>
  <si>
    <t>Remark</t>
  </si>
  <si>
    <t>Specification</t>
  </si>
  <si>
    <t>Size</t>
  </si>
  <si>
    <t>Common-1</t>
  </si>
  <si>
    <t>Common-2</t>
  </si>
  <si>
    <t xml:space="preserve">EB HCKR Train1&amp;2 </t>
  </si>
  <si>
    <t xml:space="preserve">EB Fractionation </t>
  </si>
  <si>
    <t>EB Integrated DHT &amp; Compressors</t>
  </si>
  <si>
    <t xml:space="preserve">EB Catalyst Loading &amp; Common </t>
  </si>
  <si>
    <t>SS-071</t>
  </si>
  <si>
    <t>PIB-080</t>
  </si>
  <si>
    <t>HRU</t>
  </si>
  <si>
    <t>CWS</t>
  </si>
  <si>
    <t>SS-070</t>
  </si>
  <si>
    <t>PKG1 PCS in Existing CCR</t>
  </si>
  <si>
    <t>Green Zone Fence - BOTB Plot</t>
  </si>
  <si>
    <t>SRU</t>
  </si>
  <si>
    <t>ARU</t>
  </si>
  <si>
    <t>SWS</t>
  </si>
  <si>
    <t>SS-072</t>
  </si>
  <si>
    <t>PIB-081</t>
  </si>
  <si>
    <t>Flare System with Existing SS-052 &amp; SS-046 Mod</t>
  </si>
  <si>
    <t>Sales Gas Pipeline</t>
  </si>
  <si>
    <t>Caustic Pump with Existing PIB-02 &amp; SS-013 Mod</t>
  </si>
  <si>
    <t>SW Pump with Existing PIB-13 &amp; SS-026 Mod</t>
  </si>
  <si>
    <t>OSBL Pipe Racks &amp; Interconnect pipe rack</t>
  </si>
  <si>
    <t>Modifications in RAWEC SS-200</t>
  </si>
  <si>
    <t>Modifications in Existing CCR</t>
  </si>
  <si>
    <t>Piping Tie-ins</t>
  </si>
  <si>
    <t>Communications | CCR-1</t>
  </si>
  <si>
    <t>Security | CCR-3</t>
  </si>
  <si>
    <t>Communications | PUCCR</t>
  </si>
  <si>
    <t>Security | SCC</t>
  </si>
  <si>
    <t>Security | ID OFFICE 
BLDG</t>
  </si>
  <si>
    <t>Communications | PIB-027</t>
  </si>
  <si>
    <t>Security | WR-617</t>
  </si>
  <si>
    <t>Security | Sales Gas P/L Scraper Launcher Area</t>
  </si>
  <si>
    <t>CWA-XXXX</t>
  </si>
  <si>
    <t>CWA-0101</t>
  </si>
  <si>
    <t>CWA-0102</t>
  </si>
  <si>
    <t>CWA-0103</t>
  </si>
  <si>
    <t>CWA-0300</t>
  </si>
  <si>
    <t>CWA-0600</t>
  </si>
  <si>
    <t>CWA-1300</t>
  </si>
  <si>
    <t>CWA-1500</t>
  </si>
  <si>
    <t>CWA-2400</t>
  </si>
  <si>
    <t>CWA-0201</t>
  </si>
  <si>
    <t>CWA-0202</t>
  </si>
  <si>
    <t>0203</t>
  </si>
  <si>
    <t>CWA-0204</t>
  </si>
  <si>
    <t>CWA-0205</t>
  </si>
  <si>
    <t>CWA-0700</t>
  </si>
  <si>
    <t>CWA-0900</t>
  </si>
  <si>
    <t>CWA-1000</t>
  </si>
  <si>
    <t>CWA-1100</t>
  </si>
  <si>
    <t>CWA-1200</t>
  </si>
  <si>
    <t>CWA-1400</t>
  </si>
  <si>
    <t>CWA-1600</t>
  </si>
  <si>
    <t>CWA-1800</t>
  </si>
  <si>
    <t>CWA-2100</t>
  </si>
  <si>
    <t>Valid</t>
  </si>
  <si>
    <t>C</t>
  </si>
  <si>
    <t>Cable</t>
  </si>
  <si>
    <t>C.16</t>
  </si>
  <si>
    <t>POWER, FLAME RETARDANT, ARMORED</t>
  </si>
  <si>
    <t>AC POWER CABLE 600/1000V</t>
  </si>
  <si>
    <t>FLAME-RETARDANT as per IEC 60332-3-23 (CAT. B)</t>
  </si>
  <si>
    <t>Steel Wired Armored</t>
  </si>
  <si>
    <t>Primary Insulation Material : Cross Linked  Polyethylene(XLPE) insulated</t>
  </si>
  <si>
    <t>Conductor Color : Black(Live), White(Neutral), Green/Yellow tracer(Ground)</t>
  </si>
  <si>
    <t>Conductor Material : Stranded Plain Copper Conductor</t>
  </si>
  <si>
    <t>Jacket Material and Color : PVC, BLACK</t>
  </si>
  <si>
    <t>Temperature Rating : 90 degC</t>
  </si>
  <si>
    <t>Direct Burial / Oil Resistant / Sun Resistant</t>
  </si>
  <si>
    <t>IEC 60502-1</t>
  </si>
  <si>
    <t>C.16.1</t>
  </si>
  <si>
    <t>3 x C x 12 AWG</t>
  </si>
  <si>
    <t>FL, PW, SWA</t>
  </si>
  <si>
    <t>EC01AC05AK99AF01AA99ZZ99</t>
  </si>
  <si>
    <t>AWG</t>
  </si>
  <si>
    <t>M285711381A</t>
  </si>
  <si>
    <t>M</t>
  </si>
  <si>
    <t>for Security, PCCTV Cameras &amp; Industrial Wifi</t>
  </si>
  <si>
    <t>C.16.1.1</t>
  </si>
  <si>
    <t>TE, PW, SWA</t>
  </si>
  <si>
    <t>C.16.2</t>
  </si>
  <si>
    <t>3 x C x 10 AWG</t>
  </si>
  <si>
    <t>M367485413A</t>
  </si>
  <si>
    <t>C.16.3</t>
  </si>
  <si>
    <t>3 x C x 2 AWG</t>
  </si>
  <si>
    <t>C.16.4</t>
  </si>
  <si>
    <t>3 x C x 6 AWG</t>
  </si>
  <si>
    <t>SACS for Scraper Launcher FEC - 2 x  Power Cable</t>
  </si>
  <si>
    <t>C.17.6</t>
  </si>
  <si>
    <t>2 x C x 14 AWG</t>
  </si>
  <si>
    <t>FL, PW</t>
  </si>
  <si>
    <t>EC01AC05AK99AL01AA99ZZ99</t>
  </si>
  <si>
    <t>M285711331A</t>
  </si>
  <si>
    <t>SACS for Scraper Launcher MSB - Control Cable</t>
  </si>
  <si>
    <t>C.17</t>
  </si>
  <si>
    <t>POWER, FLAME RETARDANT, NON-ARMORED</t>
  </si>
  <si>
    <t>Non-Armored</t>
  </si>
  <si>
    <t>C.17.1</t>
  </si>
  <si>
    <t>3 x C x 14 AWG</t>
  </si>
  <si>
    <t>M285711330A</t>
  </si>
  <si>
    <t>C.17.2</t>
  </si>
  <si>
    <t>M285711328A</t>
  </si>
  <si>
    <t>SACS for Building - Power Cable</t>
  </si>
  <si>
    <t>C.17.2.1</t>
  </si>
  <si>
    <t>3 X C X 12 AWG</t>
  </si>
  <si>
    <t>FL, PW, TE</t>
  </si>
  <si>
    <t>C.17.3</t>
  </si>
  <si>
    <t>M285711329A</t>
  </si>
  <si>
    <t>C.17.4</t>
  </si>
  <si>
    <t>3 x C x 8 AWG</t>
  </si>
  <si>
    <t>M414586702A</t>
  </si>
  <si>
    <t>C.17.5</t>
  </si>
  <si>
    <t>M414586703A</t>
  </si>
  <si>
    <t>For Main Cabinet Power, Cube IT</t>
  </si>
  <si>
    <t>SACS for Building - Control Cable</t>
  </si>
  <si>
    <t>C.18</t>
  </si>
  <si>
    <t>GROUNDING CABLE</t>
  </si>
  <si>
    <t>GROUNDING CABLE 600/1000V</t>
  </si>
  <si>
    <t>PVC insulated</t>
  </si>
  <si>
    <t>Jacket Material and Color : EXTRUDED PVC, COLOR GREEN/YELLOW</t>
  </si>
  <si>
    <t>C.18.1</t>
  </si>
  <si>
    <t>1 x C x 10 AWG</t>
  </si>
  <si>
    <t>FL, GR/YE</t>
  </si>
  <si>
    <t>EC06AC05AK99AL01AA99ZZ99</t>
  </si>
  <si>
    <t>M285711385C</t>
  </si>
  <si>
    <t>1 x C x 6 AWG</t>
  </si>
  <si>
    <t>C.18.2</t>
  </si>
  <si>
    <t>1 x C x 2 AWG</t>
  </si>
  <si>
    <t>M285711541C</t>
  </si>
  <si>
    <t>C.18.3</t>
  </si>
  <si>
    <t>FL, GR/YE, TE</t>
  </si>
  <si>
    <t>Jacket Material and Color : EXTRUDED PVC, COLOR GREEN</t>
  </si>
  <si>
    <t>C.18.4</t>
  </si>
  <si>
    <t>FL, GR</t>
  </si>
  <si>
    <t>M368405088A</t>
  </si>
  <si>
    <t>Green insulated #6 AWG copper wire for bonding telecom racks, doors, cable trays, and outdoor devices to TGB/TMGB busbars (SS-072: 70m, PIB-081: 140m, PKG-2 Common: 580m, CCR-1: 40m).</t>
  </si>
  <si>
    <t>C.18.5</t>
  </si>
  <si>
    <t>FL, GR, TE</t>
  </si>
  <si>
    <t>C.18.6</t>
  </si>
  <si>
    <t>M285711541D</t>
  </si>
  <si>
    <t>C.19</t>
  </si>
  <si>
    <t>FIBER OPTIC, FLAME RETARDANT, AMOURED, OUTDOOR</t>
  </si>
  <si>
    <t>- Reference Standard :  ITU-T G-652D, 18-SAMSS-625 (If there are conflict among reference standard, Bidder will follow the most severe requiremet)</t>
  </si>
  <si>
    <t>- Mode : Single Mode OS2 (ITU-T G.652D), 9.0/125-micron glass fibre, Zero-Dispersion Low Water Peak,</t>
  </si>
  <si>
    <t>- Fiber stand cont : 12 fibres per tube</t>
  </si>
  <si>
    <t>- Fiber Stand colour Coding : TIA/EIA 598-C</t>
  </si>
  <si>
    <t>Loose-tybe, Gel-Filled Type (SAES-T-928, 5.8)</t>
  </si>
  <si>
    <t>- Wrapping : MICA tape (If Fire resistant)</t>
  </si>
  <si>
    <t>- Armour Type : All-dielectric (non-metallic), Kevlar (SAES-T-624, 5.2.4.8)</t>
  </si>
  <si>
    <t>- Cable Sheath : Polyethylene, Black, minimum 2.35% carbon black concentration, Resistant to Ultra violet light,crude oil, hydrocarbons.</t>
  </si>
  <si>
    <t>Sulphur compounds and salt water, Low Smoke Zero Halogen (LSZH)</t>
  </si>
  <si>
    <t>- Primary coating material : UV curable material</t>
  </si>
  <si>
    <t>- Marking / Printing : Metal marking at one-meter intervals describing type, number of cores, manufacturer, year of manufacture</t>
  </si>
  <si>
    <t>- Temperature Ragne at operating : -20°C to 70°C</t>
  </si>
  <si>
    <t>- Temperature Ragne at storage : -40°C to 70°C</t>
  </si>
  <si>
    <t>- Fire Resistant to BS6387 Cat. C, W, Z</t>
  </si>
  <si>
    <t>C.19.1</t>
  </si>
  <si>
    <t>144 x C</t>
  </si>
  <si>
    <t>FL, FO, OUTDOOR, TE</t>
  </si>
  <si>
    <t>EC04ZZ99ZZ03AE07AA99ZZ99</t>
  </si>
  <si>
    <t>M367577766B</t>
  </si>
  <si>
    <t>FOC IT</t>
  </si>
  <si>
    <t>C.19.2</t>
  </si>
  <si>
    <t>96 x C</t>
  </si>
  <si>
    <t>M367577767B</t>
  </si>
  <si>
    <t>C.19.3</t>
  </si>
  <si>
    <t>72 x C</t>
  </si>
  <si>
    <t>M368405062B</t>
  </si>
  <si>
    <t>C.19.4</t>
  </si>
  <si>
    <t>48 x C</t>
  </si>
  <si>
    <t>M367577765B</t>
  </si>
  <si>
    <t>FOC Non-IT PAS</t>
  </si>
  <si>
    <t>C.19.5</t>
  </si>
  <si>
    <t>24 x C</t>
  </si>
  <si>
    <t>M367577764B</t>
  </si>
  <si>
    <t>FOC SACS  &amp; FOC Non-IT PSA/PMS</t>
  </si>
  <si>
    <t>C.19.6</t>
  </si>
  <si>
    <t>12 x C</t>
  </si>
  <si>
    <t>M367577768B</t>
  </si>
  <si>
    <t>FOC Non IT Analyzer Shelters</t>
  </si>
  <si>
    <t>C.19.7</t>
  </si>
  <si>
    <t>6 x C</t>
  </si>
  <si>
    <t>M367577763B</t>
  </si>
  <si>
    <t>FOC PCCTV</t>
  </si>
  <si>
    <t>C.20</t>
  </si>
  <si>
    <t>FIBER OPTIC, FIRE RESISTANCE, AMOURED, OUTDOOR</t>
  </si>
  <si>
    <t>C.20.1</t>
  </si>
  <si>
    <t>FR FO, OUTDOOR</t>
  </si>
  <si>
    <t>EC04ZZ99ZZ03AE07AD99ZZ99</t>
  </si>
  <si>
    <t>M268623721A</t>
  </si>
  <si>
    <t>C.20.2</t>
  </si>
  <si>
    <t>M268623717A</t>
  </si>
  <si>
    <t>C.20.3</t>
  </si>
  <si>
    <t>M268623718A</t>
  </si>
  <si>
    <t>C.20.4</t>
  </si>
  <si>
    <t>4 x C</t>
  </si>
  <si>
    <t>M268623730A</t>
  </si>
  <si>
    <t>C.21</t>
  </si>
  <si>
    <t>FIBER OPTIC, FIRE RESISTANCE, AMOURED, INDOOR</t>
  </si>
  <si>
    <t>&lt;Complied with Cl.4.11 of PP-824554&gt;</t>
  </si>
  <si>
    <t>- Mode : Single Mode OS2 (ITU-T G.652D), 9.0/125-micron glass fibre, Zero-Dispersion Low Water Peak, 1310nm wavelength</t>
  </si>
  <si>
    <t>- Fiber Stand colour Coding : TIA/EIA 598-C
- Housing : Tight Buffer - two(2) layer coating. The first layer shall be a plastic (protective) coating, the second shall be</t>
  </si>
  <si>
    <t>acrylate (to repel moisture)</t>
  </si>
  <si>
    <t>- Armour Type : All-dielectric (non-metallic), Kevlar</t>
  </si>
  <si>
    <t>- Cable Sheath : Polyethylene, Resistant to Ultraviolet light, crude oil, hydrocarbons, Sulphur compounds and salt water,</t>
  </si>
  <si>
    <t>Yellow Outer jacket/LSZH-Low Smoke Zero Halogen Outer jacket</t>
  </si>
  <si>
    <t>Optical Fiber Non-conductive Plenum (OFNP) type with or without non-metallic moisture barrier</t>
  </si>
  <si>
    <t>and shall be listed as being suitable for the purpose, listed as being resistant to spread of fire in accordance with the  NEC Article 770 Section 770-26,</t>
  </si>
  <si>
    <t>installed in accordance with Section 770-110, and marked in accordance with Table 770-179</t>
  </si>
  <si>
    <t>- Fire rated : NFPA 70 (NEC article 770)</t>
  </si>
  <si>
    <t>- All SYSTEM cables shall be "Indoor Fire-resistant cable" type.</t>
  </si>
  <si>
    <t>C.21.1</t>
  </si>
  <si>
    <t>FR FO, INDOOR, TE</t>
  </si>
  <si>
    <t>M268623717C</t>
  </si>
  <si>
    <t>C.21.2</t>
  </si>
  <si>
    <t>M268623718C</t>
  </si>
  <si>
    <t>C.21.3</t>
  </si>
  <si>
    <t>M268623730C</t>
  </si>
  <si>
    <t>C.22</t>
  </si>
  <si>
    <t>ETHERNET CABLE</t>
  </si>
  <si>
    <t>Unsheilded Twisted Pair Cable</t>
  </si>
  <si>
    <t>- Separator Material : Flame Retardant Polyolefin</t>
  </si>
  <si>
    <t>- Number of Pairs : 4</t>
  </si>
  <si>
    <t>- Cable Pair Color Coding : T568A</t>
  </si>
  <si>
    <t>- Conductors : Solid Annealed Copper</t>
  </si>
  <si>
    <t>- Conductor Size : 23 AWG</t>
  </si>
  <si>
    <t xml:space="preserve">- Category 6 </t>
  </si>
  <si>
    <t>- Reference Specification PP-824554, Section 4.3</t>
  </si>
  <si>
    <t>- UL listed</t>
  </si>
  <si>
    <t>C.22.1</t>
  </si>
  <si>
    <t>LS-CMP(Low smoke Plenum) UTP cable</t>
  </si>
  <si>
    <t>4 x P x 23AWG</t>
  </si>
  <si>
    <t>LS-CMP(Low smoke Plenum) UTP, TE</t>
  </si>
  <si>
    <t>EC04ZZ06AF14AL04ZZ99ZZ99</t>
  </si>
  <si>
    <t>P</t>
  </si>
  <si>
    <t>M367577797C</t>
  </si>
  <si>
    <t>Quantity based on horizontal cable distribution diagrams: 2 runs of 4-pair UTP Category 6A (Plenum CMP grade) per duplex information outlet. MULTIPLY by 90 meters (max length)</t>
  </si>
  <si>
    <t>C.22.2</t>
  </si>
  <si>
    <t>Gel-Filled UTP Cable (Suitable for Direct Burial and OSP)</t>
  </si>
  <si>
    <t>Gel-Filled UTP, TE</t>
  </si>
  <si>
    <t>M367577797D</t>
  </si>
  <si>
    <t>C.23</t>
  </si>
  <si>
    <t>Twisted Pair Cable for Telecommunication System</t>
  </si>
  <si>
    <t>Twisted Pair, Non Shielded, Armoured, Fire Resistant Cable - TC/600V</t>
  </si>
  <si>
    <t>Without Overall Shield.</t>
  </si>
  <si>
    <t>Steel Wired Armoured</t>
  </si>
  <si>
    <t>Conductor Color : BLACK/WHITE</t>
  </si>
  <si>
    <t>Conductor Material: Stranded, Circular Copper, per ASTM B3, 7 strands minimum; tinned, per ASTM B33</t>
  </si>
  <si>
    <t>Jacket Material and Color : Fire Resistant BS6387 Cat. C,W,Z  , BLACK, Temperature Rating : 90 degC</t>
  </si>
  <si>
    <t>Direct Burial / Oil Resistant / Sun Resistant / Gas Blocking</t>
  </si>
  <si>
    <t>C.23.1</t>
  </si>
  <si>
    <t>1 x P x 12 AWG</t>
  </si>
  <si>
    <t>TE, SWA</t>
  </si>
  <si>
    <t>EC04AA03AL99AF01BA01ZZ99</t>
  </si>
  <si>
    <t>M368405073A</t>
  </si>
  <si>
    <t>C.23.1.1</t>
  </si>
  <si>
    <t>TE, NON ARMROED</t>
  </si>
  <si>
    <t>C.23.2</t>
  </si>
  <si>
    <t>2 x P x 12 AWG</t>
  </si>
  <si>
    <t>M368405074A</t>
  </si>
  <si>
    <t>C.23.3</t>
  </si>
  <si>
    <t>6 x P x 12 AWG</t>
  </si>
  <si>
    <t>M368405075A</t>
  </si>
  <si>
    <t>C.23.4</t>
  </si>
  <si>
    <t>8 x P x 12 AWG</t>
  </si>
  <si>
    <t>M368405089A</t>
  </si>
  <si>
    <t>C.23.5</t>
  </si>
  <si>
    <t>10 x P x 12 AWG</t>
  </si>
  <si>
    <t>M368405076A</t>
  </si>
  <si>
    <t>Twisted Pair, Shielded, Armoured, Fire Resistant Cable - TC/600V</t>
  </si>
  <si>
    <t>Overall Shield, Steel Wired Armoured</t>
  </si>
  <si>
    <t>C.23.6</t>
  </si>
  <si>
    <t>2 x P x 16 AWG</t>
  </si>
  <si>
    <t>EC04AA03AL99AF01BA01AB99</t>
  </si>
  <si>
    <t>M368405063A</t>
  </si>
  <si>
    <t>C.23.7</t>
  </si>
  <si>
    <t>4 x P x 16 AWG</t>
  </si>
  <si>
    <t>M368405064A</t>
  </si>
  <si>
    <t>C.23.8</t>
  </si>
  <si>
    <t>10 x P x 16 AWG</t>
  </si>
  <si>
    <t>M368405065A</t>
  </si>
  <si>
    <t>C.23.9</t>
  </si>
  <si>
    <t>2 x P x 18 AWG</t>
  </si>
  <si>
    <t>M368405066A</t>
  </si>
  <si>
    <t>C.23.10</t>
  </si>
  <si>
    <t>4 x P x 18 AWG</t>
  </si>
  <si>
    <t>M368405067A</t>
  </si>
  <si>
    <t>Twisted Pair, Shielded, Fire Resistant Cable - TC/600V</t>
  </si>
  <si>
    <t>Overall Shield</t>
  </si>
  <si>
    <t>C.23.11</t>
  </si>
  <si>
    <t>TE</t>
  </si>
  <si>
    <t>EC04AA03AL99AL01BA01AB99</t>
  </si>
  <si>
    <t>M368405077A</t>
  </si>
  <si>
    <t>C.23.12</t>
  </si>
  <si>
    <t>M368405078A</t>
  </si>
  <si>
    <t>C.23.13</t>
  </si>
  <si>
    <t>M368405079A</t>
  </si>
  <si>
    <t>C.23.14</t>
  </si>
  <si>
    <t>M368405080A</t>
  </si>
  <si>
    <t>C.23.15</t>
  </si>
  <si>
    <t>6 x P x 16 AWG</t>
  </si>
  <si>
    <t>M368405081A</t>
  </si>
  <si>
    <t>C.23.16</t>
  </si>
  <si>
    <t>1 x P x 18 AWG</t>
  </si>
  <si>
    <t>M368405090A</t>
  </si>
  <si>
    <t>C.23.17</t>
  </si>
  <si>
    <t>M368405082A</t>
  </si>
  <si>
    <t>C.23.18</t>
  </si>
  <si>
    <t>M368405083A</t>
  </si>
  <si>
    <t>C.24</t>
  </si>
  <si>
    <t>Telephone Cable for Telecommunication System</t>
  </si>
  <si>
    <t xml:space="preserve">- Jelly Filled </t>
  </si>
  <si>
    <t>- Single Shielded (Corrugated Aluminum Tape)</t>
  </si>
  <si>
    <t>- Core Wapping Tape</t>
  </si>
  <si>
    <t>- LDPE outer sheath</t>
  </si>
  <si>
    <t>- Steel Tape Armored.</t>
  </si>
  <si>
    <t>- For Underground Installation</t>
  </si>
  <si>
    <t>- Fire rated : N/A</t>
  </si>
  <si>
    <t>C.24.1</t>
  </si>
  <si>
    <t>100 x P x 22 AWG</t>
  </si>
  <si>
    <t>EC04ZZ99ZZ99AH99ZZ99ZZ99</t>
  </si>
  <si>
    <t>M367577788A</t>
  </si>
  <si>
    <t>C.25</t>
  </si>
  <si>
    <t>RS-485 Cable</t>
  </si>
  <si>
    <t>C.25.1</t>
  </si>
  <si>
    <t>C.25.2</t>
  </si>
  <si>
    <t>2 x P x 22 AWG</t>
  </si>
  <si>
    <t>C.25.3</t>
  </si>
  <si>
    <t>Cable Tray Width</t>
  </si>
  <si>
    <t>Cable Tray Height</t>
  </si>
  <si>
    <t>Thickness</t>
  </si>
  <si>
    <t>D</t>
  </si>
  <si>
    <t>LADDER CABLE TRAY</t>
  </si>
  <si>
    <t>LADDER CABLE TRAY - OUTDOOR</t>
  </si>
  <si>
    <t>CABLE TRAY SHALL BE DESIGNED, MANUFACTURED, RATED, TESTED AND MARKED</t>
  </si>
  <si>
    <t>IN ACCORDANCE WITH NEMA VE 1 (REFERENCES : SAES-J-902 &amp; SAES-P-104)</t>
  </si>
  <si>
    <t>- MATERIAL : COPPER-FREE ALUMINIUM (MAXIMUM OF 0.4% COPPER)</t>
  </si>
  <si>
    <t>- MATERIAL FOR FASTENERS(BOLT, NUT &amp; WASHER &amp; ETC) : 316SS</t>
  </si>
  <si>
    <t>- DISTANCE OF CONSECUTIVE RUNGS : 229MM(9") MAXIMUM</t>
  </si>
  <si>
    <t>- RUNG LOAD CAPACITY : 90KG MINIMUM</t>
  </si>
  <si>
    <t>- ALLOWABLE DEFLECTION : L/100(L=SPAN LENGTH) MAXIMUM</t>
  </si>
  <si>
    <t>- VENTILATED TYPE FLANGED COVER : MINIMUM 1.0 MM THICKNESS</t>
  </si>
  <si>
    <t>- TRAY THICKNESS : MANUFACTURE STANDARD (MIN. 3.2mm)</t>
  </si>
  <si>
    <t>- LOAD / SPAN CLASSS : 20C AS PER NEMA VE1</t>
  </si>
  <si>
    <t>- OUTSIDE FLANGE</t>
  </si>
  <si>
    <t>- SPAN : STANDARD SPAN LENGTH 6M</t>
  </si>
  <si>
    <t>- FITTINGS  RADIUS : 600mm (OUTDOOR)</t>
  </si>
  <si>
    <t>D.1</t>
  </si>
  <si>
    <t>STRAIGHT TRAY</t>
  </si>
  <si>
    <t>STRAIGHT CABLE TRAY</t>
  </si>
  <si>
    <t>- BODY LENGTH : 6.0M</t>
  </si>
  <si>
    <t>D.1.1</t>
  </si>
  <si>
    <t>LADDER TRAY STRAIGHT</t>
  </si>
  <si>
    <t>152 mm(6") (W) x 152 mm(6") (H) x 3.0 mm(T)</t>
  </si>
  <si>
    <t>OUTDOOR</t>
  </si>
  <si>
    <t>ET04AB99AL99ZZ99ZZ</t>
  </si>
  <si>
    <t>3.0</t>
  </si>
  <si>
    <t>M414586722A</t>
  </si>
  <si>
    <t>D.1.2</t>
  </si>
  <si>
    <t>305 mm(12") (W) x 152 mm(6") (H) x 3.0 mm(T)</t>
  </si>
  <si>
    <t>M414586723A</t>
  </si>
  <si>
    <t>D.1.3</t>
  </si>
  <si>
    <t>610 mm(24") (W) x 152 mm(6") (H) x 3.0 mm(T)</t>
  </si>
  <si>
    <t>M414586724A</t>
  </si>
  <si>
    <t>D.1.4</t>
  </si>
  <si>
    <t>915 mm(36") (W) x 152 mm(6") (H) x 3.0 mm(T)</t>
  </si>
  <si>
    <t>M414586725A</t>
  </si>
  <si>
    <t>D.2</t>
  </si>
  <si>
    <t>STRAIGHT CABLE TRAY COVER</t>
  </si>
  <si>
    <t>- COVER LENGTH : 3.0M</t>
  </si>
  <si>
    <t>D.2.1</t>
  </si>
  <si>
    <t>LADDER TRAY STRAIGHT COVER</t>
  </si>
  <si>
    <t>152mm (6") (W) x 1.0 mm(T)</t>
  </si>
  <si>
    <t>ET02AB99AL99ZZ99ZZ</t>
  </si>
  <si>
    <t>1</t>
  </si>
  <si>
    <t>M349322046A</t>
  </si>
  <si>
    <t>D.2.2</t>
  </si>
  <si>
    <t>305 mm(12") (W) x 1.0 mm(T)</t>
  </si>
  <si>
    <t>M349322047A</t>
  </si>
  <si>
    <t>D.2.3</t>
  </si>
  <si>
    <t>610 mm(24") (W) x 1.0 mm(T)</t>
  </si>
  <si>
    <t>M349322048A</t>
  </si>
  <si>
    <t>D.2.4</t>
  </si>
  <si>
    <t>915 mm(36") (W)) x 1.0 mm(T)</t>
  </si>
  <si>
    <t>M349322049A</t>
  </si>
  <si>
    <t>D.3</t>
  </si>
  <si>
    <t>HORIZONTAL ELBOW</t>
  </si>
  <si>
    <t>HORIZONTAL ELBOW (90DEG) WITH COVERS</t>
  </si>
  <si>
    <t>- RADIUS : 600mm</t>
  </si>
  <si>
    <t>D.3.1</t>
  </si>
  <si>
    <t>LADDER TRAY HORIZONTAL ELBOW (90DEG) WITH COVERS</t>
  </si>
  <si>
    <t>150 mm x 150 mm x 2 mm</t>
  </si>
  <si>
    <t>ET04AB99AE03ZZ04ZZ</t>
  </si>
  <si>
    <t>2.0</t>
  </si>
  <si>
    <t>M414586726A</t>
  </si>
  <si>
    <t>EA</t>
  </si>
  <si>
    <t>D.3.2</t>
  </si>
  <si>
    <t>300 mm x 150 mm x 2 mm</t>
  </si>
  <si>
    <t>M414586727A</t>
  </si>
  <si>
    <t>D.3.3</t>
  </si>
  <si>
    <t>600 mm x 150 mm x 2 mm</t>
  </si>
  <si>
    <t>M414586728A</t>
  </si>
  <si>
    <t>D.3.4</t>
  </si>
  <si>
    <t>900 mm x 150 mm x 2 mm</t>
  </si>
  <si>
    <t>M414586729A</t>
  </si>
  <si>
    <t>D.4</t>
  </si>
  <si>
    <t>HORIZONTAL TEE</t>
  </si>
  <si>
    <t>HORIZONTAL TEE WITH COVERS</t>
  </si>
  <si>
    <t>D.4.1</t>
  </si>
  <si>
    <t>LADDER TRAY HORIZONTAL TEE WITH COVERS</t>
  </si>
  <si>
    <t>ET04AB99AN03ZZ04ZZ</t>
  </si>
  <si>
    <t>M414586730A</t>
  </si>
  <si>
    <t>D.4.2</t>
  </si>
  <si>
    <t>M414586731A</t>
  </si>
  <si>
    <t>D.4.3</t>
  </si>
  <si>
    <t>M414586732A</t>
  </si>
  <si>
    <t>D.4.4</t>
  </si>
  <si>
    <t>M414586733A</t>
  </si>
  <si>
    <t>D.5</t>
  </si>
  <si>
    <t>HORIZONTAL CROSS</t>
  </si>
  <si>
    <t>HORIZONTAL CROSS WITH COVERS</t>
  </si>
  <si>
    <t>D.5.1</t>
  </si>
  <si>
    <t>LADDER TRAY HORIZONTAL CROSS WITH COVERS</t>
  </si>
  <si>
    <t>ET04AB99AA03ZZ99ZZ</t>
  </si>
  <si>
    <t>M414586734A</t>
  </si>
  <si>
    <t>D.6</t>
  </si>
  <si>
    <t>VERTICAL ELBOW INSIDE</t>
  </si>
  <si>
    <t>VERTICAL ELBOW (90DEG) INSIDE WITH COVERS</t>
  </si>
  <si>
    <t>D.6.1</t>
  </si>
  <si>
    <t>LADDER TRAY VERTICAL ELBOW (90DEG) INSIDE WITH COVERS</t>
  </si>
  <si>
    <t>ET04AB99AE01ZZ04ZZ</t>
  </si>
  <si>
    <t>M414586735A</t>
  </si>
  <si>
    <t>D.6.2</t>
  </si>
  <si>
    <t>M414586736A</t>
  </si>
  <si>
    <t>D.6.3</t>
  </si>
  <si>
    <t>M414586737A</t>
  </si>
  <si>
    <t>D.6.4</t>
  </si>
  <si>
    <t>M414586738A</t>
  </si>
  <si>
    <t>D.7</t>
  </si>
  <si>
    <t>VERTICAL ELBOW OUTSIDE</t>
  </si>
  <si>
    <t>VERTICAL ELBOW (90DEG) OUTSIDE WITH COVERS</t>
  </si>
  <si>
    <t>D.7.1</t>
  </si>
  <si>
    <t>LADDER TRAY VERTICAL ELBOW (90DEG) OUTSIDE WITH COVERS</t>
  </si>
  <si>
    <t>ET04AB99AE02ZZ04ZZ</t>
  </si>
  <si>
    <t>M414586739A</t>
  </si>
  <si>
    <t>D.7.2</t>
  </si>
  <si>
    <t>M414586740A</t>
  </si>
  <si>
    <t>D.7.3</t>
  </si>
  <si>
    <t>M414586741A</t>
  </si>
  <si>
    <t>D.7.4</t>
  </si>
  <si>
    <t>M414586742A</t>
  </si>
  <si>
    <t>D.8</t>
  </si>
  <si>
    <t xml:space="preserve">REDUCING SPLICE PLATE </t>
  </si>
  <si>
    <t>REDUCING SPLICE PLATE  (HEIGHT 140)</t>
  </si>
  <si>
    <t>- MATERIAL : COPPER-FREE ALUMINUM (MAX. 0.4% COPPER)</t>
  </si>
  <si>
    <t>- ACCESSORIES : BOLT &amp; NUT (316SS)</t>
  </si>
  <si>
    <t>D.8.1</t>
  </si>
  <si>
    <t xml:space="preserve">LADDER TRAY REDUCING SPLICE PLATE </t>
  </si>
  <si>
    <t>ET01AB99ZZ99ZZ99ZZ</t>
  </si>
  <si>
    <t>M414586743A</t>
  </si>
  <si>
    <t>D.8.2</t>
  </si>
  <si>
    <t>OUTDOOR TYPE 1</t>
  </si>
  <si>
    <t>M414586744A</t>
  </si>
  <si>
    <t>D.8.3</t>
  </si>
  <si>
    <t>OUTDOOR TYPE 2</t>
  </si>
  <si>
    <t>M414586745A</t>
  </si>
  <si>
    <t>D.8.4</t>
  </si>
  <si>
    <t>750 mm x 150 mm x 2.6 mm</t>
  </si>
  <si>
    <t>OUTDOOR TYPE 3</t>
  </si>
  <si>
    <t>2.6</t>
  </si>
  <si>
    <t>M421387043A</t>
  </si>
  <si>
    <t>D.9</t>
  </si>
  <si>
    <t>ADJUSTABLE HORIZONTAL CONNECTOR</t>
  </si>
  <si>
    <t>D.9.1</t>
  </si>
  <si>
    <t>LADDER TRAY ADJUSTABLE HORIZONTAL CONNECTOR (2 PIECE / EA)</t>
  </si>
  <si>
    <t>150 mm x 3 mm</t>
  </si>
  <si>
    <t>ET01AB99ZZ99ZZ11ZZ</t>
  </si>
  <si>
    <t>M349322058C</t>
  </si>
  <si>
    <t>D.10</t>
  </si>
  <si>
    <t>ADJUSTABLE VERTICAL CONNECTOR</t>
  </si>
  <si>
    <t>D.10.1</t>
  </si>
  <si>
    <t>LADDER TRAY ADJUSTABLE VERTICAL CONNECTOR (2 PIECE / EA)</t>
  </si>
  <si>
    <t>M349322058D</t>
  </si>
  <si>
    <t>D.11</t>
  </si>
  <si>
    <t>BLIND END PLATE</t>
  </si>
  <si>
    <t>D.11.1</t>
  </si>
  <si>
    <t>LADDER TRAY BLIND END PLATE</t>
  </si>
  <si>
    <t>ET01AB99ZZ99ZZ07ZZ</t>
  </si>
  <si>
    <t>M393921564B</t>
  </si>
  <si>
    <t>D.11.2</t>
  </si>
  <si>
    <t>M393921565C</t>
  </si>
  <si>
    <t>D.11.3</t>
  </si>
  <si>
    <t>M393921566B</t>
  </si>
  <si>
    <t>D.11.4</t>
  </si>
  <si>
    <t>M393921567B</t>
  </si>
  <si>
    <t>D.12</t>
  </si>
  <si>
    <t>SPLICE PLATE</t>
  </si>
  <si>
    <t>HEAVY DUTY SPLICE PLATE (HEIGHT 140)</t>
  </si>
  <si>
    <t>D.12.1</t>
  </si>
  <si>
    <t>LADDER TRAY SPLICE PLATE</t>
  </si>
  <si>
    <t>140 mm x 3 mm</t>
  </si>
  <si>
    <t>ET01AB99ZZ99ZZ14ZZ</t>
  </si>
  <si>
    <t>M365749320A</t>
  </si>
  <si>
    <t>D.13</t>
  </si>
  <si>
    <t>HEAVY DUTY EXPANSION SPLICE PLATE</t>
  </si>
  <si>
    <t>HEAVY DUTY EXPANSION SPLICE PLATE (HEIGHT 140)</t>
  </si>
  <si>
    <t>D.13.1</t>
  </si>
  <si>
    <t>LADDER TRAY HEAVY DUTY EXPANSION SPLICE PLATE</t>
  </si>
  <si>
    <t>ET01AB99ZZ99ZZ08ZZ</t>
  </si>
  <si>
    <t>M414586751A</t>
  </si>
  <si>
    <t>D.14</t>
  </si>
  <si>
    <t>GROUND BONDING JUMPER</t>
  </si>
  <si>
    <t>- MATERIAL : INSULATED COPPER WIRED GROUND CABLE (GREEN &amp;YELLOW TRACER)</t>
  </si>
  <si>
    <t>- 35 SQMM x 400 MM LENGTH W/TERMINAL LUG (TINNED COPPER)</t>
  </si>
  <si>
    <t>- ACCESSORIES : 316SS SHANK BOLTS &amp; NUTS, WASHER</t>
  </si>
  <si>
    <t>D.14.1</t>
  </si>
  <si>
    <t>LADDER TRAY GROUND BONDING JUMPER</t>
  </si>
  <si>
    <t>None</t>
  </si>
  <si>
    <t>ET01AD99ZZ99ZZ01ZZ</t>
  </si>
  <si>
    <t>0</t>
  </si>
  <si>
    <t>M214244783F</t>
  </si>
  <si>
    <t>D.15</t>
  </si>
  <si>
    <t>HOLD DOWN CLAMP</t>
  </si>
  <si>
    <t>- MATERIAL : STAINLESS STEEL(316SS)</t>
  </si>
  <si>
    <t>- ACCESSORIES :  316SS BOLT &amp; NUT, WASHER</t>
  </si>
  <si>
    <t>D.15.1</t>
  </si>
  <si>
    <t>BEAM CLAMP TYPE FOR HORIZONTAL LADDER CABLE TRAY</t>
  </si>
  <si>
    <t>ET01AI99ZZ99ZZ19ZZ</t>
  </si>
  <si>
    <t>M286458936B</t>
  </si>
  <si>
    <t>D.15.2</t>
  </si>
  <si>
    <t>BEAM GUIDE TYPE FOR HORIZONTAL LADDER CABLE TRAY</t>
  </si>
  <si>
    <t>ET01AI99ZZ99ZZ99ZZ</t>
  </si>
  <si>
    <t>M272892167M</t>
  </si>
  <si>
    <t>D.15.3</t>
  </si>
  <si>
    <t>HOLD DOWN BRACKET 2 HOLE (FOR VERTICAL PARTS)</t>
  </si>
  <si>
    <t>ET01AI99ZZ99ZZ13ZZ</t>
  </si>
  <si>
    <t>M349322296B</t>
  </si>
  <si>
    <t>D.15.4</t>
  </si>
  <si>
    <t>HOLD DOWN CLAMP WITH SPRING NUT (For U-Channel)</t>
  </si>
  <si>
    <t>M272892167N</t>
  </si>
  <si>
    <t>D.15.5</t>
  </si>
  <si>
    <t>GUIDE TYPE CLAMP WITH SPRING NUT (For U-Channel)</t>
  </si>
  <si>
    <t>M272892167O</t>
  </si>
  <si>
    <t>D.15.6</t>
  </si>
  <si>
    <t>HOLD DOWN BRACKET 4 HOLE (FOR VERTICAL PARTS)</t>
  </si>
  <si>
    <t>M272892167B</t>
  </si>
  <si>
    <t>D.16</t>
  </si>
  <si>
    <t>HEAVY DUTY CABLE TRAY COVER CLAMP</t>
  </si>
  <si>
    <t>- COMPLETE WITH BOLT &amp; NUTS &amp; WWASHER : 316SS</t>
  </si>
  <si>
    <t>- COMPLETE WITH NON-METALIC WASHER(GASKET) SUCH AS TEFLON OR NITRILE RUBBER TO WITHSTAND CORROSION</t>
  </si>
  <si>
    <t>D.16.1</t>
  </si>
  <si>
    <t>ET01AB99ZZ99ZZ03ZZ</t>
  </si>
  <si>
    <t>M414586746A</t>
  </si>
  <si>
    <t>D.16.2</t>
  </si>
  <si>
    <t>M414586747A</t>
  </si>
  <si>
    <t>D.16.3</t>
  </si>
  <si>
    <t>M414586748A</t>
  </si>
  <si>
    <t>D.16.4</t>
  </si>
  <si>
    <t>M414586749A</t>
  </si>
  <si>
    <t>LADDER CABLE TRAY - INDOOR</t>
  </si>
  <si>
    <t>- FITTINGS  RADIUS : 300mm (INDOOR)</t>
  </si>
  <si>
    <t>D.17</t>
  </si>
  <si>
    <t>D.17.1</t>
  </si>
  <si>
    <t>INDOOR</t>
  </si>
  <si>
    <t>M414586722B</t>
  </si>
  <si>
    <t>SACS UPS &amp; Controller</t>
  </si>
  <si>
    <t>D.17.2</t>
  </si>
  <si>
    <t>M414586723B</t>
  </si>
  <si>
    <t>D.17.3</t>
  </si>
  <si>
    <t>457 mm(18") (W) x 152 mm(6") (H) x 3.0 mm(T)</t>
  </si>
  <si>
    <t>M414586750A</t>
  </si>
  <si>
    <t>D.17.4</t>
  </si>
  <si>
    <t>M414586724B</t>
  </si>
  <si>
    <t>D.17.5</t>
  </si>
  <si>
    <t>M414586725B</t>
  </si>
  <si>
    <t>D.18</t>
  </si>
  <si>
    <t>HORIZONTAL ELBOW (90DEG) WITHOUT COVERS</t>
  </si>
  <si>
    <t>D.18.1</t>
  </si>
  <si>
    <t>LADDER TRAY HORIZONTAL ELBOW (90DEG) WITHOUT COVERS</t>
  </si>
  <si>
    <t>M414586726B</t>
  </si>
  <si>
    <t>D.18.2</t>
  </si>
  <si>
    <t>M414586727B</t>
  </si>
  <si>
    <t>D.18.3</t>
  </si>
  <si>
    <t>M414586728B</t>
  </si>
  <si>
    <t>D.18.4</t>
  </si>
  <si>
    <t>M414586729B</t>
  </si>
  <si>
    <t>D.18.5</t>
  </si>
  <si>
    <t>450 mm x 150 mm x 2 mm</t>
  </si>
  <si>
    <t>2</t>
  </si>
  <si>
    <t>M421387044A</t>
  </si>
  <si>
    <t>- RADIUS : 300mm</t>
  </si>
  <si>
    <t>D.18.6</t>
  </si>
  <si>
    <t>ET04AB99AE03ZZ02ZZ</t>
  </si>
  <si>
    <t>M421387045A</t>
  </si>
  <si>
    <t>D.18.7</t>
  </si>
  <si>
    <t>M421387046A</t>
  </si>
  <si>
    <t>D.19</t>
  </si>
  <si>
    <t>HORIZONTAL TEE WITHOUT COVERS</t>
  </si>
  <si>
    <t>D.19.1</t>
  </si>
  <si>
    <t>LADDER TRAY HORIZONTAL TEE WITHOUT COVERS</t>
  </si>
  <si>
    <t>M414586731B</t>
  </si>
  <si>
    <t>D.19.2</t>
  </si>
  <si>
    <t>M414586732B</t>
  </si>
  <si>
    <t>D.19.3</t>
  </si>
  <si>
    <t>M414586733B</t>
  </si>
  <si>
    <t>D.20</t>
  </si>
  <si>
    <t>D.20.1</t>
  </si>
  <si>
    <t>M414586745B</t>
  </si>
  <si>
    <t>D.20.2</t>
  </si>
  <si>
    <t>M414586744B</t>
  </si>
  <si>
    <t>D.20.3</t>
  </si>
  <si>
    <t>M421387047A</t>
  </si>
  <si>
    <t>D.21</t>
  </si>
  <si>
    <t>- MATERIAL : COPPER-FREE ALUMINIUM(MAXIMUM OF 0.4% COPPER)</t>
  </si>
  <si>
    <t>D.21.1</t>
  </si>
  <si>
    <t>ADJUSTABLE HORIZONTAL CONNECTOR (2 PIECE / EA)</t>
  </si>
  <si>
    <t>ET01AI99ZZ99ZZ11ZZ</t>
  </si>
  <si>
    <t>M367485430A</t>
  </si>
  <si>
    <t>D.22</t>
  </si>
  <si>
    <t>ADJUSTABLE VERTICAL RISER CONNECTOR</t>
  </si>
  <si>
    <t>D.22.1</t>
  </si>
  <si>
    <t>ADJUSTABLE VERTICAL RISER CONNECTOR (2 PIECE / EA)</t>
  </si>
  <si>
    <t>ET01AI99ZZ99ZZ12ZZ</t>
  </si>
  <si>
    <t>M367485431A</t>
  </si>
  <si>
    <t>D.23</t>
  </si>
  <si>
    <t>D.23.1</t>
  </si>
  <si>
    <t>M393921565D</t>
  </si>
  <si>
    <t>D.23.2</t>
  </si>
  <si>
    <t>M393921566C</t>
  </si>
  <si>
    <t>D.23.3</t>
  </si>
  <si>
    <t>M393921567C</t>
  </si>
  <si>
    <t>D.24</t>
  </si>
  <si>
    <t>D.24.1</t>
  </si>
  <si>
    <t>M365749320B</t>
  </si>
  <si>
    <t>D.25</t>
  </si>
  <si>
    <t>- 35 SQMM x 400 MM LENGTH W/TERMINAL LUG</t>
  </si>
  <si>
    <t>D.25.1</t>
  </si>
  <si>
    <t>M214244783G</t>
  </si>
  <si>
    <t>D.26</t>
  </si>
  <si>
    <t>- MATERIAL : 316SS</t>
  </si>
  <si>
    <t>D.26.1</t>
  </si>
  <si>
    <t>ET01AI99ZZ99ZZ10ZZ</t>
  </si>
  <si>
    <t>M286458938N</t>
  </si>
  <si>
    <t>177667</t>
  </si>
  <si>
    <t>149709</t>
  </si>
  <si>
    <t>Conduit Size</t>
  </si>
  <si>
    <t>Unit of Conduit Size</t>
  </si>
  <si>
    <t>G</t>
  </si>
  <si>
    <t>CONDUIT</t>
  </si>
  <si>
    <t>G.1</t>
  </si>
  <si>
    <t>RIGID STEEL GALVANIZED CONDUIT (RSGC)</t>
  </si>
  <si>
    <t>- ANSI C80.1 RIGID GALVANIZED STEEL WITH PVC COATED</t>
  </si>
  <si>
    <t>(MIN. TKS OF PVC : 40 MILS (1MM) PER NEMA RN1.)</t>
  </si>
  <si>
    <t>- BOTH ENDS NPT THREADED WITH COUPLING SCREWED ON ONE ENDS.</t>
  </si>
  <si>
    <t>G.1.1</t>
  </si>
  <si>
    <t>LENGTH : 3M</t>
  </si>
  <si>
    <t>1"</t>
  </si>
  <si>
    <t>For Instrument</t>
  </si>
  <si>
    <t>EU04AI02AC07</t>
  </si>
  <si>
    <t>inch</t>
  </si>
  <si>
    <t>M220652764C</t>
  </si>
  <si>
    <t>G.1.2</t>
  </si>
  <si>
    <t>1-1/4"</t>
  </si>
  <si>
    <t>1.25</t>
  </si>
  <si>
    <t>M220652765A</t>
  </si>
  <si>
    <t>G.1.3</t>
  </si>
  <si>
    <t>1-1/2"</t>
  </si>
  <si>
    <t>1.5</t>
  </si>
  <si>
    <t>M220652766B</t>
  </si>
  <si>
    <t>G.1.4</t>
  </si>
  <si>
    <t>2"</t>
  </si>
  <si>
    <t>M220652767B</t>
  </si>
  <si>
    <t>G.1.5</t>
  </si>
  <si>
    <t>4"</t>
  </si>
  <si>
    <t>4</t>
  </si>
  <si>
    <t>M347616303A</t>
  </si>
  <si>
    <t>G.1.6</t>
  </si>
  <si>
    <t>3/4"</t>
  </si>
  <si>
    <t>For Telecom</t>
  </si>
  <si>
    <t>0.75</t>
  </si>
  <si>
    <t>M220652763A</t>
  </si>
  <si>
    <t>G.1.7</t>
  </si>
  <si>
    <t>M220652764B</t>
  </si>
  <si>
    <t>for branching out from main tray</t>
  </si>
  <si>
    <t>G.1.8</t>
  </si>
  <si>
    <t>M220652766A</t>
  </si>
  <si>
    <t>G.1.9</t>
  </si>
  <si>
    <t>2-1/2"</t>
  </si>
  <si>
    <t>2.5</t>
  </si>
  <si>
    <t>M414586752A</t>
  </si>
  <si>
    <t>G.1.10</t>
  </si>
  <si>
    <t>M220652765B</t>
  </si>
  <si>
    <t>G.1.12</t>
  </si>
  <si>
    <t>M347616303B</t>
  </si>
  <si>
    <t>G.2</t>
  </si>
  <si>
    <t>PVC PIPE CONDUIT</t>
  </si>
  <si>
    <t>- DB-120 As per NEMA TC 6 &amp; 8</t>
  </si>
  <si>
    <t>- Colored Gray, With One Coupling</t>
  </si>
  <si>
    <t>G.2.1</t>
  </si>
  <si>
    <t>LENGTH : 6M</t>
  </si>
  <si>
    <t>EU03AB99ZZ99</t>
  </si>
  <si>
    <t>M191110753D</t>
  </si>
  <si>
    <t>outdoor lateral runs connecting outdoor cameras, paging intercoms , and outdoor WAP enclosures to nearest routing points</t>
  </si>
  <si>
    <t>G.2.2</t>
  </si>
  <si>
    <t>M220652663B</t>
  </si>
  <si>
    <t>G.2.3</t>
  </si>
  <si>
    <t>M190965498H</t>
  </si>
  <si>
    <t>G.2.4</t>
  </si>
  <si>
    <t>M190965501F</t>
  </si>
  <si>
    <t>G.2.5</t>
  </si>
  <si>
    <t>6"</t>
  </si>
  <si>
    <t>6</t>
  </si>
  <si>
    <t>M347616320D</t>
  </si>
  <si>
    <t>G.2.5.1</t>
  </si>
  <si>
    <t>M190965497A</t>
  </si>
  <si>
    <t>G.2.5.2</t>
  </si>
  <si>
    <t>M190965501I</t>
  </si>
  <si>
    <t>- TYPE EB-20, NEMA TC 6 &amp; 8</t>
  </si>
  <si>
    <t>- Colored Gray, Without Coupling</t>
  </si>
  <si>
    <t>G.2.6</t>
  </si>
  <si>
    <t>FOR WALL OPENING</t>
  </si>
  <si>
    <t>M190965498G</t>
  </si>
  <si>
    <t>G.2.7</t>
  </si>
  <si>
    <t>3"</t>
  </si>
  <si>
    <t>3</t>
  </si>
  <si>
    <t>M190965500D</t>
  </si>
  <si>
    <t>G.2.8</t>
  </si>
  <si>
    <t>M191110753E</t>
  </si>
  <si>
    <t>G.3</t>
  </si>
  <si>
    <t>EMT CONDUIT</t>
  </si>
  <si>
    <t>- ANSI C80.3, UL797</t>
  </si>
  <si>
    <t>- WITH ONE END COUPLING</t>
  </si>
  <si>
    <t>G.3.1</t>
  </si>
  <si>
    <t>EU04AM05AB99</t>
  </si>
  <si>
    <t>M367575811B</t>
  </si>
  <si>
    <t>IVPS, SCS</t>
  </si>
  <si>
    <t>G.3.2</t>
  </si>
  <si>
    <t>M367575812B</t>
  </si>
  <si>
    <t>G.3.3</t>
  </si>
  <si>
    <t>M368407344A</t>
  </si>
  <si>
    <t>G.3.4</t>
  </si>
  <si>
    <t>M368407345A</t>
  </si>
  <si>
    <t>for PSA</t>
  </si>
  <si>
    <t>G.3.5</t>
  </si>
  <si>
    <t>M390258549A</t>
  </si>
  <si>
    <t>G.3.6</t>
  </si>
  <si>
    <t>1/2"</t>
  </si>
  <si>
    <t>0.5</t>
  </si>
  <si>
    <t>M414586753A</t>
  </si>
  <si>
    <t>G.3.7</t>
  </si>
  <si>
    <t>M414586754A</t>
  </si>
  <si>
    <t>G.4</t>
  </si>
  <si>
    <t>Corrugated Optical Duct (C.O.D)</t>
  </si>
  <si>
    <t>- HDPE corrugated pipe with 110mm (4") outer diameter, orange color</t>
  </si>
  <si>
    <t>G.4.1</t>
  </si>
  <si>
    <t>C.O.D with 5-1" Sub-ducts with pulling rope, 5 sub-duct color code : Blue/Orange/Green/White/Black</t>
  </si>
  <si>
    <t>C.O.D with 5-1" Sub-ducts</t>
  </si>
  <si>
    <t>EU02AG05AB99</t>
  </si>
  <si>
    <t>M367575826A</t>
  </si>
  <si>
    <t>G.4.2</t>
  </si>
  <si>
    <t>C.O.D with 4-1" Sub-ducts with pulling rope, 4 sub-duct color code : Blue/Orange/Green/White</t>
  </si>
  <si>
    <t>C.O.D with 4-1" Sub-ducts</t>
  </si>
  <si>
    <t>M367575826B</t>
  </si>
  <si>
    <t>FO CCTV</t>
  </si>
  <si>
    <t>G.4.3</t>
  </si>
  <si>
    <t>C.O.D with 3-1 1/2" Sub-ducts with pulling rope, 3 sub-duct color code : Orange/Green/White</t>
  </si>
  <si>
    <t>C.O.D with 3-1 1/2" Sub-ducts</t>
  </si>
  <si>
    <t>M367575826C</t>
  </si>
  <si>
    <t>G.4.4</t>
  </si>
  <si>
    <t>C.O.D without Sub-duct</t>
  </si>
  <si>
    <t>M367575826D</t>
  </si>
  <si>
    <t>G.4.5</t>
  </si>
  <si>
    <t>150 mm</t>
  </si>
  <si>
    <t>150</t>
  </si>
  <si>
    <t>mm</t>
  </si>
  <si>
    <t>M414586757A</t>
  </si>
  <si>
    <t>G.5</t>
  </si>
  <si>
    <t>Flexible Conduit</t>
  </si>
  <si>
    <t>- UL LIQUIDTIGHT FLEXIBLE METAL CONDUIT (FOR CLASS 1, ZONE 2) WITH PVC COATED</t>
  </si>
  <si>
    <t>- TEMPERATURE RATING ≥ 80℃</t>
  </si>
  <si>
    <t>G.5.1</t>
  </si>
  <si>
    <t>NPT(M) x NPT(F) (for Instrument)</t>
  </si>
  <si>
    <t>EU02AE02ZZ07</t>
  </si>
  <si>
    <t>M368429397D</t>
  </si>
  <si>
    <t>G.5.2</t>
  </si>
  <si>
    <t>M368429398D</t>
  </si>
  <si>
    <t>G.5.3</t>
  </si>
  <si>
    <t>M368429399B</t>
  </si>
  <si>
    <t>G.5.4</t>
  </si>
  <si>
    <t>M368429400C</t>
  </si>
  <si>
    <t>G.5.5</t>
  </si>
  <si>
    <t>NPT(M) x NPT(F)  (for Telecom)</t>
  </si>
  <si>
    <t>M368429397B</t>
  </si>
  <si>
    <t>G.5.6</t>
  </si>
  <si>
    <t>.75</t>
  </si>
  <si>
    <t>M390284338A</t>
  </si>
  <si>
    <t>G.5.7</t>
  </si>
  <si>
    <t>M421387002A</t>
  </si>
  <si>
    <t>G.5.8</t>
  </si>
  <si>
    <t>M421387003A</t>
  </si>
  <si>
    <t>G.5.9</t>
  </si>
  <si>
    <t>M368429398E</t>
  </si>
  <si>
    <t>G.6</t>
  </si>
  <si>
    <t>FLEXIBLE METALLIC CONDUIT</t>
  </si>
  <si>
    <t>UL listed, Gavanized Steel Type FMC</t>
  </si>
  <si>
    <t>G.6.1</t>
  </si>
  <si>
    <t>3/4'', for Telecom</t>
  </si>
  <si>
    <t>M390284338B</t>
  </si>
  <si>
    <t>G.6.2</t>
  </si>
  <si>
    <t>1", for Telecom</t>
  </si>
  <si>
    <t>M368429397C</t>
  </si>
  <si>
    <t>G.6.3</t>
  </si>
  <si>
    <t>1-1/2", for Telecom</t>
  </si>
  <si>
    <t>M368429398B</t>
  </si>
  <si>
    <t>G.7</t>
  </si>
  <si>
    <t>HDPE Sub-duct</t>
  </si>
  <si>
    <t>G.7.1</t>
  </si>
  <si>
    <t>Green, for Telecom</t>
  </si>
  <si>
    <t>EU02AG02ZZ99</t>
  </si>
  <si>
    <t>M421387016A</t>
  </si>
  <si>
    <t>G.7.2</t>
  </si>
  <si>
    <t>Blue, for Telecom</t>
  </si>
  <si>
    <t>M421387016B</t>
  </si>
  <si>
    <t>G.7.3</t>
  </si>
  <si>
    <t>White, for Telecom</t>
  </si>
  <si>
    <t>M421387016C</t>
  </si>
  <si>
    <t>G.7.4</t>
  </si>
  <si>
    <t>Orange, for Telecom</t>
  </si>
  <si>
    <t>M421387016D</t>
  </si>
  <si>
    <t>Gland Size</t>
  </si>
  <si>
    <t>I</t>
  </si>
  <si>
    <t>CABLE GLAND</t>
  </si>
  <si>
    <t>I.1</t>
  </si>
  <si>
    <t>ARMORED CABLE GLAND</t>
  </si>
  <si>
    <t>- Certified flameproof (type 'd', EEx d), IP66</t>
  </si>
  <si>
    <t>- Seal ring and compound barrier seal</t>
  </si>
  <si>
    <t>- Sealing ring kit, PCV shroud, Locknut, Earth Tag, Washer</t>
  </si>
  <si>
    <t>- Material including metal fastener : 316SS</t>
  </si>
  <si>
    <t>- Shall be designed to bond the armor ( listed as suitable for grounding )</t>
  </si>
  <si>
    <t>and bond the armored to the gland</t>
  </si>
  <si>
    <t>I.1.1</t>
  </si>
  <si>
    <t>M20</t>
  </si>
  <si>
    <t>M20.M, SEALING RANGE : 3</t>
  </si>
  <si>
    <t>ED01AI99AE01ZZ10AD99ZZ</t>
  </si>
  <si>
    <t>20</t>
  </si>
  <si>
    <t>M388017318D</t>
  </si>
  <si>
    <t>I.1.2</t>
  </si>
  <si>
    <t>M25</t>
  </si>
  <si>
    <t>M25.M, SEALING RANGE : 3</t>
  </si>
  <si>
    <t>25</t>
  </si>
  <si>
    <t>M388017319C</t>
  </si>
  <si>
    <t>I.1.3</t>
  </si>
  <si>
    <t>M32</t>
  </si>
  <si>
    <t>M32.M, SEALING RANGE : 3</t>
  </si>
  <si>
    <t>32</t>
  </si>
  <si>
    <t>M388017320C</t>
  </si>
  <si>
    <t>I.1.4</t>
  </si>
  <si>
    <t>M40</t>
  </si>
  <si>
    <t>M40.M, SEALING RANGE : 3</t>
  </si>
  <si>
    <t>40</t>
  </si>
  <si>
    <t>M388017321C</t>
  </si>
  <si>
    <t>I.1.5</t>
  </si>
  <si>
    <t>M20.M, FOR TELECOM</t>
  </si>
  <si>
    <t>M388017318C</t>
  </si>
  <si>
    <t>Armored M20 cable glands for outdoor telecom and security devices. Sourced from PTZ: 48, FEC: 6, IAP: 27, OSP: 20, and IVPS: 228. Quantities: SS-070: 3, SS-071: 3, PKG-2 Common: 323.</t>
  </si>
  <si>
    <t>I.1.6</t>
  </si>
  <si>
    <t>M25.M, FOR TELECOM</t>
  </si>
  <si>
    <t>M388017319B</t>
  </si>
  <si>
    <t>Armored M25 cable glands for outdoor telecom, security, and power devices. Includes 121 telecom glands + 28 power cable glands (field ends).</t>
  </si>
  <si>
    <t>I.1.7</t>
  </si>
  <si>
    <t>M32.M, FOR TELECOM</t>
  </si>
  <si>
    <t>M388017320B</t>
  </si>
  <si>
    <t>Armored M32 cable glands for outdoor telecom and security devices. Sourced from FEC: 3 and OSP: 15. Quantities: PKG-2 Common: 18.</t>
  </si>
  <si>
    <t>I.1.8</t>
  </si>
  <si>
    <t>M40.M, FOR TELECOM</t>
  </si>
  <si>
    <t>M388017321B</t>
  </si>
  <si>
    <t>I.1.9</t>
  </si>
  <si>
    <t>M50</t>
  </si>
  <si>
    <t>M50.M, FOR TELECOM</t>
  </si>
  <si>
    <t>50</t>
  </si>
  <si>
    <t>M421387008A</t>
  </si>
  <si>
    <t>I.1.10</t>
  </si>
  <si>
    <t>M20.M, SEALING RANGE : 2</t>
  </si>
  <si>
    <t>M388017318E</t>
  </si>
  <si>
    <t>I.2</t>
  </si>
  <si>
    <t>NON-ARMORED CABLE GLAND</t>
  </si>
  <si>
    <t>- METRIC.M X METRIC.F for Flexible Conduit Connection</t>
  </si>
  <si>
    <t>I.2.1</t>
  </si>
  <si>
    <t>M20.M, NON-ARMORED, SEALING RANGE : 3</t>
  </si>
  <si>
    <t>ED03AI99AE01ZZ10AD99ZZ</t>
  </si>
  <si>
    <t>M388017322E</t>
  </si>
  <si>
    <t>I.2.2</t>
  </si>
  <si>
    <t>M25.M, NON-ARMORED, SEALING RANGE : 3</t>
  </si>
  <si>
    <t>M388017323F</t>
  </si>
  <si>
    <t>I.2.3</t>
  </si>
  <si>
    <t>M32.M, NON-ARMORED, SEALING RANGE : 3</t>
  </si>
  <si>
    <t>M388017324G</t>
  </si>
  <si>
    <t>I.2.4</t>
  </si>
  <si>
    <t>M40.M, NON-ARMORED, SEALING RANGE : 3</t>
  </si>
  <si>
    <t>M388017325G</t>
  </si>
  <si>
    <t>I.2.5</t>
  </si>
  <si>
    <t>M50.M, NON-ARMORED, SEALING RANGE : 3</t>
  </si>
  <si>
    <t>M388017326F</t>
  </si>
  <si>
    <t>I.2.6</t>
  </si>
  <si>
    <t>M63</t>
  </si>
  <si>
    <t>M63.M, NON-ARMORED, SEALING RANGE : 3</t>
  </si>
  <si>
    <t>63</t>
  </si>
  <si>
    <t>M388017333D</t>
  </si>
  <si>
    <t>I.2.7</t>
  </si>
  <si>
    <t>M40.M X M40.F, SEALING RANGE : 2</t>
  </si>
  <si>
    <t>M388017325H</t>
  </si>
  <si>
    <t>I.2.8</t>
  </si>
  <si>
    <t>M50.M X M50.F, SEALING RANGE : 2</t>
  </si>
  <si>
    <t>M388017326G</t>
  </si>
  <si>
    <t>I.2.9</t>
  </si>
  <si>
    <t>M63.M X M63.F, SEALING RANGE : 2,</t>
  </si>
  <si>
    <t>M388017333E</t>
  </si>
  <si>
    <t>I.2.10</t>
  </si>
  <si>
    <t>1/2"NPT.M X M20.F, SEALING RANGE : 3</t>
  </si>
  <si>
    <t>.5</t>
  </si>
  <si>
    <t>M421387011A</t>
  </si>
  <si>
    <t>I.2.11</t>
  </si>
  <si>
    <t>3/4"NPT.M X M25.F, SEALING RANGE : 2</t>
  </si>
  <si>
    <t>M421387013A</t>
  </si>
  <si>
    <t>I.2.12</t>
  </si>
  <si>
    <t>M20.M, NON-ARMORED, FOR TELECOM</t>
  </si>
  <si>
    <t>M388017322F</t>
  </si>
  <si>
    <t>Non-armored M20 cable glands for outdoor fixed cameras. Quantities updated based on camera counts (2 glands per camera): SS-070: 8, PIB-080: 8, SS-071: 8, SS-072: 20, PIB-081: 16.</t>
  </si>
  <si>
    <t>I.2.13</t>
  </si>
  <si>
    <t>M25.M, NON-ARMORED, FOR TELECOM</t>
  </si>
  <si>
    <t>M388017323G</t>
  </si>
  <si>
    <t>Assumed</t>
  </si>
  <si>
    <t>I.3</t>
  </si>
  <si>
    <t>ADAPTOR</t>
  </si>
  <si>
    <t>- 316SS, METRIC threaded, 'O' Ring (Male x Female)</t>
  </si>
  <si>
    <t>I.3.1</t>
  </si>
  <si>
    <t>M20. M x M25. F</t>
  </si>
  <si>
    <t>M388017323B</t>
  </si>
  <si>
    <t>I.3.2</t>
  </si>
  <si>
    <t>M20. M x M32. F</t>
  </si>
  <si>
    <t>M388017324B</t>
  </si>
  <si>
    <t>I.3.3</t>
  </si>
  <si>
    <t>M25. M x M32. F</t>
  </si>
  <si>
    <t>M388017324C</t>
  </si>
  <si>
    <t>I.3.4</t>
  </si>
  <si>
    <t>M25. M x M40. F</t>
  </si>
  <si>
    <t>M388017325B</t>
  </si>
  <si>
    <t>I.3.5</t>
  </si>
  <si>
    <t>M32. M x M40. F</t>
  </si>
  <si>
    <t>M388017325C</t>
  </si>
  <si>
    <t>I.3.6</t>
  </si>
  <si>
    <t>M32. M x M50. F</t>
  </si>
  <si>
    <t>M388017326B</t>
  </si>
  <si>
    <t>I.3.7</t>
  </si>
  <si>
    <t>M40. M x M50. F</t>
  </si>
  <si>
    <t>M388017326C</t>
  </si>
  <si>
    <t>I.3.8</t>
  </si>
  <si>
    <t>M40. M x M63. F</t>
  </si>
  <si>
    <t>M388017333A</t>
  </si>
  <si>
    <t>I.3.9</t>
  </si>
  <si>
    <t>M50. M x M63. F</t>
  </si>
  <si>
    <t>M388017333B</t>
  </si>
  <si>
    <t>I.3.9.1</t>
  </si>
  <si>
    <t>1/2"NPT(M) x M20(F)</t>
  </si>
  <si>
    <t>M421387011B</t>
  </si>
  <si>
    <t>I.3.9.2</t>
  </si>
  <si>
    <t>3/4"NPT(M) x M25(F)</t>
  </si>
  <si>
    <t>M421387013B</t>
  </si>
  <si>
    <t>I.3.9.3</t>
  </si>
  <si>
    <t>1"NPT(M) x M32(F)</t>
  </si>
  <si>
    <t>M421387009A</t>
  </si>
  <si>
    <t>I.3.9.4</t>
  </si>
  <si>
    <t>1-1/2"NPT(M) x M50(F)</t>
  </si>
  <si>
    <t>M421387014A</t>
  </si>
  <si>
    <t>I.3.9.5</t>
  </si>
  <si>
    <t>M388017322G</t>
  </si>
  <si>
    <t>I.3.9.6</t>
  </si>
  <si>
    <t>M63. M x M50. F</t>
  </si>
  <si>
    <t>M388017333F</t>
  </si>
  <si>
    <t>I.4</t>
  </si>
  <si>
    <t>REDUCER</t>
  </si>
  <si>
    <t>I.4.1</t>
  </si>
  <si>
    <t>M25. M x M20. F</t>
  </si>
  <si>
    <t>M388017322B</t>
  </si>
  <si>
    <t>I.4.2</t>
  </si>
  <si>
    <t>M32. M x M20. F</t>
  </si>
  <si>
    <t>M388017322C</t>
  </si>
  <si>
    <t>I.4.3</t>
  </si>
  <si>
    <t>M32. M x M25. F</t>
  </si>
  <si>
    <t>M388017323C</t>
  </si>
  <si>
    <t>I.4.4</t>
  </si>
  <si>
    <t>M40. M x M25. F</t>
  </si>
  <si>
    <t>M388017323D</t>
  </si>
  <si>
    <t>I.4.5</t>
  </si>
  <si>
    <t>M40. M x M32. F</t>
  </si>
  <si>
    <t>M388017324D</t>
  </si>
  <si>
    <t>I.4.6</t>
  </si>
  <si>
    <t>M50. M x M32. F</t>
  </si>
  <si>
    <t>M388017324E</t>
  </si>
  <si>
    <t>I.4.7</t>
  </si>
  <si>
    <t>M50. M x M40. F</t>
  </si>
  <si>
    <t>M388017325D</t>
  </si>
  <si>
    <t>I.4.8</t>
  </si>
  <si>
    <t>M63. M x M40. F</t>
  </si>
  <si>
    <t>M388017325E</t>
  </si>
  <si>
    <t>I.4.9</t>
  </si>
  <si>
    <t>M388017326D</t>
  </si>
  <si>
    <t>I.5</t>
  </si>
  <si>
    <t>PLUG</t>
  </si>
  <si>
    <t>- 316SS, METRIC threaded</t>
  </si>
  <si>
    <t>I.5.1</t>
  </si>
  <si>
    <t>M20.M, PLUG</t>
  </si>
  <si>
    <t>M388017322D</t>
  </si>
  <si>
    <t>I.5.2</t>
  </si>
  <si>
    <t>M25.M, PLUG</t>
  </si>
  <si>
    <t>M388017323E</t>
  </si>
  <si>
    <t>I.5.3</t>
  </si>
  <si>
    <t>M32.M, PLUG</t>
  </si>
  <si>
    <t>M388017324F</t>
  </si>
  <si>
    <t>I.5.4</t>
  </si>
  <si>
    <t>M40.M, PLUG</t>
  </si>
  <si>
    <t>M388017325F</t>
  </si>
  <si>
    <t>I.5.5</t>
  </si>
  <si>
    <t>M50.M, PLUG</t>
  </si>
  <si>
    <t>M388017326E</t>
  </si>
  <si>
    <t>Support Width</t>
  </si>
  <si>
    <t>Support Height</t>
  </si>
  <si>
    <t>Support Thickness</t>
  </si>
  <si>
    <t>Q</t>
  </si>
  <si>
    <t>SUPPORT</t>
  </si>
  <si>
    <t>Q.1</t>
  </si>
  <si>
    <t>"U" CHANNEL (UNISTRUT CHANNEL)</t>
  </si>
  <si>
    <t>Q.1.1</t>
  </si>
  <si>
    <t>MATERIAL : HOT DIP GALVANIZED STEEL with APCS-26 Coating</t>
  </si>
  <si>
    <t>41 x 41 x 2.5t</t>
  </si>
  <si>
    <t>with APCS-26 Coating, For Instrument</t>
  </si>
  <si>
    <t>IM23AA</t>
  </si>
  <si>
    <t>M220652813G</t>
  </si>
  <si>
    <t>Q.1.2</t>
  </si>
  <si>
    <t>MATERIAL : HOT DIP GALVANIZED STEEL</t>
  </si>
  <si>
    <t>M220652813</t>
  </si>
  <si>
    <t>Q.1.3</t>
  </si>
  <si>
    <t>MATERIAL : HOT DIP GALVANIZED STEEL (Double Type)</t>
  </si>
  <si>
    <t>(Double Type, For Instrument</t>
  </si>
  <si>
    <t>M220652813H</t>
  </si>
  <si>
    <t>Q.1.4</t>
  </si>
  <si>
    <t>with APCS-26 Coating, For Telecom</t>
  </si>
  <si>
    <t>M220652813E</t>
  </si>
  <si>
    <t>Q.1.5</t>
  </si>
  <si>
    <t>M220652813F</t>
  </si>
  <si>
    <t>Q.1.6</t>
  </si>
  <si>
    <t>82 x 82 x 2.5t</t>
  </si>
  <si>
    <t>M421387020A</t>
  </si>
  <si>
    <t>Q.1.7</t>
  </si>
  <si>
    <t>MATERIAL : HOT DIP GALVANIZED STEEL with PVC Coating</t>
  </si>
  <si>
    <t>with PVC Coating, For Telecom</t>
  </si>
  <si>
    <t>M220652813I</t>
  </si>
  <si>
    <t xml:space="preserve"> </t>
  </si>
  <si>
    <t>Q.2</t>
  </si>
  <si>
    <t>"C" CHANNEL</t>
  </si>
  <si>
    <t>Q.2.1</t>
  </si>
  <si>
    <t>100 x 50 x 5t</t>
  </si>
  <si>
    <t>APCS-26 Coating, For Instrument</t>
  </si>
  <si>
    <t>IM22ZZ</t>
  </si>
  <si>
    <t>M206428743L</t>
  </si>
  <si>
    <t>Q.2.2</t>
  </si>
  <si>
    <t>M206428743M</t>
  </si>
  <si>
    <t>Q.2.3</t>
  </si>
  <si>
    <t>150 x 75 x 6.5t</t>
  </si>
  <si>
    <t>M222716891C</t>
  </si>
  <si>
    <t>Q.2.4</t>
  </si>
  <si>
    <t>APCS-26 Coating, For Telecom</t>
  </si>
  <si>
    <t>M206428743G</t>
  </si>
  <si>
    <t>Q.2.5</t>
  </si>
  <si>
    <t>75 x 75 x 5t</t>
  </si>
  <si>
    <t>APCS-26 Coating , For Telecom</t>
  </si>
  <si>
    <t>M206428767A</t>
  </si>
  <si>
    <t>Q.2.6</t>
  </si>
  <si>
    <t>125 x 65 x 5t</t>
  </si>
  <si>
    <t>M414586711C</t>
  </si>
  <si>
    <t>Q.3</t>
  </si>
  <si>
    <t>ANGLE</t>
  </si>
  <si>
    <t>Q.3.1</t>
  </si>
  <si>
    <t>50 x 50 x 6t</t>
  </si>
  <si>
    <t>IM21ZZ</t>
  </si>
  <si>
    <t>M209850335I</t>
  </si>
  <si>
    <t>Q.3.2</t>
  </si>
  <si>
    <t>M209850335J</t>
  </si>
  <si>
    <t>Q.3.3</t>
  </si>
  <si>
    <t>M209850335E</t>
  </si>
  <si>
    <t>Q.3.4</t>
  </si>
  <si>
    <t>75 x 75 x 6t</t>
  </si>
  <si>
    <t>APCS-26 Coating  (for Telecom)</t>
  </si>
  <si>
    <t>M206428742A</t>
  </si>
  <si>
    <t>Q.4</t>
  </si>
  <si>
    <t>STANCHION PIPE</t>
  </si>
  <si>
    <t>MATERIAL : HOT DIP GALVANIZED STEEL, 40 SCH WITH BASE PLATE, BLIND PLATE,</t>
  </si>
  <si>
    <t>NAMEPLATE BASE, EARTHING BOSS &amp; GUSSET PLATE with APCS-26 coating</t>
  </si>
  <si>
    <t>Q.4.1</t>
  </si>
  <si>
    <t>Single pole Type</t>
  </si>
  <si>
    <t>2"x1600mm</t>
  </si>
  <si>
    <t>IM13ZZ</t>
  </si>
  <si>
    <t>M206428747AY</t>
  </si>
  <si>
    <t>Q.4.2</t>
  </si>
  <si>
    <t>2"x700mm</t>
  </si>
  <si>
    <t>M206428747O</t>
  </si>
  <si>
    <t>Q.4.3</t>
  </si>
  <si>
    <t>2"x2500mm</t>
  </si>
  <si>
    <t>M206428747AZ</t>
  </si>
  <si>
    <t>Q.4.4</t>
  </si>
  <si>
    <t>Double pole Type</t>
  </si>
  <si>
    <t>2"x1600mm Double</t>
  </si>
  <si>
    <t>M206428747BC</t>
  </si>
  <si>
    <t>Q.4.5</t>
  </si>
  <si>
    <t>Triple pole Type</t>
  </si>
  <si>
    <t>2"x1600mm Triple</t>
  </si>
  <si>
    <t>M206428747BD</t>
  </si>
  <si>
    <t>Q.4.6</t>
  </si>
  <si>
    <t>Multi Pole Type</t>
  </si>
  <si>
    <t>2"x1600mm, TT Rack</t>
  </si>
  <si>
    <t>M206428747BK</t>
  </si>
  <si>
    <t>Q.5</t>
  </si>
  <si>
    <t>STEEL PLATE</t>
  </si>
  <si>
    <t>Q.5.1</t>
  </si>
  <si>
    <t>12mmф x 4 Holes with APCS-26 Coating</t>
  </si>
  <si>
    <t>250 x 250 x 8t</t>
  </si>
  <si>
    <t>IM24ZZ</t>
  </si>
  <si>
    <t>M280954899C</t>
  </si>
  <si>
    <t>Q.5.2</t>
  </si>
  <si>
    <t>12mmф x 2 Holes</t>
  </si>
  <si>
    <t>M280954899D</t>
  </si>
  <si>
    <t>Q.5.3</t>
  </si>
  <si>
    <t>10mmф x 2 Holes (pre Fabricated) with APCS-26 Coating</t>
  </si>
  <si>
    <t>150 x 70 x 5t</t>
  </si>
  <si>
    <t>150 x 70 x 5t(base plate) + 250mm(Angle)
plate) + 250mm(Angle), 10mmф x 2 Holes (pre Fabricated) with APCS-26 Coating</t>
  </si>
  <si>
    <t>M349321990D</t>
  </si>
  <si>
    <t>Q.5.4</t>
  </si>
  <si>
    <t>10mmф x 4 Holes with APCS-26 Coating</t>
  </si>
  <si>
    <t>100 x 100 x 5t</t>
  </si>
  <si>
    <t>M280954901D</t>
  </si>
  <si>
    <t>Q.5.5</t>
  </si>
  <si>
    <t>(TOE Plate) with APCS-26 Coating</t>
  </si>
  <si>
    <t>125 x 2000 x 6t</t>
  </si>
  <si>
    <t>M349321991B</t>
  </si>
  <si>
    <t>Q.5.6</t>
  </si>
  <si>
    <t>(Gusset Plate) with APCS-26 Coating</t>
  </si>
  <si>
    <t>130 x 80 x 5t</t>
  </si>
  <si>
    <t>M365749317B</t>
  </si>
  <si>
    <t>Q.5.7</t>
  </si>
  <si>
    <t>(Name Plate Base) with APCS-26 Coating</t>
  </si>
  <si>
    <t>85 x 50 x 3t</t>
  </si>
  <si>
    <t>M365749318B</t>
  </si>
  <si>
    <t>Q.5.8</t>
  </si>
  <si>
    <t>400 x 210 x 6t</t>
  </si>
  <si>
    <t>M367575867A</t>
  </si>
  <si>
    <t>Q.5.9</t>
  </si>
  <si>
    <t>12mmф x 4 Holes with APCS-26 Coating  (for Telecom)</t>
  </si>
  <si>
    <t>M280954899E</t>
  </si>
  <si>
    <t>Q.5.10</t>
  </si>
  <si>
    <t>10mmф x 4 Holes with APCS-26 Coating  (for Telecom)</t>
  </si>
  <si>
    <t>M280954901E</t>
  </si>
  <si>
    <t>Q.5.11</t>
  </si>
  <si>
    <t>350 x 350 x 10t</t>
  </si>
  <si>
    <t>M206428755A</t>
  </si>
  <si>
    <t>Q.5.12</t>
  </si>
  <si>
    <t>12mmф x 2 Holes with APCS-26 Coating</t>
  </si>
  <si>
    <t>250 x 125 x 8t</t>
  </si>
  <si>
    <t>M365749316B</t>
  </si>
  <si>
    <t>Q.5.13</t>
  </si>
  <si>
    <t>250 x 70 x 8t</t>
  </si>
  <si>
    <t>M414586712A</t>
  </si>
  <si>
    <t>Q.5.14</t>
  </si>
  <si>
    <t>200 x 70 x 8t</t>
  </si>
  <si>
    <t>M414586713A</t>
  </si>
  <si>
    <t>Q.5.15</t>
  </si>
  <si>
    <t>(TOE PLATE) with APCS-26 Coating</t>
  </si>
  <si>
    <t>350 x 125 x 6t</t>
  </si>
  <si>
    <t>M414586721A</t>
  </si>
  <si>
    <t>Q.5.16</t>
  </si>
  <si>
    <t>(POST PLATE) 14 mmф x 2 Holes with APCS-26 Coationg</t>
  </si>
  <si>
    <t>100 x 200 x 6t x 82 x 90 x 6</t>
  </si>
  <si>
    <t>(POST PLATE) with APCS-26 Coating</t>
  </si>
  <si>
    <t>M421387021A</t>
  </si>
  <si>
    <t>Q.5.17</t>
  </si>
  <si>
    <t>(TOE Plate) with APCS-26 Coating (for Telecom)</t>
  </si>
  <si>
    <t>M349321991C</t>
  </si>
  <si>
    <t>Q.5.18</t>
  </si>
  <si>
    <t>12mmф x 2 Holes with APCS-26 Coating for Telecom</t>
  </si>
  <si>
    <t>M365749316C</t>
  </si>
  <si>
    <t>Q.6</t>
  </si>
  <si>
    <t>SUNSHADE</t>
  </si>
  <si>
    <t>Q.6.1</t>
  </si>
  <si>
    <t>GRP, Bracket w/ 2" U-Bolt &amp; Nuts, washer</t>
  </si>
  <si>
    <t>NONE</t>
  </si>
  <si>
    <t>GRP, Bracket w/ 2" U-Bolt &amp; Nuts, washer, by Vendor</t>
  </si>
  <si>
    <t>IM12ED</t>
  </si>
  <si>
    <t>M349321992G</t>
  </si>
  <si>
    <t>Q.6.2</t>
  </si>
  <si>
    <t>GRP, (for Multi Transmitter Rack) with Bolting type</t>
  </si>
  <si>
    <t>GRP, (for Multi Transmitter Rack) with Bolting type, by Vendor</t>
  </si>
  <si>
    <t>M349321992H</t>
  </si>
  <si>
    <t>Q.6.3</t>
  </si>
  <si>
    <t>316SS, Bracket w/ 2" U-Bolt &amp; Nuts, washer</t>
  </si>
  <si>
    <t>316SS, Bracket w/ 2" U-Bolt &amp; Nuts, washer, by Vendor</t>
  </si>
  <si>
    <t>M349321992I</t>
  </si>
  <si>
    <t>Q.7</t>
  </si>
  <si>
    <t>NAME PLATE</t>
  </si>
  <si>
    <t>PHENOLIC / BAKELITE-LAMINATED PLASTIC WITH SCREWS (316SS)</t>
  </si>
  <si>
    <t>Q.7.1</t>
  </si>
  <si>
    <t>- BLACK TEXT WITH WHITE BACKGROUND FOR DCS</t>
  </si>
  <si>
    <t>IM62ZZ</t>
  </si>
  <si>
    <t>M220651966E</t>
  </si>
  <si>
    <t>Q.7.2</t>
  </si>
  <si>
    <t>- WHITE TEXT WITH RED BACKGROUND FOR ESD &amp; FGS</t>
  </si>
  <si>
    <t>M220651966F</t>
  </si>
  <si>
    <t>Q.7.3</t>
  </si>
  <si>
    <t>STAINLESS STEEL NAMEPLATE WITH BLACK TEXT FOR TAPPING POINT</t>
  </si>
  <si>
    <t>M220651966G</t>
  </si>
  <si>
    <t>Q.7.4</t>
  </si>
  <si>
    <t>TWISTED STAINLESS STEEL WIRE</t>
  </si>
  <si>
    <t>M220651966H</t>
  </si>
  <si>
    <t>Q.8</t>
  </si>
  <si>
    <t>THREADED ROD</t>
  </si>
  <si>
    <t>MATERIAL : 316SS</t>
  </si>
  <si>
    <t>Q.8.1</t>
  </si>
  <si>
    <t>- 2 HEX HEAD 2 NUT &amp; WASHER</t>
  </si>
  <si>
    <t>IM99EB</t>
  </si>
  <si>
    <t>M349322107C</t>
  </si>
  <si>
    <t>Q.8.2</t>
  </si>
  <si>
    <t>- 2 HEX HEAD 2 NUT &amp; WASHER  (for Telecom)</t>
  </si>
  <si>
    <t>M349322107E</t>
  </si>
  <si>
    <t>Q.9</t>
  </si>
  <si>
    <t>THREADED ROD COUPLING</t>
  </si>
  <si>
    <t>Q.9.1</t>
  </si>
  <si>
    <t>M349322107D</t>
  </si>
  <si>
    <t>Q.9.2</t>
  </si>
  <si>
    <t>MATERIAL : 316SS (for Telecom)</t>
  </si>
  <si>
    <t>M349322107F</t>
  </si>
  <si>
    <t>Q.10</t>
  </si>
  <si>
    <t>HILTI FASTNER W/NUTS</t>
  </si>
  <si>
    <t>Q.10.1</t>
  </si>
  <si>
    <t>316SS, X-BT-R</t>
  </si>
  <si>
    <t>IM41EA</t>
  </si>
  <si>
    <t>M206340618GI</t>
  </si>
  <si>
    <t>SET</t>
  </si>
  <si>
    <t>Q.10.2</t>
  </si>
  <si>
    <t>316SS, X-BT-R (for Telecom)</t>
  </si>
  <si>
    <t>M206340618TC</t>
  </si>
  <si>
    <t>Q.11</t>
  </si>
  <si>
    <t>HILTI EXTEND ADAPTOR</t>
  </si>
  <si>
    <t>Q.11.1</t>
  </si>
  <si>
    <t>Item no. 387224</t>
  </si>
  <si>
    <t>M206340618GJ</t>
  </si>
  <si>
    <t>Q.12</t>
  </si>
  <si>
    <t>SPACER for DUCT BANK</t>
  </si>
  <si>
    <t>Q.12.1</t>
  </si>
  <si>
    <t>CONDUIT 150mm BASE SPACERS</t>
  </si>
  <si>
    <t>6" BASE</t>
  </si>
  <si>
    <t>IM99ZZ</t>
  </si>
  <si>
    <t>M206396958HG</t>
  </si>
  <si>
    <t>Q.12.2</t>
  </si>
  <si>
    <t>CONDUIT 150mm INTERMEDIATE SPACERS</t>
  </si>
  <si>
    <t>6" INTERMEDIATE</t>
  </si>
  <si>
    <t>M206396958HH</t>
  </si>
  <si>
    <t>Q.12.3</t>
  </si>
  <si>
    <t>CONDUIT 100mm BASE SPACERS</t>
  </si>
  <si>
    <t>4" BASE (forTelecom)</t>
  </si>
  <si>
    <t>M206396958KX</t>
  </si>
  <si>
    <t>Q.12.4</t>
  </si>
  <si>
    <t>CONDUIT 100mm INTERMEDIATE SPACERS</t>
  </si>
  <si>
    <t>4" INTERMEDIATE  (for Telecom)</t>
  </si>
  <si>
    <t>M206396958KY</t>
  </si>
  <si>
    <t>Q.13</t>
  </si>
  <si>
    <t>END BELL (BELLMOUSE)</t>
  </si>
  <si>
    <t>Q.13.1</t>
  </si>
  <si>
    <t>Fitting for NEMA TC8 TYPE PVC conduit shall be in accordance with NEMA TC9, Color Grey</t>
  </si>
  <si>
    <t>M206396958FN</t>
  </si>
  <si>
    <t>Q.13.2</t>
  </si>
  <si>
    <t>Fitting for NEMA TC2 Type PVC conduit shall be in accordance with NEMA TC3, Color Grey</t>
  </si>
  <si>
    <t>M206396958FM</t>
  </si>
  <si>
    <t>Q.14</t>
  </si>
  <si>
    <t>End PLUG for PVC Conduit (Rubber PLUG for PVC Conduit) (FOR TELECOM DUCT BANK)</t>
  </si>
  <si>
    <t>Q.14.1</t>
  </si>
  <si>
    <t>END PLUG FOR 4" for Telecom</t>
  </si>
  <si>
    <t>IM15ZZ</t>
  </si>
  <si>
    <t>M206327315D</t>
  </si>
  <si>
    <t>Q.14.2</t>
  </si>
  <si>
    <t>END PLUG FOR 6"</t>
  </si>
  <si>
    <t>M206327315C</t>
  </si>
  <si>
    <t>Q.15</t>
  </si>
  <si>
    <t>Quadplex Duct Plug for Sub-duct (FOR TELECOM DUCT BANK)</t>
  </si>
  <si>
    <t>Q.15.1</t>
  </si>
  <si>
    <t>Duct plug for 4"</t>
  </si>
  <si>
    <t>M206396958HJ</t>
  </si>
  <si>
    <t>Q.16</t>
  </si>
  <si>
    <t>Simplex Sub Duct Plug (FOR TELECOM DUCT BANK)</t>
  </si>
  <si>
    <t>Q.16.1</t>
  </si>
  <si>
    <t>Duct plug for 1"  (for Telecom)</t>
  </si>
  <si>
    <t>M206396958KZ</t>
  </si>
  <si>
    <t>Q.17</t>
  </si>
  <si>
    <t>EARTH BOSS</t>
  </si>
  <si>
    <t>HOT DIP GALVANIZED STEEL, APCS-26 Coating</t>
  </si>
  <si>
    <t>Q.17.1</t>
  </si>
  <si>
    <t>(pre-welded at Stanchion pipe and else to be supplied separately for site installation.)</t>
  </si>
  <si>
    <t>30mmф x 30mm(L) x M12</t>
  </si>
  <si>
    <t>M206396958FU</t>
  </si>
  <si>
    <t>Q.18</t>
  </si>
  <si>
    <t>PULL BOX FOR TELECOM</t>
  </si>
  <si>
    <t>Q.18.1</t>
  </si>
  <si>
    <t>HOT DIP GALVANIZED CARBON STEEL</t>
  </si>
  <si>
    <t>-</t>
  </si>
  <si>
    <t>100mmx405mmx75mm</t>
  </si>
  <si>
    <t>EJ02ZZ99AA01AA99AG99</t>
  </si>
  <si>
    <t>M367577789A</t>
  </si>
  <si>
    <t>Q.18.2</t>
  </si>
  <si>
    <t>150mmx510mmx75mm</t>
  </si>
  <si>
    <t>M367577789B</t>
  </si>
  <si>
    <t>Q.18.3</t>
  </si>
  <si>
    <t>102mmx102mmx54mm</t>
  </si>
  <si>
    <t>M367577789C</t>
  </si>
  <si>
    <t>Q.18.4</t>
  </si>
  <si>
    <t>200mm x 686 mm x 75 mm</t>
  </si>
  <si>
    <t>M367577789D</t>
  </si>
  <si>
    <t>Q.18.5</t>
  </si>
  <si>
    <t>250mm x 686 mm x 75 mm</t>
  </si>
  <si>
    <t>M367577789E</t>
  </si>
  <si>
    <t>Q.19</t>
  </si>
  <si>
    <t>CABLE MARKER POST (FOR TELECOM CABLE)</t>
  </si>
  <si>
    <t>- COMPLY WITH STANDARD DRAWING AB-036897-001</t>
  </si>
  <si>
    <t>- FIBER GLASS, ORANGE COLOR</t>
  </si>
  <si>
    <t>- INCLUDING SIGN PLATES (ENGRACED, SOLID BLACK ON YELLOW BLACK-GROUND)</t>
  </si>
  <si>
    <t>- 120mm x 100mm x 1400mm</t>
  </si>
  <si>
    <t>Q.19.1</t>
  </si>
  <si>
    <t>TE, POST, SIGN TYPE "A"</t>
  </si>
  <si>
    <t>IM35ZZ</t>
  </si>
  <si>
    <t>M201587186X</t>
  </si>
  <si>
    <t>Q.19.2</t>
  </si>
  <si>
    <t>TE, POST, SIGN TYPE "B"</t>
  </si>
  <si>
    <t>M201587186Y</t>
  </si>
  <si>
    <t>Q.19.3</t>
  </si>
  <si>
    <t>TE, POST, SIGN TYPE "C"</t>
  </si>
  <si>
    <t>M201587186Z</t>
  </si>
  <si>
    <t>Q.19.4</t>
  </si>
  <si>
    <t>TE, POST, SIGN TYPE "D"</t>
  </si>
  <si>
    <t>M201587186AA</t>
  </si>
  <si>
    <t>Q.19.5</t>
  </si>
  <si>
    <t>TE, POST, SIGN TYPE "E"</t>
  </si>
  <si>
    <t>M201587186AB</t>
  </si>
  <si>
    <t>Q.19.6</t>
  </si>
  <si>
    <t>MARKER POST</t>
  </si>
  <si>
    <t>M201587186AT</t>
  </si>
  <si>
    <t>Q.20</t>
  </si>
  <si>
    <t>SURFACE MARKER (FOR TELECOM CABLE)</t>
  </si>
  <si>
    <t>- COMPLY WITH STANDARD DRAWING AB-036273-001</t>
  </si>
  <si>
    <t>- CONCRETE SLAB</t>
  </si>
  <si>
    <t>- 305mm x 305mm x 76mm</t>
  </si>
  <si>
    <t>Q.20.1</t>
  </si>
  <si>
    <t>TE, MARKER, SIGN TYPE "A"</t>
  </si>
  <si>
    <t>M201587186AC</t>
  </si>
  <si>
    <t>Q.20.2</t>
  </si>
  <si>
    <t>TE, MARKER, SIGN TYPE "B"</t>
  </si>
  <si>
    <t>M201587186AD</t>
  </si>
  <si>
    <t>Q.20.3</t>
  </si>
  <si>
    <t>TE, MARKER, SIGN TYPE "C"</t>
  </si>
  <si>
    <t>M201587186AE</t>
  </si>
  <si>
    <t>Q.20.4</t>
  </si>
  <si>
    <t>TE, MARKER, SIGN TYPE "D"</t>
  </si>
  <si>
    <t>M201587186AF</t>
  </si>
  <si>
    <t>Q.20.5</t>
  </si>
  <si>
    <t>CONCRETE SLAB</t>
  </si>
  <si>
    <t>M201587186N</t>
  </si>
  <si>
    <t>Q.21</t>
  </si>
  <si>
    <t>WARNING TAPE  (FOR TELECOM CABLE)</t>
  </si>
  <si>
    <t>- ORANGE COLOR</t>
  </si>
  <si>
    <t>Q.21.1</t>
  </si>
  <si>
    <t>DETECTABLE MARKER TAPE</t>
  </si>
  <si>
    <t>TE, DETECTABLE MARKER TAPE</t>
  </si>
  <si>
    <t>M201587186AG</t>
  </si>
  <si>
    <t>m</t>
  </si>
  <si>
    <t>Q.21.2</t>
  </si>
  <si>
    <t>NON-DETECTABLE MARKER TAPE</t>
  </si>
  <si>
    <t>TE, NON-DETECTABLE MARKER TAPE</t>
  </si>
  <si>
    <t>M201587186AH</t>
  </si>
  <si>
    <t>Q.22</t>
  </si>
  <si>
    <t>CABLE MARKER POST (FOR INSTRUMENT CABLE)</t>
  </si>
  <si>
    <t>- COMPLY WITH STANDARD DRAWING AB-036326-001</t>
  </si>
  <si>
    <t>- RED WOOD</t>
  </si>
  <si>
    <t>- 100mm x 100mm x 1370mm</t>
  </si>
  <si>
    <t>Q.22.1</t>
  </si>
  <si>
    <t>CI, POST, SIGN TYPE "A"</t>
  </si>
  <si>
    <t>M201587186AI</t>
  </si>
  <si>
    <t>Q.22.2</t>
  </si>
  <si>
    <t>CI, POST, SIGN TYPE "B"</t>
  </si>
  <si>
    <t>M201587186AJ</t>
  </si>
  <si>
    <t>Q.22.3</t>
  </si>
  <si>
    <t>CI, POST, SIGN TYPE "C"</t>
  </si>
  <si>
    <t>M201587186AK</t>
  </si>
  <si>
    <t>Q.22.4</t>
  </si>
  <si>
    <t>SIGN-POST</t>
  </si>
  <si>
    <t>M201587186BN</t>
  </si>
  <si>
    <t>Q.23</t>
  </si>
  <si>
    <t>SURFACE MARKER (FOR INSTRUMENT CABLE)</t>
  </si>
  <si>
    <t>Q.23.1</t>
  </si>
  <si>
    <t>CI, MARKER, SIGN TYPE "A"</t>
  </si>
  <si>
    <t>M201587186AL</t>
  </si>
  <si>
    <t>Q.23.2</t>
  </si>
  <si>
    <t>CI, MARKER, SIGN TYPE "B"</t>
  </si>
  <si>
    <t>M201587186AM</t>
  </si>
  <si>
    <t>Q.23.3</t>
  </si>
  <si>
    <t>CI, MARKER, SIGN TYPE "C"</t>
  </si>
  <si>
    <t>M201587186AN</t>
  </si>
  <si>
    <t>Q.23.4</t>
  </si>
  <si>
    <t>CI, MARKER, SIGN TYPE "D"</t>
  </si>
  <si>
    <t>M201587186AO</t>
  </si>
  <si>
    <t>Q.23.5</t>
  </si>
  <si>
    <t>CABLE MARKER(PLAQUE)</t>
  </si>
  <si>
    <t>M201587186BO</t>
  </si>
  <si>
    <t>Q.24</t>
  </si>
  <si>
    <t>WARNING TAPE (FOR INSTRUMENT CABLE)</t>
  </si>
  <si>
    <t>- YELLOW COLOR</t>
  </si>
  <si>
    <t>Q.24.1</t>
  </si>
  <si>
    <t>CI, DETECTABLE MARKER TAPE</t>
  </si>
  <si>
    <t>M201587186AP</t>
  </si>
  <si>
    <t>Q.24.2</t>
  </si>
  <si>
    <t>CI, NON-DETECTABLE MARKER TAPE</t>
  </si>
  <si>
    <t>M201587186AQ</t>
  </si>
  <si>
    <t>Q.25</t>
  </si>
  <si>
    <t>ELECTRONINC MARKER SYSTEM (FOR TELECOM CABLE)</t>
  </si>
  <si>
    <t>Q.25.1</t>
  </si>
  <si>
    <t>ELECTRONINC MARKER SYSTEM</t>
  </si>
  <si>
    <t xml:space="preserve"> (for Telecom)</t>
  </si>
  <si>
    <t>M201587186AS</t>
  </si>
  <si>
    <t>Q.26</t>
  </si>
  <si>
    <t>PLYWOOD BACKBOARDS</t>
  </si>
  <si>
    <t>Q.26.1</t>
  </si>
  <si>
    <t>7 INCHES BY EIGHT (8) FEET BY FOUR (4) PAINTED WITH TWO (2) COATS, FIRE-RETARDANT WHITE PAINT</t>
  </si>
  <si>
    <t>Tag No</t>
  </si>
  <si>
    <t>Material Master</t>
  </si>
  <si>
    <t>Height</t>
  </si>
  <si>
    <t>CWA-0203</t>
  </si>
  <si>
    <t>S</t>
  </si>
  <si>
    <t>Telecommunication and Security</t>
  </si>
  <si>
    <t>S.1</t>
  </si>
  <si>
    <t>TELECOM SYSTMEM (IT)</t>
  </si>
  <si>
    <t>S.1.1</t>
  </si>
  <si>
    <t xml:space="preserve">Data Network System </t>
  </si>
  <si>
    <t>S.1.1.1</t>
  </si>
  <si>
    <t>Data Network System Rack</t>
  </si>
  <si>
    <t>S.1.1.1.1</t>
  </si>
  <si>
    <t>Data Network System Oepn Rack</t>
  </si>
  <si>
    <t>19" Open Frame Rack (42U)</t>
  </si>
  <si>
    <t>FI31CC00ZZ-0000001</t>
  </si>
  <si>
    <t>BOTB-PKG1-MR-TE-0001</t>
  </si>
  <si>
    <t>SETS</t>
  </si>
  <si>
    <t>Updated based on main equipment data: 42U ACS/CCTV and Security cabinets (and CCR-1/3 worst-case rack provisions).</t>
  </si>
  <si>
    <t>S.1.1.1.2</t>
  </si>
  <si>
    <t>Data Network System Wall Mount Rack</t>
  </si>
  <si>
    <t>19" Swing Gate Wall Mount Rack (14U): CUBE-IT</t>
  </si>
  <si>
    <t>FI31CB00ZZ-0000001</t>
  </si>
  <si>
    <t>Worst-case scenario provision: New 12U/14U security enclosure to house FPPs and switches if rearrangement of existing cabinets yields no space.</t>
  </si>
  <si>
    <t>S.1.1.1.3</t>
  </si>
  <si>
    <t>Data Network System Ethernet Switch</t>
  </si>
  <si>
    <r>
      <rPr>
        <sz val="9"/>
        <color rgb="FF000000"/>
        <rFont val="맑은 고딕"/>
      </rPr>
      <t xml:space="preserve">Layer 2 (Layer 3 compatible) LAN Access Switches (with PoE+ capability)
</t>
    </r>
    <r>
      <rPr>
        <b/>
        <sz val="9"/>
        <color rgb="FFFF0000"/>
        <rFont val="맑은 고딕"/>
      </rPr>
      <t>(Modification) Existing CISCO CATALYST 9500 DISTRIBUTION SWITCH</t>
    </r>
  </si>
  <si>
    <t>S.1.1.1.3.1</t>
  </si>
  <si>
    <t>Data Network System 24 port Ethernet Switch</t>
  </si>
  <si>
    <t>24 port Ethernet Switch</t>
  </si>
  <si>
    <t>FI31CE03ZZ-0000001</t>
  </si>
  <si>
    <t>Worst-case scenario provision: Ethernet switches, converters, and gateways to interface with existing control systems.</t>
  </si>
  <si>
    <t>S.1.1.1.3.2</t>
  </si>
  <si>
    <t>Data Network System 48 port Modular type Ethernet Switch</t>
  </si>
  <si>
    <t>48 port Modular type Ethernet Switch</t>
  </si>
  <si>
    <t>Worst-case scenario provision: New Catalyst 4510+E line cards or switch if no spare ports exist.</t>
  </si>
  <si>
    <t>S.1.1.1.3.3</t>
  </si>
  <si>
    <t>Data Network System 48 port Ethernet Switch</t>
  </si>
  <si>
    <t>48 port Ethernet Switch</t>
  </si>
  <si>
    <t>Horizontal Cabling</t>
  </si>
  <si>
    <t>S.1.1.1.3.4</t>
  </si>
  <si>
    <t>Data Network System 72 port Modular Ethernet Switch</t>
  </si>
  <si>
    <t>96 port Modular Ethernet Switch</t>
  </si>
  <si>
    <t>S.1.1.1.3.5</t>
  </si>
  <si>
    <t xml:space="preserve">Data Network System 144 port Modular type Ethernet switch </t>
  </si>
  <si>
    <t xml:space="preserve">108 port Modular type Ethernet switch </t>
  </si>
  <si>
    <t>S.1.1.1.4</t>
  </si>
  <si>
    <t>Data Network System SFP Transceiver for switch</t>
  </si>
  <si>
    <t>1G SFP LC LX SMF transciever for Aruba switch</t>
  </si>
  <si>
    <t>FI37HI00ZZ-0000001</t>
  </si>
  <si>
    <t>S.1.1.1.5</t>
  </si>
  <si>
    <t>Data Network System SFP+ Transceiver for switch</t>
  </si>
  <si>
    <t>10G SFP+ LC LR SMF transciever for Aruba switch</t>
  </si>
  <si>
    <t>S.1.1.1.6</t>
  </si>
  <si>
    <t>Data Network System SFP Transceiver for router</t>
  </si>
  <si>
    <t>1G SFP LC LX SMF transciever for Juniper PE router</t>
  </si>
  <si>
    <t>S.1.1.1.7</t>
  </si>
  <si>
    <t>Data Network System SFP+ Transceiver for router</t>
  </si>
  <si>
    <t>10G SFP+ LC LR SMF transciever for Juniper PE router</t>
  </si>
  <si>
    <t>S.1.1.1.8</t>
  </si>
  <si>
    <t>Data Network System Power Receptacles</t>
  </si>
  <si>
    <t>230VAC, 20A, duplex</t>
  </si>
  <si>
    <t>SAES-T-916</t>
  </si>
  <si>
    <t>S.1.1.1.9</t>
  </si>
  <si>
    <t>Data Network System Fiber Optic Patch Panel</t>
  </si>
  <si>
    <t>S.1.1.1.9.1</t>
  </si>
  <si>
    <t>Data Network System 24 Port Fiber Optic Patch Panel</t>
  </si>
  <si>
    <t>24 Port Fiber Optic Patch Panel</t>
  </si>
  <si>
    <t>FI37HB02ZZ-0000001</t>
  </si>
  <si>
    <t>Worst-case scenario provision: 1 FPP in CCR-1 &amp; 1 FPP in CCR-3. New buildings and areas updated based on FOPP Take-Off: SS-070: 12 FPPs, PIB-080: 2 FPPs, SS-071: 17 FPPs, PKG-2 Common: 6 FPPs, SS-072: 19 FPPs, PIB-081: 9 FPPs, CCR-3: 1 FPP, PIB-027: 1 FPP. FOPPs supplied as complete sets including chassis, splice trays, SC/LC adapters, SM pigtails, glands, and UMS mounting profiles.</t>
  </si>
  <si>
    <t>S.1.1.1.9.2</t>
  </si>
  <si>
    <t>Data Network System 48 Port Fiber Optic Patch Panel</t>
  </si>
  <si>
    <t>48 Port Fiber Optic Patch Panel</t>
  </si>
  <si>
    <t>Worst-case scenario provision: 1 FPP in CCR-3. Quantities updated based on FOPP Take-Off: PIB-080: 6 FPPs, PIB-081: 4 FPPs, CCR-1: 6 FPPs. FOPPs supplied as complete sets including chassis, splice trays, SC/LC adapters, SM pigtails, glands, and UMS mounting profiles.</t>
  </si>
  <si>
    <t>S.1.1.1.9.3</t>
  </si>
  <si>
    <t>Data Network System 144 Port Fiber Optic Patch Panel</t>
  </si>
  <si>
    <t>144 Port Fiber Optic Patch Panel</t>
  </si>
  <si>
    <t>Quantities updated based on FOPP Take-Off: PUCCR: 2 FPPs for IT Network Backbone. FOPPs supplied as complete sets including chassis, splice trays, SC/LC adapters, SM pigtails, glands, and UMS mounting profiles.</t>
  </si>
  <si>
    <t>S.1.1.1.9.4</t>
  </si>
  <si>
    <t>Data Network System 12 Port Fiber Optic Patch Panel</t>
  </si>
  <si>
    <t>12 Port Fiber Optic Patch Panel</t>
  </si>
  <si>
    <t>Quantities updated based on FOPP Take-Off: EB Complex: 6 FPPs (CEMS/PSA), SS-070: 6 FPPs (PSA/PMS), PIB-080: 17 FPPs (PAS/DCS), PKG-2 Common: 13 FPPs (CEMS/PSA), PIB-081: 3 FPPs (Analyzers/PAS/FA), CCR-1: 10 FPPs (PSA/PMS). FOPPs supplied as complete sets including chassis, splice trays, SC/LC adapters, SM pigtails, glands, and UMS mounting profiles.</t>
  </si>
  <si>
    <t>S.1.1.1.9.5</t>
  </si>
  <si>
    <t>Data Network System 6 Port Fiber Optic Patch Panel</t>
  </si>
  <si>
    <t>6 Port Fiber Optic Patch Panel</t>
  </si>
  <si>
    <t>FO PCCTV System</t>
  </si>
  <si>
    <t>S.1.1.1.9.6</t>
  </si>
  <si>
    <t>Data Network System 96 Port Fiber Optic Patch Panel</t>
  </si>
  <si>
    <t>96 Port Fiber Optic Patch Panel</t>
  </si>
  <si>
    <t>Worst-case scenario provision: 1 FPP in CCR-3. Quantities updated based on FOPP Take-Off: PIB-080: 9 FPPs, PIB-081: 10 FPPs, CCR-1: 9 FPPs, PUCCR: 5 FPPs. FOPPs supplied as complete sets including chassis, splice trays, SC/LC adapters, SM pigtails, glands, and UMS mounting profiles.</t>
  </si>
  <si>
    <t>S.1.1.1.10</t>
  </si>
  <si>
    <t>Data Network System UTP Patch Panel</t>
  </si>
  <si>
    <t>including Front RJ45 'Snap-in' type connectors with clear plastic indetification labels</t>
  </si>
  <si>
    <t>S.1.1.1.10.1</t>
  </si>
  <si>
    <t>Data Network System 24 Port UTP Patch panel</t>
  </si>
  <si>
    <t>24 Port UTP Patch panel, Cat6A</t>
  </si>
  <si>
    <t>S.1.1.1.10.2</t>
  </si>
  <si>
    <t>Data Network System 48 Port UTP Patch panel</t>
  </si>
  <si>
    <t>48 Port UTP Patch panel, Cat6A</t>
  </si>
  <si>
    <t>S.1.1.1.10.3</t>
  </si>
  <si>
    <t>Data Network System 72 Port UTP Patch panel</t>
  </si>
  <si>
    <t>96 Port UTP Patch panel, Cat6A</t>
  </si>
  <si>
    <t>S.1.1.2</t>
  </si>
  <si>
    <t>Data Network System Uninterruptible Power Supply(UPS)</t>
  </si>
  <si>
    <t>Rack mountable type with a minimum of 2 hours UPS autonomy</t>
  </si>
  <si>
    <t>S.1.1.2.1</t>
  </si>
  <si>
    <t>Data Network System Rack mountable ATS (Auotomatic Tranfer Switch)</t>
  </si>
  <si>
    <t>ATS</t>
  </si>
  <si>
    <t>FU81ZZ00ZZ-0000001</t>
  </si>
  <si>
    <t>S.1.1.2.2</t>
  </si>
  <si>
    <t>Data Network System 3kVA UPS</t>
  </si>
  <si>
    <t>3kVA UPS</t>
  </si>
  <si>
    <t>S.1.1.2.3</t>
  </si>
  <si>
    <t>Data Network System 5kVA UPS</t>
  </si>
  <si>
    <r>
      <rPr>
        <b/>
        <sz val="9"/>
        <color rgb="FFFF0000"/>
        <rFont val="맑은 고딕"/>
      </rPr>
      <t>3.5kVA</t>
    </r>
    <r>
      <rPr>
        <sz val="9"/>
        <color rgb="FF000000"/>
        <rFont val="맑은 고딕"/>
      </rPr>
      <t xml:space="preserve"> UPS</t>
    </r>
  </si>
  <si>
    <t>S.1.1.2.4</t>
  </si>
  <si>
    <t>Data Network System 8kVA UPS</t>
  </si>
  <si>
    <t>8kVA UPS</t>
  </si>
  <si>
    <t>S.1.1.2.5</t>
  </si>
  <si>
    <t>Data Network System 10kVA UPS</t>
  </si>
  <si>
    <t>10kVA UPS</t>
  </si>
  <si>
    <t>S.1.1.2.6</t>
  </si>
  <si>
    <t>Data Network System Battery Packs</t>
  </si>
  <si>
    <t>Battery Pack for 3kVA UPS</t>
  </si>
  <si>
    <t>S.1.1.2.7</t>
  </si>
  <si>
    <r>
      <rPr>
        <sz val="9"/>
        <color rgb="FF000000"/>
        <rFont val="맑은 고딕"/>
      </rPr>
      <t xml:space="preserve">Battery Pack for </t>
    </r>
    <r>
      <rPr>
        <b/>
        <sz val="9"/>
        <color rgb="FFFF0000"/>
        <rFont val="맑은 고딕"/>
      </rPr>
      <t>3.5kVA</t>
    </r>
    <r>
      <rPr>
        <sz val="9"/>
        <color rgb="FF000000"/>
        <rFont val="맑은 고딕"/>
      </rPr>
      <t xml:space="preserve"> UPS</t>
    </r>
  </si>
  <si>
    <t>S.1.1.2.8</t>
  </si>
  <si>
    <t>Battery Pack for 10kVA UPS</t>
  </si>
  <si>
    <t>UPS battery packs for target building telecom racks (1 per building for SS-070, PIB-080, SS-071, SS-072, PIB-081) to support our 5 taken-off 3kVA UPS units (1-to-1 dependency). Backup runtime sized for 30/60 minutes.</t>
  </si>
  <si>
    <t>S.1.1.3</t>
  </si>
  <si>
    <t>Data Network System Patch Cords</t>
  </si>
  <si>
    <t>S.1.1.3.1</t>
  </si>
  <si>
    <t>Data Network System UTP Patch cord (1.5m)</t>
  </si>
  <si>
    <t>UTP Patch cord (1.5m), Cat.6A</t>
  </si>
  <si>
    <t>FI37HC02ZZ-0000001</t>
  </si>
  <si>
    <t>Worst-case scenario provision: 48 UTP patch cords in CCR-1 &amp; CCR-3 to patch switch ports. For new buildings, provides 1.5m Cat.6A patch cords in the Telecom Rooms to connect all horizontal UTP runs from the UTP patch panels to the LAN access switches and voice distribution system (SS-070: 18, PIB-080: 120, SS-071: 22, SS-072: 14, PIB-081: 22).</t>
  </si>
  <si>
    <t>S.1.1.3.2</t>
  </si>
  <si>
    <t>Data Network System Fiber Optic Patch cord (1.5m)</t>
  </si>
  <si>
    <t>Fiber Optic Patch cord (1.5m)</t>
  </si>
  <si>
    <t>FI37HC01ZZ-0000001</t>
  </si>
  <si>
    <t>Worst-case scenario provision: SC-LC and SC-SC fiber patch cords to terminate new links in CCR-3 (96 sets). Quantities for other locations aligned with FOPPs (1 duplex patch cord set per 2 ports): EB Complex: 36, SS-070: 180, PIB-080: 750, SS-071: 204, PKG-2 Common: 150, SS-072: 228, PIB-081: 702, CCR-1: 648, PUCCR: 384, PIB-027: 12.</t>
  </si>
  <si>
    <t>S.1.1.3.3</t>
  </si>
  <si>
    <t>Data Network System Fiber Optic Patch cord (15m)</t>
  </si>
  <si>
    <t>Fiber Optic Patch cord (15m)</t>
  </si>
  <si>
    <t>S.1.1.4</t>
  </si>
  <si>
    <t xml:space="preserve">Data Network System Telecom enclosure with switch </t>
  </si>
  <si>
    <t>for PSA FOC Splice</t>
  </si>
  <si>
    <t>S.1.1.4.1</t>
  </si>
  <si>
    <t xml:space="preserve">Data Network System Ethernet switch </t>
  </si>
  <si>
    <t>Ethernet Switch (24 port) if any</t>
  </si>
  <si>
    <t>FI31CE01ZZ-0000001</t>
  </si>
  <si>
    <t>S.1.1.4.2</t>
  </si>
  <si>
    <t>Data Network System SFP Transceiver</t>
  </si>
  <si>
    <t>S.1.1.4.3</t>
  </si>
  <si>
    <t>Data Network System Fiber Optic Patch Panel (DIN, 4port)</t>
  </si>
  <si>
    <t>Fiber Optic Patch Panel (Rac Mount, 12port)</t>
  </si>
  <si>
    <t>S.1.1.4.4</t>
  </si>
  <si>
    <t>Fiber Optic Patch Panel (Rac Mount, 24port)</t>
  </si>
  <si>
    <t>S.1.1.4.5</t>
  </si>
  <si>
    <t>Data Network System Telecom enclosure</t>
  </si>
  <si>
    <t>Telecom enclosure Size: 1525h x 575w x 300d</t>
  </si>
  <si>
    <t>FI37HD00AB-0000001</t>
  </si>
  <si>
    <t>S.1.1.4.6</t>
  </si>
  <si>
    <t>Data Network System Cat.6 Surge Protector</t>
  </si>
  <si>
    <t>Cat.6 Surge Protecto (8port, DIN)</t>
  </si>
  <si>
    <t>S.1.1.4.7</t>
  </si>
  <si>
    <t>Thin Cabinet for Telecom</t>
  </si>
  <si>
    <t>S.1.2</t>
  </si>
  <si>
    <t>Telephone System</t>
  </si>
  <si>
    <t>S.1.2.1</t>
  </si>
  <si>
    <t>Telephone System Basic Wall Mount IP Telephone</t>
  </si>
  <si>
    <t>FI33EF11ZZ-0000001</t>
  </si>
  <si>
    <t>S.1.2.2</t>
  </si>
  <si>
    <t>Telephone System Desktop IP Telephone</t>
  </si>
  <si>
    <t>FI33EF12ZZ-0000001</t>
  </si>
  <si>
    <t>S.1.2.3</t>
  </si>
  <si>
    <t>Telephone System Secretary IP Telephone handset</t>
  </si>
  <si>
    <t>Secretary IP Telephone handset</t>
  </si>
  <si>
    <t>S.1.2.4</t>
  </si>
  <si>
    <t>Telephone System Meeting Room IP Conference Telephone handsets</t>
  </si>
  <si>
    <t>Meeting Room IP Conference Telephone handsets</t>
  </si>
  <si>
    <t>FI33EF13ZZ-0000001</t>
  </si>
  <si>
    <t>S.1.2.5</t>
  </si>
  <si>
    <t>Telephone System VOIP Gateway</t>
  </si>
  <si>
    <t>For Analoge Telephone to IP</t>
  </si>
  <si>
    <t>FI33EI00AD-0000001</t>
  </si>
  <si>
    <t>S.1.2.6</t>
  </si>
  <si>
    <t>Weatherproof Type</t>
  </si>
  <si>
    <t>Assumption, TBD</t>
  </si>
  <si>
    <t>S.1.3</t>
  </si>
  <si>
    <t>pLTE Radio System</t>
  </si>
  <si>
    <t>S.1.3.1</t>
  </si>
  <si>
    <t>Indoor Radio Repeating System</t>
  </si>
  <si>
    <t>S.1.3.1.1</t>
  </si>
  <si>
    <t xml:space="preserve">Indoor Radio Repeating System Indoor Radio Repearter </t>
  </si>
  <si>
    <t>Small Cell / eNodeB</t>
  </si>
  <si>
    <t>FI36GG00ZZ-0000001</t>
  </si>
  <si>
    <t>S.1.3.1.2</t>
  </si>
  <si>
    <t>Indoor Radio Repeating System LTE Indoor antenna</t>
  </si>
  <si>
    <t>Repeating Antenna</t>
  </si>
  <si>
    <t>FI36GE11ZZ-0000001</t>
  </si>
  <si>
    <t>S.1.3.1.3</t>
  </si>
  <si>
    <t xml:space="preserve">Indoor Radio Repeating System Coaxial 2 Way Splitter </t>
  </si>
  <si>
    <t xml:space="preserve">Coaxial 2 Way Splitter </t>
  </si>
  <si>
    <t>S.1.3.1.4</t>
  </si>
  <si>
    <t>Indoor Radio Repeating System Coaxial Cable 1/2"</t>
  </si>
  <si>
    <t>Coaxial Cable 1/2"</t>
  </si>
  <si>
    <t>FI37HF00ZZ-0000001</t>
  </si>
  <si>
    <t>S.1.3.1.5</t>
  </si>
  <si>
    <t>Indoor Radio Repeating System Fiber Optic patch cord(15m)</t>
  </si>
  <si>
    <t>Fiber Optic Patch cord (SC/APC, 15m)</t>
  </si>
  <si>
    <t>S.1.3.1.6</t>
  </si>
  <si>
    <t>Indoor Radio Repeating System Fiber Optic patch cord(10m)</t>
  </si>
  <si>
    <t>Fiber Optic Patch cord (SC/APC, 10m)</t>
  </si>
  <si>
    <t>S.1.3.1.7</t>
  </si>
  <si>
    <t>Indoor Radio Repeating System Power cord(10m)</t>
  </si>
  <si>
    <t>Power cord (10m)</t>
  </si>
  <si>
    <t>FI37HG02ZZ-0000001</t>
  </si>
  <si>
    <t>S.1.3.1.8</t>
  </si>
  <si>
    <t>Indoor Radio Repeating System DC Block</t>
  </si>
  <si>
    <t>DC Block</t>
  </si>
  <si>
    <t>S.1.3.1.9</t>
  </si>
  <si>
    <t>Indoor Radio Repeating System Attenuator</t>
  </si>
  <si>
    <t>10dB Attenuator</t>
  </si>
  <si>
    <t>S.1.3.1.9.2</t>
  </si>
  <si>
    <t>3dB Attenuator</t>
  </si>
  <si>
    <t>S.1.3.1.9.3</t>
  </si>
  <si>
    <t>6dB Attenuator</t>
  </si>
  <si>
    <t>S.1.3.1.10</t>
  </si>
  <si>
    <t xml:space="preserve">Indoor Radio Repeating System SFP Transceiver </t>
  </si>
  <si>
    <t xml:space="preserve">SFP Transceiver </t>
  </si>
  <si>
    <t>S.1.3.1.11</t>
  </si>
  <si>
    <t>12 SC/APC Simpled Splicing Casette</t>
  </si>
  <si>
    <t>S.1.3.1.12</t>
  </si>
  <si>
    <t>Accessorfies for Indoor Repater System</t>
  </si>
  <si>
    <t>272 NM, 42 NF, 21 DM Connectors and 72 Mounting Plates</t>
  </si>
  <si>
    <t>Lot</t>
  </si>
  <si>
    <t>S.1.3.1.13</t>
  </si>
  <si>
    <t>Indoor Radio Repeating System 6dB Tapper</t>
  </si>
  <si>
    <t>6dB Tapper</t>
  </si>
  <si>
    <t>S.1.3.1.14</t>
  </si>
  <si>
    <t>Indoor Radio Repeating System 8dB Tapper</t>
  </si>
  <si>
    <t>8dB Tapper</t>
  </si>
  <si>
    <t>S.1.3.1.15</t>
  </si>
  <si>
    <t>Indoor Radio Repeating System 10dB Tapper</t>
  </si>
  <si>
    <t>10dB Tapper</t>
  </si>
  <si>
    <t>S.1.3.1.16</t>
  </si>
  <si>
    <t>Indoor Radio Repeating System 15dB Tapper</t>
  </si>
  <si>
    <t>15dB Tapper</t>
  </si>
  <si>
    <t>S.1.3.2</t>
  </si>
  <si>
    <t>Portable Radio System</t>
  </si>
  <si>
    <t>S.1.3.2.1</t>
  </si>
  <si>
    <t>Portable Radio System Handheld Portable Radio</t>
  </si>
  <si>
    <t>Handheld Portable Radio</t>
  </si>
  <si>
    <t>FI36GH00ZZ-0000001</t>
  </si>
  <si>
    <t>S.1.3.2.2</t>
  </si>
  <si>
    <t>Portable Radio System Vehicle Mounted Radio</t>
  </si>
  <si>
    <t>Vehicle Mounted Radio</t>
  </si>
  <si>
    <t>S.1.3.3</t>
  </si>
  <si>
    <t>Fixed Radio System</t>
  </si>
  <si>
    <t>S.1.3.3.1</t>
  </si>
  <si>
    <t xml:space="preserve">Fixed Radio System LTE Desk-top Terminal </t>
  </si>
  <si>
    <t>MCPTT-enabled</t>
  </si>
  <si>
    <t>FI36GM00ZZ-0000001</t>
  </si>
  <si>
    <t>S.1.3.3.2</t>
  </si>
  <si>
    <t>Fixed Radio System Radio Interface Unit</t>
  </si>
  <si>
    <t>MCPTT Client Software</t>
  </si>
  <si>
    <t>S.1.3.3.3</t>
  </si>
  <si>
    <t>Fixed Radio System RRU(Remote Radio Unit)</t>
  </si>
  <si>
    <t>Audio Interface Unit / USB Controller / Dispatch Console</t>
  </si>
  <si>
    <t>S.1.3.3.4</t>
  </si>
  <si>
    <t xml:space="preserve">Fixed Radio System Outdoor Antenna </t>
  </si>
  <si>
    <t>LTE Outdoor MIMO Antenna (2x2 / 4x4)</t>
  </si>
  <si>
    <t>Assumption | HOLD</t>
  </si>
  <si>
    <t>S.1.3.3.5</t>
  </si>
  <si>
    <t xml:space="preserve">Fixed Radio System Pole for Outdoor Antenna </t>
  </si>
  <si>
    <t xml:space="preserve">Pole for Outdoor Antenna </t>
  </si>
  <si>
    <t>FI33EQ00ZZ-0000001</t>
  </si>
  <si>
    <t>S.1.3.3.6</t>
  </si>
  <si>
    <t>Fixed Radio System Surge Protector for Antenna</t>
  </si>
  <si>
    <t>Surge Protector for Antenna</t>
  </si>
  <si>
    <t>S.1.3.3.7</t>
  </si>
  <si>
    <t>Fixed Radio System 19" Open Frame Rack</t>
  </si>
  <si>
    <t>19" Open Frame Rack (if any)</t>
  </si>
  <si>
    <t>FI36GA00ZZ-0000001</t>
  </si>
  <si>
    <t>S.1.3.3.8</t>
  </si>
  <si>
    <t>Fixed Radio System Coaxial Cable 1/2"</t>
  </si>
  <si>
    <t>LMR400 / 1/2”</t>
  </si>
  <si>
    <t>S.1.3.3.9</t>
  </si>
  <si>
    <t>Fixed Radio System Surge Protector Grounding Bracket</t>
  </si>
  <si>
    <t>Grounding Kit (RF + Network)</t>
  </si>
  <si>
    <t>S.1.3.3.10</t>
  </si>
  <si>
    <t>Fixed Radio System Structured Cabling</t>
  </si>
  <si>
    <t>Cat6A UTP</t>
  </si>
  <si>
    <t>S.1.3.3.11</t>
  </si>
  <si>
    <t>Fixed Radio System 24port Ethernet switch</t>
  </si>
  <si>
    <t>L2/L3 Managed Switch (PoE optional)</t>
  </si>
  <si>
    <t>S.1.3.3.12</t>
  </si>
  <si>
    <t>Fixed Radio System Programming Kit</t>
  </si>
  <si>
    <t>Device Management SW / SIM Provisioning Tool</t>
  </si>
  <si>
    <t>S.1.4</t>
  </si>
  <si>
    <t xml:space="preserve">Wireless LAN(WLAN) System </t>
  </si>
  <si>
    <t>S.1.4.1</t>
  </si>
  <si>
    <t>Wireless LAN System Wireless Access Points</t>
  </si>
  <si>
    <t>Wireless Access Points</t>
  </si>
  <si>
    <t>FI33EE00ZZ-0000001</t>
  </si>
  <si>
    <t>S.1.4.2</t>
  </si>
  <si>
    <t>Wireless LAN System Explosion Proof Wireless Access Points</t>
  </si>
  <si>
    <t>Explosion Proof Wireless Access Points</t>
  </si>
  <si>
    <t>S.1.4.3</t>
  </si>
  <si>
    <t>Wireless LAN System Hi-POE Injector</t>
  </si>
  <si>
    <t>For explosion proof WLAN access points</t>
  </si>
  <si>
    <t>S.1.5</t>
  </si>
  <si>
    <t>Industrial Wi-Fi SYSTEM</t>
  </si>
  <si>
    <t>Wi-Fi 6 or above</t>
  </si>
  <si>
    <t>S.1.5.1</t>
  </si>
  <si>
    <t>Industrial Wi-Fi SYSTEM Industrial Wi-Fi access points</t>
  </si>
  <si>
    <t>Industrial Wi-Fi access points</t>
  </si>
  <si>
    <t>S.1.5.2</t>
  </si>
  <si>
    <t>Industrial Wi-Fi SYSTEM Explosion proof Industrial Wi-Fi access point</t>
  </si>
  <si>
    <t>Explosion proof Industrial Wi-Fi access point</t>
  </si>
  <si>
    <t>S.1.5.3</t>
  </si>
  <si>
    <t>Industrial Wi-Fi SYSTEM External Antenna for WIFI access point</t>
  </si>
  <si>
    <t>External Antenna for WIFI access point</t>
  </si>
  <si>
    <t>S.1.5.4</t>
  </si>
  <si>
    <t>Industrial Wi-Fi SYSTEM WIFI antenna extension cable</t>
  </si>
  <si>
    <t>WIFI antenna extension cable</t>
  </si>
  <si>
    <t>FI37HG01ZZ-0000001</t>
  </si>
  <si>
    <t>S.1.5.5</t>
  </si>
  <si>
    <t>Industrial Wi-Fi SYSTEM 5m Pole for Antenna for WIFI</t>
  </si>
  <si>
    <t>5m Pole for WIFI Access Point</t>
  </si>
  <si>
    <t>S.1.5.6</t>
  </si>
  <si>
    <t>Industrial Wi-Fi SYSTEM 6m Pole for Antenna for WIFI</t>
  </si>
  <si>
    <t>6m Pole for Antenna for WIFI, ASCE-7-05, 155km/h</t>
  </si>
  <si>
    <t>S.1.5.6.1</t>
  </si>
  <si>
    <t>Industrial Wi-Fi SYSTEM 6m Pole for Explosion Antenna for WIFI</t>
  </si>
  <si>
    <t>S.1.5.7</t>
  </si>
  <si>
    <t>Industrial Wi-Fi SYSTEM Cat.6A surge protector</t>
  </si>
  <si>
    <t>Cat.6A surge protector</t>
  </si>
  <si>
    <t>S.1.5.8</t>
  </si>
  <si>
    <t>Industrial Wi-Fi SYSTEM Enclousure for Industrial Ethernet Switch</t>
  </si>
  <si>
    <t>S.1.5.8.1</t>
  </si>
  <si>
    <t>Industrial Wi-Fi SYSTEM Industrial Ethernet Switch (4 port)</t>
  </si>
  <si>
    <t>POE Injector (Normal Installation)</t>
  </si>
  <si>
    <t>S.1.5.8.2</t>
  </si>
  <si>
    <t>Industrial Wi-Fi SYSTEM Explosion proof Industrial Ethernet Media Converter</t>
  </si>
  <si>
    <t>POE Injector (Hazard Area Installation)</t>
  </si>
  <si>
    <t>S.1.5.8.3</t>
  </si>
  <si>
    <t xml:space="preserve">Industrial Wi-Fi SYSTEM Enclousure </t>
  </si>
  <si>
    <t>Enclousure (400 x 400 x 100)</t>
  </si>
  <si>
    <t>Outdoor junction boxes containing UPS, FPP, and power connections for each IAP. Quantities updated: SS-070 Area: 1, SS-071 Area: 1, PKG-2 Common: 7. Note: Split between standard and explosion-proof models to be finalized during detailed design.</t>
  </si>
  <si>
    <t>S.1.5.8.4</t>
  </si>
  <si>
    <t>Industrial Wi-Fi SYSTEM Explosion proof Enclousure c/w FOPP</t>
  </si>
  <si>
    <t>Explosion proof Enclousure (400 x 400 x 100)</t>
  </si>
  <si>
    <t>To be determined (TBD) during detailed design based on hazardous area classifications.</t>
  </si>
  <si>
    <t>S.1.5.8.5</t>
  </si>
  <si>
    <t>Industrial Wi-Fi SYSTEM SFP Transceiver for switch</t>
  </si>
  <si>
    <t>S.1.5.8.6</t>
  </si>
  <si>
    <t>Industrial Wi-Fi SYSTEM Explosion proof SFP Transceiver for switch</t>
  </si>
  <si>
    <t>1G SFP LC LX SMF transciever for WIFI AP</t>
  </si>
  <si>
    <t>S.1.5.8.7</t>
  </si>
  <si>
    <t>Outdoor Rated FO Patch cord(5m)</t>
  </si>
  <si>
    <t>Outdoor rated fiber optic patch cords (5m) to link the FPP inside the junction box to the network switch. Quantities updated: SS-070 Area: 1, SS-071 Area: 1, PKG-2 Common: 7.</t>
  </si>
  <si>
    <t>S.1.5.8.8</t>
  </si>
  <si>
    <t>Outdoor Rated UTP Patch cord(5m)</t>
  </si>
  <si>
    <t>Not applicable; direct fiber connection is utilized between the FPP and the switch/IAP.</t>
  </si>
  <si>
    <t>S.1.6</t>
  </si>
  <si>
    <t>Structural Cabling System</t>
  </si>
  <si>
    <t>S.1.6.1</t>
  </si>
  <si>
    <t xml:space="preserve">Structural Cabling System LAN outlet </t>
  </si>
  <si>
    <t>S.1.6.1.1</t>
  </si>
  <si>
    <t>Structural Cabling System Three(3) port Cat.6A LAN outlet / Wall mount</t>
  </si>
  <si>
    <t>Three(3) port Cat.6A LAN outlet / Wall mount</t>
  </si>
  <si>
    <t>FI31CD02ZZ-0000001</t>
  </si>
  <si>
    <t>S.1.6.1.2</t>
  </si>
  <si>
    <t>Structural Cabling System Two(2) port Cat.6A LAN outlet / Wall mount</t>
  </si>
  <si>
    <t>Two(2) port Cat.6A LAN outlet / Wall mount</t>
  </si>
  <si>
    <t>FI31CD01ZZ-0000001</t>
  </si>
  <si>
    <t>Information outlets (duplex configuration) updated based on floor plans: PIB-080: 60 outlets, PIB-081: 11 outlets, SS-071: 11 outlets, SS-070: 9 outlets, SS-072: 7 outlets.</t>
  </si>
  <si>
    <t>S.1.6.1.3</t>
  </si>
  <si>
    <t xml:space="preserve">Structural Cabling System Floor Box with Two(2) port Cat.6A LAN outlet </t>
  </si>
  <si>
    <t xml:space="preserve">Floor Box with Two(2) port Cat.6A LAN outlet </t>
  </si>
  <si>
    <t>S.1.6.1.4</t>
  </si>
  <si>
    <t>Structural Cabling System Two(2) port Cat.6A LAN outlet / Ceiling mount</t>
  </si>
  <si>
    <t>Two(2) port Cat.6A LAN outlet / Ceiling mount</t>
  </si>
  <si>
    <t>S.1.6.1.5</t>
  </si>
  <si>
    <t>Structural Cabling System, Floor box with 2 receptacles</t>
  </si>
  <si>
    <t>with Floor Box</t>
  </si>
  <si>
    <t>TELECOM SYSTMEM (NON-IT)</t>
  </si>
  <si>
    <t>S.2</t>
  </si>
  <si>
    <t>In-Plant Voice Paging System (IVPS)</t>
  </si>
  <si>
    <t>S.2.1</t>
  </si>
  <si>
    <t>Paging System Main Cabinet</t>
  </si>
  <si>
    <t>Main Cabinet</t>
  </si>
  <si>
    <t>FI32DA00ZZ-0000001</t>
  </si>
  <si>
    <t>Main PAGA equipment cabinet. Heat dissipation: PIB-080 main cabinet: 9265 BTUH, PIB-081 main cabinet: 4592 BTUH.</t>
  </si>
  <si>
    <t>S.2.2</t>
  </si>
  <si>
    <t>Paging System Local Cabinet</t>
  </si>
  <si>
    <t>Local Cabinet</t>
  </si>
  <si>
    <t>FI32DB00ZZ-0000001</t>
  </si>
  <si>
    <t>S.2.3</t>
  </si>
  <si>
    <t>Paging System PAGA Workstation with accessories</t>
  </si>
  <si>
    <t>PAGA Workstation with accessories</t>
  </si>
  <si>
    <t>FI32DC00ZZ-0000001</t>
  </si>
  <si>
    <t>S.2.4</t>
  </si>
  <si>
    <t>Paging System Operator Access Panel</t>
  </si>
  <si>
    <t>Access Control Panel</t>
  </si>
  <si>
    <t>FI32DD00ZZ-0000001</t>
  </si>
  <si>
    <t>Operator Access Panels installed in CCR-1 console for operator consoles: AWS4, SWS4, SRU4, and BOTB (Total: 4 panels in CCR-1).</t>
  </si>
  <si>
    <t>S.2.5</t>
  </si>
  <si>
    <t>Paging System Indoor Ceiling Speaker with Junction Box</t>
  </si>
  <si>
    <t>Indoor Ceiling Speaker</t>
  </si>
  <si>
    <t>FI32DE00ZZ-0000001</t>
  </si>
  <si>
    <t>S.2.6</t>
  </si>
  <si>
    <t>Paging System LoudSpeaker (Box type) with Junction Box</t>
  </si>
  <si>
    <t>LoudSpeaker (Box type)</t>
  </si>
  <si>
    <t>FI32DF00ZZ-0000001</t>
  </si>
  <si>
    <t>S.2.7</t>
  </si>
  <si>
    <t>Paging System Loudspeaker(Horn Type) with Junction Box</t>
  </si>
  <si>
    <t>General Purpose</t>
  </si>
  <si>
    <t>FI32DG00AA-0000001</t>
  </si>
  <si>
    <t>S.2.8</t>
  </si>
  <si>
    <t>Weather proof</t>
  </si>
  <si>
    <t>FI32DG00AB-0000001</t>
  </si>
  <si>
    <t>S.2.9</t>
  </si>
  <si>
    <t>Explosion Proof</t>
  </si>
  <si>
    <t>FI32DG00AD-0000001</t>
  </si>
  <si>
    <t>S.2.10</t>
  </si>
  <si>
    <t>Paging System Distribution Junction Box</t>
  </si>
  <si>
    <t>FI32DJ00AA-0000001</t>
  </si>
  <si>
    <t>S.2.11</t>
  </si>
  <si>
    <t>Weather proof ( Multi JB )</t>
  </si>
  <si>
    <t>FI32DJ00AB-0000001</t>
  </si>
  <si>
    <t>S.2.12</t>
  </si>
  <si>
    <t>Explosion Proof ( Multi JB )</t>
  </si>
  <si>
    <t>FI32DJ00AD-0000001</t>
  </si>
  <si>
    <t>S.2.14</t>
  </si>
  <si>
    <t>Paging System Intercom Station With Acoustic Booth</t>
  </si>
  <si>
    <t>Intercom Station With Acoustic Booth (Ex)</t>
  </si>
  <si>
    <t>FI32DM00ZZ-0000001</t>
  </si>
  <si>
    <t>Acoustic booths/hoods provided for all outdoor intercom handset stations in high-noise areas (EB Complex: 17, PKG-2 Common: 8).</t>
  </si>
  <si>
    <t>Intercom Station With Acoustic Booth (WP)</t>
  </si>
  <si>
    <t>S.2.15</t>
  </si>
  <si>
    <t>Paging System Flash Beacon</t>
  </si>
  <si>
    <t>FI32DN00AA-0000001</t>
  </si>
  <si>
    <t>S.2.13</t>
  </si>
  <si>
    <t>Paging System Intercom Station with Junction Box</t>
  </si>
  <si>
    <t>Intercom Station with amplifier</t>
  </si>
  <si>
    <t>FI32DL00ZZ-0000001</t>
  </si>
  <si>
    <t>S.2.16</t>
  </si>
  <si>
    <t>FI32DN00AB-0000001</t>
  </si>
  <si>
    <t>S.2.17</t>
  </si>
  <si>
    <t>Paging System Flash Beacon with Junction Box</t>
  </si>
  <si>
    <t>FI32DN00AD-0000001</t>
  </si>
  <si>
    <t>S.2.18</t>
  </si>
  <si>
    <t>Paging System Speaker Pole</t>
  </si>
  <si>
    <t>Speaker Pole up to 3m</t>
  </si>
  <si>
    <t>FI32DO00ZZ-0000001</t>
  </si>
  <si>
    <t>S.2.19</t>
  </si>
  <si>
    <r>
      <rPr>
        <sz val="9"/>
        <color rgb="FF000000"/>
        <rFont val="맑은 고딕"/>
      </rPr>
      <t xml:space="preserve">Speaker Pole 3m - 8m
</t>
    </r>
    <r>
      <rPr>
        <b/>
        <sz val="9"/>
        <color rgb="FFFF0000"/>
        <rFont val="맑은 고딕"/>
      </rPr>
      <t>Painting, and coating requirements:  12-SAMSS-007, SAES-H-001, and H-101</t>
    </r>
  </si>
  <si>
    <t>S.2.20</t>
  </si>
  <si>
    <t>Speaker Pole 8m - 15m</t>
  </si>
  <si>
    <t>S.2.21</t>
  </si>
  <si>
    <t>Paging System Existing Interface software/license</t>
  </si>
  <si>
    <t>Existing Interface software/license</t>
  </si>
  <si>
    <t>FI32DP00ZZ-0000001</t>
  </si>
  <si>
    <t>Worst-case scenario provision: Software licenses to connect new IPVP paging system to existing call managers/servers.</t>
  </si>
  <si>
    <t>S.2.22</t>
  </si>
  <si>
    <t>Paging Remote Amplifiers</t>
  </si>
  <si>
    <t>20W, 8ohms/16ohms Indoor</t>
  </si>
  <si>
    <t>S.2.23</t>
  </si>
  <si>
    <t>Paging Remote Amplifiers (Weatherproof)</t>
  </si>
  <si>
    <t>20W, 8ohms/16ohms Outdoor</t>
  </si>
  <si>
    <t>Paging Remote Amplifiers (Explosion proof)</t>
  </si>
  <si>
    <t>S.2.24</t>
  </si>
  <si>
    <t>Paging System Cables</t>
  </si>
  <si>
    <t>2C Unarmoured</t>
  </si>
  <si>
    <t>S.2.25</t>
  </si>
  <si>
    <t>16C Unarmoured</t>
  </si>
  <si>
    <t>S.2.26</t>
  </si>
  <si>
    <t>2C Armoured</t>
  </si>
  <si>
    <t>FI32DP00ZZ-0000002</t>
  </si>
  <si>
    <t>BOTB-PKG1-MR-TE-0002</t>
  </si>
  <si>
    <t>S.2.27</t>
  </si>
  <si>
    <t>16C Armoured</t>
  </si>
  <si>
    <t>FI32DP00ZZ-0000003</t>
  </si>
  <si>
    <t>BOTB-PKG1-MR-TE-0003</t>
  </si>
  <si>
    <t>S.3</t>
  </si>
  <si>
    <t>Emergency Siren System</t>
  </si>
  <si>
    <t>FZ75ZZ00ZZ-0000001</t>
  </si>
  <si>
    <t>S.3.1</t>
  </si>
  <si>
    <t>Siren System Cabinet</t>
  </si>
  <si>
    <t>19" Cabinet</t>
  </si>
  <si>
    <t>FZ76ZZ00ZZ-0000001</t>
  </si>
  <si>
    <t>S.3.2</t>
  </si>
  <si>
    <t>Siren System Operator Access Panel</t>
  </si>
  <si>
    <t>Operator Access Panel</t>
  </si>
  <si>
    <t>FZ77ZZ00ZZ-0000001</t>
  </si>
  <si>
    <t>S.3.3</t>
  </si>
  <si>
    <t>Omni-directional modularot high powered speaker array</t>
  </si>
  <si>
    <t>8 x 400W (3200W) Active Modules / 30 meters Siren Cable / Pole mount</t>
  </si>
  <si>
    <t>S.3.4</t>
  </si>
  <si>
    <t>Electronic Siren Controller Enclosure</t>
  </si>
  <si>
    <t>Stainless steel , NEMA 4X</t>
  </si>
  <si>
    <t>S.3.5</t>
  </si>
  <si>
    <t>Charger, Batteries and Battery Enclosure</t>
  </si>
  <si>
    <r>
      <rPr>
        <sz val="9"/>
        <color rgb="FF000000"/>
        <rFont val="맑은 고딕"/>
      </rPr>
      <t xml:space="preserve">Stainless steel , NEMA 4X
</t>
    </r>
    <r>
      <rPr>
        <b/>
        <sz val="9"/>
        <color rgb="FFFF0000"/>
        <rFont val="맑은 고딕"/>
      </rPr>
      <t>Battery &amp; Battery Enclsure meets: SAES-T-151, SAES-P-103, 17-SAMSS-511, and IOGP S-740</t>
    </r>
  </si>
  <si>
    <t>S.3.6</t>
  </si>
  <si>
    <t>Flahing Beacon</t>
  </si>
  <si>
    <t>Orange color</t>
  </si>
  <si>
    <t>S.3.7</t>
  </si>
  <si>
    <t>Green color</t>
  </si>
  <si>
    <t>S.3.8</t>
  </si>
  <si>
    <t>Siren Tower</t>
  </si>
  <si>
    <r>
      <rPr>
        <sz val="9"/>
        <color rgb="FF000000"/>
        <rFont val="맑은 고딕"/>
      </rPr>
      <t xml:space="preserve">Height : 20M / Self-supporting, Ligtning protection, Maintenace Platform with ladders, Earthing and bonding
</t>
    </r>
    <r>
      <rPr>
        <b/>
        <sz val="9"/>
        <color rgb="FFFF0000"/>
        <rFont val="맑은 고딕"/>
      </rPr>
      <t>Painting, and coating requirements:  12-SAMSS-007, SAES-H-001, and H-101V</t>
    </r>
  </si>
  <si>
    <t>S.3.9</t>
  </si>
  <si>
    <t>Siren System Pole</t>
  </si>
  <si>
    <t>Pole</t>
  </si>
  <si>
    <t>FZ78ZZ00ZZ-0000001</t>
  </si>
  <si>
    <t>S.3.10</t>
  </si>
  <si>
    <t>Workstation w/monitor</t>
  </si>
  <si>
    <t>S.5</t>
  </si>
  <si>
    <t>Communication System Others Telecom &amp; Security System</t>
  </si>
  <si>
    <t>S.5.1</t>
  </si>
  <si>
    <t>Communication System Others Telecom &amp; Security System UPS - Cabinet Type</t>
  </si>
  <si>
    <t>Telecom &amp; Security System UPS - Cabinet Type</t>
  </si>
  <si>
    <t>FI37HA00ZZ-0000001</t>
  </si>
  <si>
    <t>S.5.2</t>
  </si>
  <si>
    <t>Communication System Others Patch panel</t>
  </si>
  <si>
    <t>Patch panel for FIBER OPTIC</t>
  </si>
  <si>
    <t>FI37HB01ZZ-0000001</t>
  </si>
  <si>
    <t>S.5.3</t>
  </si>
  <si>
    <t>Patch panel for UTP</t>
  </si>
  <si>
    <t>S.5.4</t>
  </si>
  <si>
    <t>Communication System Others Patch cord</t>
  </si>
  <si>
    <t>Patch cord for Fiber OPTIC</t>
  </si>
  <si>
    <t>S.5.5</t>
  </si>
  <si>
    <t>Patch cord FOR UTP</t>
  </si>
  <si>
    <t>S.5.6</t>
  </si>
  <si>
    <t>Communication System Others Junction Box</t>
  </si>
  <si>
    <t>Junction Box</t>
  </si>
  <si>
    <t>FI37HD00AA-0000001</t>
  </si>
  <si>
    <t>S.5.7</t>
  </si>
  <si>
    <t>Junction Box (400 x 400 x 100 )</t>
  </si>
  <si>
    <t>S.5.8</t>
  </si>
  <si>
    <t>Communication System Others Explosion proof junction Box</t>
  </si>
  <si>
    <t>Explosion proof junction Box</t>
  </si>
  <si>
    <t>FI37HD00AD-0000001</t>
  </si>
  <si>
    <t>S.5.9</t>
  </si>
  <si>
    <t>Communication System Others Printer</t>
  </si>
  <si>
    <t>FAX</t>
  </si>
  <si>
    <t>FI37HE00ZZ-0000001</t>
  </si>
  <si>
    <t>S.5.10</t>
  </si>
  <si>
    <t>Printer</t>
  </si>
  <si>
    <t>S.5.11</t>
  </si>
  <si>
    <t>Communication System Others Coax Cable</t>
  </si>
  <si>
    <t>Coax Cable 1/2"</t>
  </si>
  <si>
    <t>S.5.12</t>
  </si>
  <si>
    <t>Coax Cable 7/8"</t>
  </si>
  <si>
    <t>S.5.13</t>
  </si>
  <si>
    <t>Communication System Others Special Cable (Vendor Supply)</t>
  </si>
  <si>
    <t>Special Cable, Wifi Antenna extension (Vendor Supply)</t>
  </si>
  <si>
    <t>S.5.14</t>
  </si>
  <si>
    <t>Special Cable, Pwer Cord (Vendor Supply)</t>
  </si>
  <si>
    <t>S.5.15</t>
  </si>
  <si>
    <t>Communication System Others PEDESTAL</t>
  </si>
  <si>
    <t>PEDESTAL</t>
  </si>
  <si>
    <t>FI37HH00ZZ-0000001</t>
  </si>
  <si>
    <t>S.5.16</t>
  </si>
  <si>
    <t>Communication System Others Miscellaneous</t>
  </si>
  <si>
    <t>Miscellaneous</t>
  </si>
  <si>
    <t>S.6</t>
  </si>
  <si>
    <t>IT-ACS</t>
  </si>
  <si>
    <t>S.6.1</t>
  </si>
  <si>
    <t>42U Cabinet with ACS Controller</t>
  </si>
  <si>
    <t>No.</t>
  </si>
  <si>
    <t>S.6.2</t>
  </si>
  <si>
    <t>Power Supply</t>
  </si>
  <si>
    <t>Rack-mount life safety power supply with battery, connected to the building UPS system for continuous operation. Quantities updated: PIB-080: 1, PIB-081: 1.</t>
  </si>
  <si>
    <t>S.6.3</t>
  </si>
  <si>
    <t>Door Contact</t>
  </si>
  <si>
    <t>Magnetic door contacts to monitor open/close status of single or double leaf TER doors. Quantities updated: PIB-080: 1, PIB-081: 1.</t>
  </si>
  <si>
    <t>S.6.4</t>
  </si>
  <si>
    <t>Electromagnetic Lock</t>
  </si>
  <si>
    <t>Electronically controlled fail-safe electromagnetic locks with secure mechanical override for TER doors. Quantities updated: PIB-080: 1, PIB-081: 1.</t>
  </si>
  <si>
    <t>S.6.5</t>
  </si>
  <si>
    <t>Card Reader with Keypad</t>
  </si>
  <si>
    <t>Weatherproof proximity card readers with keypads for employee ID card authorization at the TER entry door. Quantities updated: PIB-080: 1, PIB-081: 1.</t>
  </si>
  <si>
    <t>S.6.6</t>
  </si>
  <si>
    <t>Request to Exit Button</t>
  </si>
  <si>
    <t>Push-to-exit buttons installed on the secure side (inside) of the TER doors for standard egress. Quantities updated: PIB-080: 1, PIB-081: 1.</t>
  </si>
  <si>
    <t>S.6.7</t>
  </si>
  <si>
    <t>Emergency Break Glass</t>
  </si>
  <si>
    <t>Emergency break glass units installed on the secure side (inside) of the TER doors for emergency egress. Quantities updated: PIB-080: 1, PIB-081: 1.</t>
  </si>
  <si>
    <t>S.6.8</t>
  </si>
  <si>
    <t>Indoor Dome Camera</t>
  </si>
  <si>
    <t>Indoor dome cameras for TER CCTV surveillance. Exactly 3 dome cameras designated for each TER (PIB-080 TER tags PIB80-TER-IC-001/002/003, PIB-081 TER tags PIB81-TER-IC-001/002/003). Quantities updated: PIB-080: 3, PIB-081: 3.</t>
  </si>
  <si>
    <t>S.6.9</t>
  </si>
  <si>
    <t>IT-ACS Server Upgrade and Licensing (Existing)</t>
  </si>
  <si>
    <t>S.7</t>
  </si>
  <si>
    <t>Intrusion Detection System for Category 1 Fence</t>
  </si>
  <si>
    <t>S.7.1</t>
  </si>
  <si>
    <t xml:space="preserve">IDAS Fixed CCTV Camera with JB and accessories </t>
  </si>
  <si>
    <t>Fixed Camera with Bracket including license</t>
  </si>
  <si>
    <t>FF18ZZ00AB-0000001</t>
  </si>
  <si>
    <t>S.7.2</t>
  </si>
  <si>
    <t xml:space="preserve">IDAS PTZ CCTV Camera with JB and accessories </t>
  </si>
  <si>
    <t>PTZ Camera with JB, Bracket including license</t>
  </si>
  <si>
    <t>FF19ZZ00AB-0000001</t>
  </si>
  <si>
    <t>S.7.3</t>
  </si>
  <si>
    <t>IDAS Video Analytic Camera with JB and accessories - including license</t>
  </si>
  <si>
    <t>Video Analytic Camera with Bracket including license</t>
  </si>
  <si>
    <t>S.7.4</t>
  </si>
  <si>
    <t>IDAS Camera Pole for fixed camera</t>
  </si>
  <si>
    <t>Camera Pole 5m</t>
  </si>
  <si>
    <t>FF22ZZ00ZZ-0000001</t>
  </si>
  <si>
    <t>5</t>
  </si>
  <si>
    <t>S.7.5</t>
  </si>
  <si>
    <t>IDAS Camera Pole for PTZ camera</t>
  </si>
  <si>
    <t>Camera Pole 7m</t>
  </si>
  <si>
    <t>7</t>
  </si>
  <si>
    <t>S.7.6</t>
  </si>
  <si>
    <t>IDAS MIDS SENSOR</t>
  </si>
  <si>
    <t>Micro wave Transmitter with bracket</t>
  </si>
  <si>
    <t>FR22BC00ZZ-0000001</t>
  </si>
  <si>
    <t>S.7.7</t>
  </si>
  <si>
    <t>Micro wave Receiver with bracket</t>
  </si>
  <si>
    <t>S.7.8</t>
  </si>
  <si>
    <t>Micro wave Tranceiver with bracket</t>
  </si>
  <si>
    <t>S.7.9</t>
  </si>
  <si>
    <t xml:space="preserve">IDAS FOSS </t>
  </si>
  <si>
    <t>Fiber Optic Fence Sensor Cable</t>
  </si>
  <si>
    <t>FR22BD00ZZ-0000001</t>
  </si>
  <si>
    <t>S.7.10</t>
  </si>
  <si>
    <t>Fiber Break-out Box including all component</t>
  </si>
  <si>
    <t>FR21AC00ZZ-0000001</t>
  </si>
  <si>
    <t>S.7.11</t>
  </si>
  <si>
    <t>IDAS OTHERS</t>
  </si>
  <si>
    <t>Magnetic Bodning Sensor</t>
  </si>
  <si>
    <t>S.7.12</t>
  </si>
  <si>
    <t>Field Equipment Cabinet including switich, APU, I/O Module, etc…and related all component.</t>
  </si>
  <si>
    <t>FR22BE00ZZ-0000001</t>
  </si>
  <si>
    <t>S.7.13</t>
  </si>
  <si>
    <t>S.7.14</t>
  </si>
  <si>
    <t>IDAS Camera Pole for MIDS</t>
  </si>
  <si>
    <t>MIDS Pole 1.2m</t>
  </si>
  <si>
    <t>1.2</t>
  </si>
  <si>
    <t>S.7.15</t>
  </si>
  <si>
    <t xml:space="preserve">Steel Structure Support for Field Equipment Cabinet </t>
  </si>
  <si>
    <t>Steel support 1.2m x 0.8m</t>
  </si>
  <si>
    <t>S.7.16</t>
  </si>
  <si>
    <t>Security System Intrusion Detection System Main Cabinet</t>
  </si>
  <si>
    <t>Server and FOPP 42U RACK</t>
  </si>
  <si>
    <t>FR22BA00ZZ-0000001</t>
  </si>
  <si>
    <t>S.7.17</t>
  </si>
  <si>
    <t>Secrutiy System Optiped for IDAS FOC Connetion</t>
  </si>
  <si>
    <t>Optiped with Splicing Tray and Kit</t>
  </si>
  <si>
    <t>S.8</t>
  </si>
  <si>
    <t>Security CCTV &amp; ACS System</t>
  </si>
  <si>
    <t>S.8.1</t>
  </si>
  <si>
    <t>Security ACS Main Cabinet with ACS Controller</t>
  </si>
  <si>
    <r>
      <rPr>
        <sz val="9"/>
        <color rgb="FF000000"/>
        <rFont val="맑은 고딕"/>
      </rPr>
      <t xml:space="preserve">42U ACS/CCTV Enclosure including switch and all related component (ACS Controller, 2 x Reader Interface Module, 2 x Ethernet Switch (POE), 2 x UTP Patch Panel, PSU, PDU, I/O Modules, RS-485 Cable)
</t>
    </r>
    <r>
      <rPr>
        <b/>
        <sz val="9"/>
        <color rgb="FFFF0000"/>
        <rFont val="맑은 고딕"/>
      </rPr>
      <t>Rack Mounted UPS w/ 2-hour battery backup time</t>
    </r>
  </si>
  <si>
    <t>FF13ZZ00ZZ-0000001</t>
  </si>
  <si>
    <t>S.8.2</t>
  </si>
  <si>
    <t>Security ACS  24 Port Fiber Optic Patch Panel</t>
  </si>
  <si>
    <t>FOC SACS - OSP Cabinet</t>
  </si>
  <si>
    <t>S.8.3</t>
  </si>
  <si>
    <t>Security CCTV &amp; ACS Outdoor CCTV Cabinet -</t>
  </si>
  <si>
    <t>Field Equipment Cabinets (FEC) w/ Industrial Ethernet Switch (IES) with Power over Ethernet (POE), (I/O) Module, PSU, FOPP,CB, Tamper Switch</t>
  </si>
  <si>
    <t>Field Equipment Cabinets (FEC01, FEC02, FEC03) designed to withstand 65°C and house Industrial Ethernet switches, ACS controllers, I/O modules, and power supplies for the Sales Gas Scraper area. Quantities updated: PKG-2 Common: 3.</t>
  </si>
  <si>
    <t>S.8.4</t>
  </si>
  <si>
    <t>Security CCTV Indoor Fixed CCTV Camera -</t>
  </si>
  <si>
    <t>Indoor Fixed CCTV Camera with Ceilling mount bracket and license</t>
  </si>
  <si>
    <t>FF16ZZ00ZZ-0000001</t>
  </si>
  <si>
    <t>Indoor Fixed Dome Cameras (including ceiling mount brackets and licenses) distributed by building</t>
  </si>
  <si>
    <t>S.8.5</t>
  </si>
  <si>
    <t>Security CCTV Fixed CCTV Camera with JB and accessories -</t>
  </si>
  <si>
    <t>Outdoor Fixed CCTV Camera with wall mount bracket with license</t>
  </si>
  <si>
    <t>Outdoor Fixed Cameras (including wall mount brackets, junction boxes, and licenses) distributed by building</t>
  </si>
  <si>
    <t>S.8.6</t>
  </si>
  <si>
    <t>Security ACS Proximity Card Reader</t>
  </si>
  <si>
    <t>Proximity Card Reader</t>
  </si>
  <si>
    <t>FR21AE00ZZ-0000001</t>
  </si>
  <si>
    <t>S.8.7</t>
  </si>
  <si>
    <t>Security ACS Electrical Magnetic Lock</t>
  </si>
  <si>
    <t>Electrical Magnetic Lock</t>
  </si>
  <si>
    <t>FR21AH00ZZ-0000001</t>
  </si>
  <si>
    <t>S.8.8</t>
  </si>
  <si>
    <t>Security ACS Door Contract</t>
  </si>
  <si>
    <t>Door Contract</t>
  </si>
  <si>
    <t>FR21AI00ZZ-0000001</t>
  </si>
  <si>
    <t>S.8.9</t>
  </si>
  <si>
    <t>Security ACS Push Button</t>
  </si>
  <si>
    <t>Push Button</t>
  </si>
  <si>
    <t>FR21AJ00ZZ-0000001</t>
  </si>
  <si>
    <t>S.8.10</t>
  </si>
  <si>
    <t>Security ACS Break Glass Unit</t>
  </si>
  <si>
    <t>Break Glass Unit</t>
  </si>
  <si>
    <t>FR21AK00ZZ-0000001</t>
  </si>
  <si>
    <t>S.8.11</t>
  </si>
  <si>
    <t>Security CCTV &amp; ACS Surge protector</t>
  </si>
  <si>
    <t>Enclosure with Cat.6 surge protector</t>
  </si>
  <si>
    <t>S.8.12</t>
  </si>
  <si>
    <t>Tilted pole for Security CCTV</t>
  </si>
  <si>
    <t>5m, Hot-dip galvanized steel</t>
  </si>
  <si>
    <t>S.8.13</t>
  </si>
  <si>
    <t>7m, Hot-dip galvanized steel</t>
  </si>
  <si>
    <t>S.8.14</t>
  </si>
  <si>
    <t>CCTV Fixed CCTV Camera with JB c/w Media Converter &amp; accessories</t>
  </si>
  <si>
    <t>2525-8540-80-R591-5973_SECURITY EQUIPMENT BLOCK AND LEVEL DIAGRAM - SALES GAS PIPELINE (FOR SCRAPPER LAUNCHER)</t>
  </si>
  <si>
    <t>S.8.15</t>
  </si>
  <si>
    <t>CCTV PTZ CCTV Camera with JB  c/w Media Converter &amp; accessories</t>
  </si>
  <si>
    <t>S.8.16</t>
  </si>
  <si>
    <t>Magnetic Sensor (MBS)</t>
  </si>
  <si>
    <t>S.8.17</t>
  </si>
  <si>
    <t>Security ACS Local Enclosure with Controller</t>
  </si>
  <si>
    <t>Security ACS Local Door Controller (1 Door Capacity)</t>
  </si>
  <si>
    <t>S.10</t>
  </si>
  <si>
    <t>Process CCTV System</t>
  </si>
  <si>
    <t>S.10.1</t>
  </si>
  <si>
    <t>CCTV Main Cabinet</t>
  </si>
  <si>
    <t>FF11ZZ00ZZ-0000001</t>
  </si>
  <si>
    <t>S.10.2</t>
  </si>
  <si>
    <t>CCTV Local Cabinet</t>
  </si>
  <si>
    <t>Local Control Unit with Junction Box</t>
  </si>
  <si>
    <t>FF12ZZ00ZZ-0000001</t>
  </si>
  <si>
    <t>S.10.3</t>
  </si>
  <si>
    <t>CCTV Outdoor CCTV Cabinet</t>
  </si>
  <si>
    <t>Outdoor CCTV Cabinet</t>
  </si>
  <si>
    <t>S.10.4</t>
  </si>
  <si>
    <t>CCTV CCTV Workstation with accessories</t>
  </si>
  <si>
    <t>CCTV Workstation with accessories</t>
  </si>
  <si>
    <t>FF14ZZ00ZZ-0000001</t>
  </si>
  <si>
    <t>Worst-case scenario provision: CCTV client workstation with accessories for control room operators.</t>
  </si>
  <si>
    <t>S.10.5</t>
  </si>
  <si>
    <t>CCTV CCTV Wall Screen Monitor</t>
  </si>
  <si>
    <r>
      <rPr>
        <sz val="9"/>
        <color rgb="FF000000"/>
        <rFont val="맑은 고딕"/>
      </rPr>
      <t xml:space="preserve">CCTV Wall Screen Monitor </t>
    </r>
    <r>
      <rPr>
        <b/>
        <sz val="9"/>
        <color rgb="FFFF0000"/>
        <rFont val="맑은 고딕"/>
      </rPr>
      <t>50</t>
    </r>
    <r>
      <rPr>
        <sz val="9"/>
        <color rgb="FF000000"/>
        <rFont val="맑은 고딕"/>
      </rPr>
      <t>"</t>
    </r>
  </si>
  <si>
    <t>FF15ZZ00ZZ-0000001</t>
  </si>
  <si>
    <t>Worst-case scenario provision: Dual 24" LED monitors and 50"/75" monitors for CCTV monitoring.</t>
  </si>
  <si>
    <t>S.10.6</t>
  </si>
  <si>
    <t>CCTV Wall Screen Monitor 75"</t>
  </si>
  <si>
    <t>S.10.7</t>
  </si>
  <si>
    <t>CCTV Indoor Fixed CCTV Camera</t>
  </si>
  <si>
    <t>Indoor Fixed CCTV Camera</t>
  </si>
  <si>
    <t>Process CCTV indoor fixed dome cameras for monitoring process analyzer rooms and control cabinets (PIB-080: 2, SS-071: 2).</t>
  </si>
  <si>
    <t>S.10.8</t>
  </si>
  <si>
    <t>CCTV Indoor PTZ CCTV Camera</t>
  </si>
  <si>
    <t>Indoor PTZ CCTV Camera</t>
  </si>
  <si>
    <t>FF17ZZ00ZZ-0000001</t>
  </si>
  <si>
    <t>S.10.9</t>
  </si>
  <si>
    <t>CCTV Fixed CCTV Camera with JB and accessories</t>
  </si>
  <si>
    <t>Process CCTV outdoor fixed weatherproof cameras for local area surveillance (PIB-080: 4, SS-071: 4).</t>
  </si>
  <si>
    <t>S.10.10</t>
  </si>
  <si>
    <t>FF18ZZ00AD-0000001</t>
  </si>
  <si>
    <t>S.10.11</t>
  </si>
  <si>
    <t>CCTV PTZ CCTV Camera with JB and accessories</t>
  </si>
  <si>
    <t>S.10.12</t>
  </si>
  <si>
    <t>CCTV PTZ CCTV Camera with JB c/w Media Converter &amp; accessories</t>
  </si>
  <si>
    <t>FF19ZZ00AD-0000001</t>
  </si>
  <si>
    <t>Assumed QTY in PKG-2 areas</t>
  </si>
  <si>
    <t>Process CCTV explosion-proof PTZ cameras for plant operational monitoring (Total: 16). Process CCTV Outdoor Junction Box (explosion-proof) housing media converters, power terminals, and fiber splicing for the 16 outdoor process cameras.</t>
  </si>
  <si>
    <t>S.10.13</t>
  </si>
  <si>
    <t>CCTV CCTV Camera Pole</t>
  </si>
  <si>
    <t>IDAS Pole up to 3m</t>
  </si>
  <si>
    <t>S.10.14</t>
  </si>
  <si>
    <r>
      <rPr>
        <sz val="9"/>
        <color rgb="FF000000"/>
        <rFont val="맑은 고딕"/>
      </rPr>
      <t xml:space="preserve">CCTV Camera Pole 3m to 8m
</t>
    </r>
    <r>
      <rPr>
        <b/>
        <sz val="9"/>
        <color rgb="FFFF0000"/>
        <rFont val="맑은 고딕"/>
      </rPr>
      <t>Painting, and coating requirements:  12-SAMSS-007, SAES-H-001, and H-101V</t>
    </r>
  </si>
  <si>
    <t>5m tilted poles for outdoor process CCTV camera mounting (Total: 16).</t>
  </si>
  <si>
    <t>S.10.15</t>
  </si>
  <si>
    <t>CCTV Existing Interface software/license</t>
  </si>
  <si>
    <t>FF23ZZ00ZZ-0000001</t>
  </si>
  <si>
    <t>Worst-case scenario provision: VMS expansion licenses to connect new CCTV cameras to existing corporate servers.</t>
  </si>
  <si>
    <t>S.10.16</t>
  </si>
  <si>
    <t>CCTV Server</t>
  </si>
  <si>
    <t>Server</t>
  </si>
  <si>
    <t>FF24ZZ00ZZ-0000001</t>
  </si>
  <si>
    <t>Worst-case scenario provision: New Primary and Secondary NVRs/storage servers if existing capacity is insufficient.</t>
  </si>
  <si>
    <t>S.10.17</t>
  </si>
  <si>
    <t>Motion Sensor - Ceiling Type</t>
  </si>
  <si>
    <t>Ceiling Type</t>
  </si>
  <si>
    <t>S.10.18</t>
  </si>
  <si>
    <t>FH00IA00ZZ-0000001</t>
  </si>
  <si>
    <t>Motion Sensor - Wall Mounting Type</t>
  </si>
  <si>
    <t>Wall Mounting Type</t>
  </si>
  <si>
    <t>S.10.19</t>
  </si>
  <si>
    <t>FH00IB00ZZ-0000001</t>
  </si>
  <si>
    <t>Thermal IR Camera with JB and accessories for Flare stack monitoring</t>
  </si>
  <si>
    <t>S.10.20</t>
  </si>
  <si>
    <t>Composite cable</t>
  </si>
  <si>
    <t>Between JB to Camera</t>
  </si>
  <si>
    <t>S.10.21</t>
  </si>
  <si>
    <t>S.11</t>
  </si>
  <si>
    <t>Process Access Control System</t>
  </si>
  <si>
    <t>S.11.1</t>
  </si>
  <si>
    <t>Access Control System Main Cabinet</t>
  </si>
  <si>
    <t>91</t>
  </si>
  <si>
    <t>FR21AA00ZZ-0000001</t>
  </si>
  <si>
    <t>S.11.2</t>
  </si>
  <si>
    <t>Access Control System Local Cabinet</t>
  </si>
  <si>
    <t>92</t>
  </si>
  <si>
    <t>FR21AB00ZZ-0000001</t>
  </si>
  <si>
    <t>S.11.3</t>
  </si>
  <si>
    <t>Access Control System Local Control Unit with Junction Box</t>
  </si>
  <si>
    <t>93</t>
  </si>
  <si>
    <t>S.11.4</t>
  </si>
  <si>
    <t>Access Control System ACS Workstation with accessories</t>
  </si>
  <si>
    <t>ACS Workstation with accessories</t>
  </si>
  <si>
    <t>94</t>
  </si>
  <si>
    <t>FR21AD00ZZ-0000001</t>
  </si>
  <si>
    <t>S.11.5</t>
  </si>
  <si>
    <t>Access Control System Proximity Card Reader</t>
  </si>
  <si>
    <t>95</t>
  </si>
  <si>
    <t>S.11.6</t>
  </si>
  <si>
    <t>Access Control System Explosion Proof Card Reader</t>
  </si>
  <si>
    <t>Explosion Proof Card Reader</t>
  </si>
  <si>
    <t>96</t>
  </si>
  <si>
    <t>FR21AF00ZZ-0000001</t>
  </si>
  <si>
    <t>S.11.7</t>
  </si>
  <si>
    <t>Access Control System Long Range Card Reader</t>
  </si>
  <si>
    <t>Long Range Card Reader</t>
  </si>
  <si>
    <t>97</t>
  </si>
  <si>
    <t>FR21AG00ZZ-0000001</t>
  </si>
  <si>
    <t>S.11.8</t>
  </si>
  <si>
    <t>Access Control System Electrical Magnetic Lock With Door Contact</t>
  </si>
  <si>
    <t>Electrical Magnetic Lock With Door Contact</t>
  </si>
  <si>
    <t>98</t>
  </si>
  <si>
    <t>S.11.9</t>
  </si>
  <si>
    <t>Access Control System Door Contract</t>
  </si>
  <si>
    <t>99</t>
  </si>
  <si>
    <t>S.11.10</t>
  </si>
  <si>
    <t>Access Control System Push Button</t>
  </si>
  <si>
    <t>100</t>
  </si>
  <si>
    <t>S.11.11</t>
  </si>
  <si>
    <t>Access Control System Break Glass Unit</t>
  </si>
  <si>
    <t>101</t>
  </si>
  <si>
    <t>S.11.12</t>
  </si>
  <si>
    <t>Access Control System Turnstiles</t>
  </si>
  <si>
    <t>Turnstiles</t>
  </si>
  <si>
    <t>102</t>
  </si>
  <si>
    <t>FR21AL00ZZ-0000001</t>
  </si>
  <si>
    <t>S.11.13</t>
  </si>
  <si>
    <t>Access Control System Speed Gate</t>
  </si>
  <si>
    <t>Speed Gate</t>
  </si>
  <si>
    <t>103</t>
  </si>
  <si>
    <t>FR21AM00ZZ-0000001</t>
  </si>
  <si>
    <t>S.11.14</t>
  </si>
  <si>
    <t>Access Control System Vehicle Barrier For Gate</t>
  </si>
  <si>
    <t>Vehicle Barrier For Gate</t>
  </si>
  <si>
    <t>104</t>
  </si>
  <si>
    <t>FR21AN00ZZ-0000001</t>
  </si>
  <si>
    <t>S.11.15</t>
  </si>
  <si>
    <t>Access Control System Road Blocker</t>
  </si>
  <si>
    <t>Road Blocker</t>
  </si>
  <si>
    <t>105</t>
  </si>
  <si>
    <t>FR21AO00ZZ-0000001</t>
  </si>
  <si>
    <t>S.11.16</t>
  </si>
  <si>
    <t>Access Control System Existing Interface software/license</t>
  </si>
  <si>
    <t>106</t>
  </si>
  <si>
    <t>FR21AP00ZZ-0000001</t>
  </si>
  <si>
    <t>Worst-case scenario provision: Software and reader licenses to connect the new ACS system to existing corporate servers.</t>
  </si>
  <si>
    <t>S.11.17</t>
  </si>
  <si>
    <t>Access Control System Badge Production System</t>
  </si>
  <si>
    <t>Badge Production System</t>
  </si>
  <si>
    <t>107</t>
  </si>
  <si>
    <t>FR21AQ00ZZ-0000001</t>
  </si>
  <si>
    <t>S.11.18</t>
  </si>
  <si>
    <t>Access Control System Alarm Buzzer</t>
  </si>
  <si>
    <t>Alarm Buzzer</t>
  </si>
  <si>
    <t>108</t>
  </si>
  <si>
    <t>FR21AR00ZZ-0000001</t>
  </si>
  <si>
    <t>S.11.19</t>
  </si>
  <si>
    <t>Access Control System ACS Pole</t>
  </si>
  <si>
    <t>ACS Pole up to 3m</t>
  </si>
  <si>
    <t>109</t>
  </si>
  <si>
    <t>FR21AS00ZZ-0000001</t>
  </si>
  <si>
    <t>S.13</t>
  </si>
  <si>
    <t>Outside Plant Cable System</t>
  </si>
  <si>
    <t>BOTB-PKG2-MR-TE-0001</t>
  </si>
  <si>
    <t>S.13.1</t>
  </si>
  <si>
    <t>Fiber Optic Splice Closure</t>
  </si>
  <si>
    <t>Fire-rated non-buried type</t>
  </si>
  <si>
    <t>S.13.2</t>
  </si>
  <si>
    <t>144 core Fiber optic Splice Closure</t>
  </si>
  <si>
    <t xml:space="preserve">Branch type (In - one 144 core cable / Out - Three 48 core cable) </t>
  </si>
  <si>
    <t>S.13.3</t>
  </si>
  <si>
    <t>48 core Fiber optic Splice Closure</t>
  </si>
  <si>
    <t xml:space="preserve">Branch or Butt type (In - one 48 core cable / Out - One 48 core cable) </t>
  </si>
  <si>
    <t>S.13.4</t>
  </si>
  <si>
    <t>24 core Fiber optic Splice Closure</t>
  </si>
  <si>
    <t xml:space="preserve">Branch or Butt type (In - one 24 core cable / Out - One 24 core cable) </t>
  </si>
  <si>
    <t>S.13.5</t>
  </si>
  <si>
    <t>6 core Fiber optic Splice Closure</t>
  </si>
  <si>
    <t xml:space="preserve">Branch or Butt type (In - one 6 core cable / Out - One 6 core cable) </t>
  </si>
  <si>
    <t>S.13.6</t>
  </si>
  <si>
    <t>Telecommunication Pedestal</t>
  </si>
  <si>
    <t>UPC-1278 (IT)</t>
  </si>
  <si>
    <t>S.13.7</t>
  </si>
  <si>
    <t>UPC-1278 (NON-IT)</t>
  </si>
  <si>
    <t>S.13.8</t>
  </si>
  <si>
    <t>UPC-1000 (IT)</t>
  </si>
  <si>
    <t>S.13.9</t>
  </si>
  <si>
    <t>UPC-1000 (NON-IT)</t>
  </si>
  <si>
    <t>S.13.10</t>
  </si>
  <si>
    <t>OPFOP1420 (IT)</t>
  </si>
  <si>
    <t>S.13.11</t>
  </si>
  <si>
    <t>OPFOP1420 (NON-IT)</t>
  </si>
  <si>
    <t>S.13.12</t>
  </si>
  <si>
    <t>OPFOP1830</t>
  </si>
  <si>
    <t>S.13.13</t>
  </si>
  <si>
    <t>CAD-8</t>
  </si>
  <si>
    <t>S.13.14</t>
  </si>
  <si>
    <t>OPFOP1420 (SECURITY)</t>
  </si>
  <si>
    <t>Outdoor Acoustic Study</t>
  </si>
  <si>
    <t>o.</t>
  </si>
  <si>
    <t>Master No.</t>
  </si>
  <si>
    <t>입찰</t>
  </si>
  <si>
    <t>수행</t>
  </si>
  <si>
    <t>등급</t>
  </si>
  <si>
    <t>사업영역</t>
  </si>
  <si>
    <t>프로젝트명</t>
  </si>
  <si>
    <t>Phase</t>
  </si>
  <si>
    <t>Discipline</t>
  </si>
  <si>
    <t>제목</t>
  </si>
  <si>
    <t>적용/미적용</t>
  </si>
  <si>
    <t>조치 계획</t>
  </si>
  <si>
    <t>EN-25-0275</t>
  </si>
  <si>
    <t>필수</t>
  </si>
  <si>
    <t>B</t>
  </si>
  <si>
    <t>화공</t>
  </si>
  <si>
    <t>Jafurah Phase II Utilities, Sulfur &amp; Export Facilities (Package 2) for the Jafurah Gas Plant Expansion</t>
  </si>
  <si>
    <t>Engineering</t>
  </si>
  <si>
    <t>Control &amp; Instrument</t>
  </si>
  <si>
    <t>Aramco  - Em'cy Siren System Battery 관련 요구사항</t>
  </si>
  <si>
    <t>적용</t>
  </si>
  <si>
    <t>Emergency Siren System에 적용되는 Battery 및 Enclosure는 제조사 std.가 아닌 SAES-T-151, SAES-P-103, 17-SAMSS-511, IOGP S-740 기준에 따라 제작진행</t>
  </si>
  <si>
    <t>EN-25-0269</t>
  </si>
  <si>
    <t>Aramco - Telecom Pole 관련 요구사항</t>
  </si>
  <si>
    <t>Telecom Pole 재질, Painting, Coating 관련 요구사항 확인후 MR에 반영 (12-SAMSS-007, SAES-H-001, H-101V)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</si>
</sst>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b/>
      <sz val="14"/>
      <color rgb="FF000000"/>
      <name val="맑은 고딕"/>
      <family val="3"/>
      <charset val="129"/>
    </font>
    <font>
      <b/>
      <sz val="10"/>
      <color rgb="FF000000"/>
      <name val="맑은 고딕"/>
      <family val="3"/>
      <charset val="129"/>
    </font>
    <font>
      <sz val="9"/>
      <color rgb="FF000000"/>
      <name val="맑은 고딕"/>
      <family val="3"/>
      <charset val="129"/>
    </font>
    <font>
      <sz val="9"/>
      <color rgb="FF008000"/>
      <name val="맑은 고딕"/>
      <family val="3"/>
      <charset val="129"/>
    </font>
    <font>
      <sz val="9"/>
      <color rgb="FFF1F7ED"/>
      <name val="맑은 고딕"/>
      <family val="3"/>
      <charset val="129"/>
    </font>
    <font>
      <sz val="9"/>
      <color rgb="FFE8E8E8"/>
      <name val="맑은 고딕"/>
      <family val="3"/>
      <charset val="129"/>
    </font>
    <font>
      <sz val="9"/>
      <color rgb="FFFFFFFF"/>
      <name val="맑은 고딕"/>
      <family val="3"/>
      <charset val="129"/>
    </font>
    <font>
      <sz val="9"/>
      <color theme="1"/>
      <name val="맑은 고딕"/>
      <family val="3"/>
      <charset val="129"/>
    </font>
    <font>
      <b/>
      <sz val="9"/>
      <color rgb="FF000000"/>
      <name val="맑은 고딕"/>
      <family val="3"/>
      <charset val="129"/>
    </font>
    <font>
      <sz val="11"/>
      <color theme="1"/>
      <name val="Calibri"/>
      <family val="3"/>
      <charset val="129"/>
      <scheme val="minor"/>
    </font>
    <font>
      <sz val="9"/>
      <color indexed="81"/>
      <name val="Tahoma"/>
      <family val="2"/>
    </font>
    <font>
      <b/>
      <sz val="9"/>
      <color indexed="81"/>
      <name val="Tahoma"/>
      <family val="2"/>
    </font>
    <font>
      <sz val="9"/>
      <name val="맑은 고딕"/>
      <family val="3"/>
      <charset val="129"/>
    </font>
    <font>
      <sz val="11"/>
      <name val="돋움"/>
      <family val="3"/>
      <charset val="129"/>
    </font>
    <font>
      <b/>
      <sz val="30"/>
      <name val="Arial"/>
      <family val="2"/>
    </font>
    <font>
      <sz val="11"/>
      <name val="Arial"/>
      <family val="2"/>
    </font>
    <font>
      <b/>
      <sz val="35"/>
      <name val="Arial"/>
      <family val="2"/>
    </font>
    <font>
      <b/>
      <sz val="16"/>
      <name val="Arial"/>
      <family val="2"/>
    </font>
    <font>
      <b/>
      <sz val="28"/>
      <name val="Arial"/>
      <family val="2"/>
    </font>
    <font>
      <b/>
      <sz val="22"/>
      <name val="Arial"/>
      <family val="2"/>
    </font>
    <font>
      <sz val="20"/>
      <name val="Arial"/>
      <family val="2"/>
    </font>
    <font>
      <sz val="18"/>
      <name val="Arial"/>
      <family val="2"/>
    </font>
    <font>
      <sz val="9"/>
      <name val="Arial"/>
      <family val="2"/>
    </font>
    <font>
      <sz val="10"/>
      <name val="Arial"/>
      <family val="2"/>
    </font>
    <font>
      <b/>
      <sz val="12"/>
      <name val="Arial"/>
      <family val="2"/>
    </font>
    <font>
      <b/>
      <sz val="12"/>
      <name val="돋움"/>
      <family val="3"/>
      <charset val="129"/>
    </font>
    <font>
      <sz val="11"/>
      <color rgb="FFFF0000"/>
      <name val="Arial"/>
      <family val="2"/>
    </font>
    <font>
      <sz val="9"/>
      <color rgb="FFFF0000"/>
      <name val="맑은 고딕"/>
      <family val="3"/>
      <charset val="129"/>
    </font>
    <font>
      <sz val="9"/>
      <color rgb="FF000000"/>
      <name val="맑은 고딕"/>
    </font>
    <font>
      <b/>
      <sz val="9"/>
      <color rgb="FFFF0000"/>
      <name val="맑은 고딕"/>
    </font>
    <font>
      <sz val="9"/>
      <color theme="1"/>
      <name val="맑은 고딕"/>
    </font>
    <font>
      <b/>
      <sz val="11"/>
      <color rgb="FFCD5937"/>
      <name val="Calibri"/>
      <family val="2"/>
      <scheme val="minor"/>
    </font>
  </fonts>
  <fills count="12">
    <fill>
      <patternFill patternType="none"/>
    </fill>
    <fill>
      <patternFill patternType="gray125"/>
    </fill>
    <fill>
      <patternFill patternType="solid">
        <fgColor rgb="FFFFFFFF"/>
      </patternFill>
    </fill>
    <fill>
      <patternFill patternType="solid">
        <fgColor rgb="FFD3D3D3"/>
      </patternFill>
    </fill>
    <fill>
      <patternFill patternType="solid">
        <fgColor rgb="FFE8E8E8"/>
      </patternFill>
    </fill>
    <fill>
      <patternFill patternType="solid">
        <fgColor rgb="FFF1F7ED"/>
      </patternFill>
    </fill>
    <fill>
      <patternFill patternType="solid">
        <fgColor rgb="FFFFFF00"/>
        <bgColor indexed="64"/>
      </patternFill>
    </fill>
    <fill>
      <patternFill patternType="solid">
        <fgColor theme="5" tint="0.39997558519241921"/>
        <bgColor indexed="64"/>
      </patternFill>
    </fill>
    <fill>
      <patternFill patternType="solid">
        <fgColor indexed="9"/>
        <bgColor indexed="64"/>
      </patternFill>
    </fill>
    <fill>
      <patternFill patternType="solid">
        <fgColor indexed="65"/>
        <bgColor indexed="64"/>
      </patternFill>
    </fill>
    <fill>
      <patternFill patternType="solid">
        <fgColor rgb="FF00FFFF"/>
        <bgColor indexed="64"/>
      </patternFill>
    </fill>
    <fill>
      <patternFill patternType="solid">
        <fgColor rgb="FFFFC000"/>
        <bgColor indexed="64"/>
      </patternFill>
    </fill>
  </fills>
  <borders count="12">
    <border>
      <left/>
      <right/>
      <top/>
      <bottom/>
      <diagonal/>
    </border>
    <border>
      <left/>
      <right/>
      <top/>
      <bottom style="thin">
        <color rgb="FF000000"/>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diagonal/>
    </border>
    <border>
      <left/>
      <right/>
      <top style="thin">
        <color rgb="FF000000"/>
      </top>
      <bottom style="thin">
        <color rgb="FFA9A9A9"/>
      </bottom>
      <diagonal/>
    </border>
    <border>
      <left/>
      <right style="thin">
        <color rgb="FFA9A9A9"/>
      </right>
      <top style="thin">
        <color rgb="FF000000"/>
      </top>
      <bottom style="thin">
        <color rgb="FFA9A9A9"/>
      </bottom>
      <diagonal/>
    </border>
    <border>
      <left style="thin">
        <color rgb="FFA9A9A9"/>
      </left>
      <right style="thin">
        <color rgb="FFA9A9A9"/>
      </right>
      <top/>
      <bottom/>
      <diagonal/>
    </border>
    <border>
      <left style="thin">
        <color rgb="FFA9A9A9"/>
      </left>
      <right style="thin">
        <color rgb="FFA9A9A9"/>
      </right>
      <top/>
      <bottom style="thin">
        <color rgb="FFA9A9A9"/>
      </bottom>
      <diagonal/>
    </border>
    <border>
      <left style="thin">
        <color rgb="FFA9A9A9"/>
      </left>
      <right style="thin">
        <color rgb="FFA9A9A9"/>
      </right>
      <top style="thin">
        <color rgb="FF000000"/>
      </top>
      <bottom style="thin">
        <color rgb="FFA9A9A9"/>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5">
    <xf numFmtId="0" fontId="0" fillId="0" borderId="0"/>
    <xf numFmtId="0" fontId="14" fillId="0" borderId="0"/>
    <xf numFmtId="0" fontId="14" fillId="0" borderId="0"/>
    <xf numFmtId="0" fontId="23" fillId="0" borderId="0">
      <alignment vertical="center"/>
    </xf>
    <xf numFmtId="0" fontId="24" fillId="0" borderId="0"/>
  </cellStyleXfs>
  <cellXfs count="128">
    <xf numFmtId="0" fontId="0" fillId="0" borderId="0" xfId="0"/>
    <xf numFmtId="0" fontId="3" fillId="2" borderId="2" xfId="0" applyFont="1" applyFill="1" applyBorder="1" applyAlignment="1">
      <alignment horizontal="left" vertical="center" readingOrder="1"/>
    </xf>
    <xf numFmtId="0" fontId="3" fillId="2" borderId="2" xfId="0" applyFont="1" applyFill="1" applyBorder="1" applyAlignment="1">
      <alignment horizontal="center" vertical="center" readingOrder="1"/>
    </xf>
    <xf numFmtId="49" fontId="3" fillId="2" borderId="2" xfId="0" applyNumberFormat="1" applyFont="1" applyFill="1" applyBorder="1" applyAlignment="1">
      <alignment horizontal="left" vertical="center" readingOrder="1"/>
    </xf>
    <xf numFmtId="0" fontId="3" fillId="4" borderId="2" xfId="0" applyFont="1" applyFill="1" applyBorder="1" applyAlignment="1">
      <alignment horizontal="center" vertical="center" readingOrder="1"/>
    </xf>
    <xf numFmtId="49" fontId="4" fillId="4" borderId="2" xfId="0" applyNumberFormat="1" applyFont="1" applyFill="1" applyBorder="1" applyAlignment="1">
      <alignment horizontal="center" vertical="center" readingOrder="1"/>
    </xf>
    <xf numFmtId="49" fontId="3" fillId="4" borderId="2" xfId="0" applyNumberFormat="1" applyFont="1" applyFill="1" applyBorder="1" applyAlignment="1">
      <alignment horizontal="left" vertical="center" readingOrder="1"/>
    </xf>
    <xf numFmtId="0" fontId="3" fillId="4" borderId="2" xfId="0" applyFont="1" applyFill="1" applyBorder="1" applyAlignment="1">
      <alignment horizontal="left" vertical="top" wrapText="1" shrinkToFit="1" readingOrder="1"/>
    </xf>
    <xf numFmtId="3" fontId="3" fillId="4" borderId="2" xfId="0" applyNumberFormat="1" applyFont="1" applyFill="1" applyBorder="1" applyAlignment="1">
      <alignment horizontal="right" vertical="center" readingOrder="1"/>
    </xf>
    <xf numFmtId="0" fontId="3" fillId="4" borderId="2" xfId="0" applyFont="1" applyFill="1" applyBorder="1" applyAlignment="1">
      <alignment horizontal="left" vertical="center" readingOrder="1"/>
    </xf>
    <xf numFmtId="0" fontId="3" fillId="5" borderId="2" xfId="0" applyFont="1" applyFill="1" applyBorder="1" applyAlignment="1">
      <alignment horizontal="center" vertical="center" readingOrder="1"/>
    </xf>
    <xf numFmtId="49" fontId="4" fillId="5" borderId="2" xfId="0" applyNumberFormat="1" applyFont="1" applyFill="1" applyBorder="1" applyAlignment="1">
      <alignment horizontal="center" vertical="center" readingOrder="1"/>
    </xf>
    <xf numFmtId="49" fontId="3" fillId="5" borderId="2" xfId="0" applyNumberFormat="1" applyFont="1" applyFill="1" applyBorder="1" applyAlignment="1">
      <alignment horizontal="left" vertical="center" readingOrder="1"/>
    </xf>
    <xf numFmtId="49" fontId="3" fillId="5" borderId="2" xfId="0" applyNumberFormat="1" applyFont="1" applyFill="1" applyBorder="1" applyAlignment="1">
      <alignment horizontal="center" vertical="center" readingOrder="1"/>
    </xf>
    <xf numFmtId="0" fontId="3" fillId="5" borderId="2" xfId="0" applyFont="1" applyFill="1" applyBorder="1" applyAlignment="1">
      <alignment horizontal="left" vertical="center" readingOrder="1"/>
    </xf>
    <xf numFmtId="0" fontId="3" fillId="5" borderId="2" xfId="0" applyFont="1" applyFill="1" applyBorder="1" applyAlignment="1">
      <alignment horizontal="left" vertical="top" wrapText="1" shrinkToFit="1" readingOrder="1"/>
    </xf>
    <xf numFmtId="3" fontId="3" fillId="5" borderId="2" xfId="0" applyNumberFormat="1" applyFont="1" applyFill="1" applyBorder="1" applyAlignment="1">
      <alignment horizontal="left" vertical="center" readingOrder="1"/>
    </xf>
    <xf numFmtId="3" fontId="3" fillId="5" borderId="2" xfId="0" applyNumberFormat="1" applyFont="1" applyFill="1" applyBorder="1" applyAlignment="1">
      <alignment horizontal="right" vertical="center" readingOrder="1"/>
    </xf>
    <xf numFmtId="49" fontId="3" fillId="5" borderId="2" xfId="0" applyNumberFormat="1" applyFont="1" applyFill="1" applyBorder="1" applyAlignment="1">
      <alignment horizontal="left" vertical="top" wrapText="1" shrinkToFit="1" readingOrder="1"/>
    </xf>
    <xf numFmtId="0" fontId="6" fillId="4" borderId="2" xfId="0" applyFont="1" applyFill="1" applyBorder="1" applyAlignment="1">
      <alignment horizontal="center" vertical="center" readingOrder="1"/>
    </xf>
    <xf numFmtId="3" fontId="6" fillId="4" borderId="2" xfId="0" applyNumberFormat="1" applyFont="1" applyFill="1" applyBorder="1" applyAlignment="1">
      <alignment horizontal="center" vertical="center" readingOrder="1"/>
    </xf>
    <xf numFmtId="49" fontId="4" fillId="2" borderId="2" xfId="0" applyNumberFormat="1" applyFont="1" applyFill="1" applyBorder="1" applyAlignment="1">
      <alignment horizontal="center" vertical="center" readingOrder="1"/>
    </xf>
    <xf numFmtId="0" fontId="3" fillId="2" borderId="2" xfId="0" applyFont="1" applyFill="1" applyBorder="1" applyAlignment="1">
      <alignment horizontal="left" vertical="top" wrapText="1" shrinkToFit="1" readingOrder="1"/>
    </xf>
    <xf numFmtId="0" fontId="7" fillId="2" borderId="2" xfId="0" applyFont="1" applyFill="1" applyBorder="1" applyAlignment="1">
      <alignment horizontal="center" vertical="center" readingOrder="1"/>
    </xf>
    <xf numFmtId="3" fontId="7" fillId="2" borderId="2" xfId="0" applyNumberFormat="1" applyFont="1" applyFill="1" applyBorder="1" applyAlignment="1">
      <alignment horizontal="center" vertical="center" readingOrder="1"/>
    </xf>
    <xf numFmtId="3" fontId="3" fillId="2" borderId="2" xfId="0" applyNumberFormat="1" applyFont="1" applyFill="1" applyBorder="1" applyAlignment="1">
      <alignment horizontal="right" vertical="center" readingOrder="1"/>
    </xf>
    <xf numFmtId="49" fontId="3" fillId="2" borderId="2" xfId="0" applyNumberFormat="1" applyFont="1" applyFill="1" applyBorder="1" applyAlignment="1">
      <alignment horizontal="left" vertical="top" wrapText="1" shrinkToFit="1" readingOrder="1"/>
    </xf>
    <xf numFmtId="3" fontId="5" fillId="5" borderId="2" xfId="0" applyNumberFormat="1" applyFont="1" applyFill="1" applyBorder="1" applyAlignment="1">
      <alignment horizontal="center" vertical="center" readingOrder="1"/>
    </xf>
    <xf numFmtId="0" fontId="5" fillId="5" borderId="2" xfId="0" applyFont="1" applyFill="1" applyBorder="1" applyAlignment="1">
      <alignment horizontal="center" vertical="center" readingOrder="1"/>
    </xf>
    <xf numFmtId="49" fontId="3" fillId="4" borderId="2" xfId="0" applyNumberFormat="1" applyFont="1" applyFill="1" applyBorder="1" applyAlignment="1">
      <alignment horizontal="left" vertical="top" wrapText="1" shrinkToFit="1" readingOrder="1"/>
    </xf>
    <xf numFmtId="49" fontId="5" fillId="5" borderId="2" xfId="0" applyNumberFormat="1" applyFont="1" applyFill="1" applyBorder="1" applyAlignment="1">
      <alignment horizontal="center" vertical="center" readingOrder="1"/>
    </xf>
    <xf numFmtId="3" fontId="3" fillId="4" borderId="2" xfId="0" applyNumberFormat="1" applyFont="1" applyFill="1" applyBorder="1" applyAlignment="1">
      <alignment horizontal="center" vertical="center" readingOrder="1"/>
    </xf>
    <xf numFmtId="3" fontId="3" fillId="2" borderId="2" xfId="0" applyNumberFormat="1" applyFont="1" applyFill="1" applyBorder="1" applyAlignment="1">
      <alignment horizontal="center" vertical="center" readingOrder="1"/>
    </xf>
    <xf numFmtId="3" fontId="3" fillId="5" borderId="2" xfId="0" applyNumberFormat="1" applyFont="1" applyFill="1" applyBorder="1" applyAlignment="1">
      <alignment horizontal="center" vertical="center" readingOrder="1"/>
    </xf>
    <xf numFmtId="49" fontId="5" fillId="5" borderId="2" xfId="0" applyNumberFormat="1" applyFont="1" applyFill="1" applyBorder="1" applyAlignment="1">
      <alignment horizontal="left" vertical="center" readingOrder="1"/>
    </xf>
    <xf numFmtId="49" fontId="3" fillId="6" borderId="2" xfId="0" applyNumberFormat="1" applyFont="1" applyFill="1" applyBorder="1" applyAlignment="1">
      <alignment horizontal="left" vertical="center" readingOrder="1"/>
    </xf>
    <xf numFmtId="49" fontId="3" fillId="7" borderId="2" xfId="0" applyNumberFormat="1" applyFont="1" applyFill="1" applyBorder="1" applyAlignment="1">
      <alignment horizontal="left" vertical="center" readingOrder="1"/>
    </xf>
    <xf numFmtId="0" fontId="8" fillId="4" borderId="2" xfId="0" applyFont="1" applyFill="1" applyBorder="1" applyAlignment="1">
      <alignment horizontal="left" vertical="top" wrapText="1" shrinkToFit="1" readingOrder="1"/>
    </xf>
    <xf numFmtId="49" fontId="9" fillId="4" borderId="2" xfId="0" applyNumberFormat="1" applyFont="1" applyFill="1" applyBorder="1" applyAlignment="1">
      <alignment horizontal="left" vertical="center" readingOrder="1"/>
    </xf>
    <xf numFmtId="49" fontId="8" fillId="5" borderId="2" xfId="0" applyNumberFormat="1" applyFont="1" applyFill="1" applyBorder="1" applyAlignment="1">
      <alignment horizontal="left" vertical="center" readingOrder="1"/>
    </xf>
    <xf numFmtId="49" fontId="8" fillId="6" borderId="2" xfId="0" applyNumberFormat="1" applyFont="1" applyFill="1" applyBorder="1" applyAlignment="1">
      <alignment horizontal="left" vertical="center" readingOrder="1"/>
    </xf>
    <xf numFmtId="49" fontId="8" fillId="5" borderId="2" xfId="0" applyNumberFormat="1" applyFont="1" applyFill="1" applyBorder="1" applyAlignment="1">
      <alignment horizontal="left" vertical="top" wrapText="1" shrinkToFit="1" readingOrder="1"/>
    </xf>
    <xf numFmtId="0" fontId="8" fillId="5" borderId="2" xfId="0" applyFont="1" applyFill="1" applyBorder="1" applyAlignment="1">
      <alignment horizontal="left" vertical="center" readingOrder="1"/>
    </xf>
    <xf numFmtId="3" fontId="8" fillId="5" borderId="2" xfId="0" applyNumberFormat="1" applyFont="1" applyFill="1" applyBorder="1" applyAlignment="1">
      <alignment horizontal="center" vertical="center" readingOrder="1"/>
    </xf>
    <xf numFmtId="0" fontId="8" fillId="5" borderId="2" xfId="0" applyFont="1" applyFill="1" applyBorder="1" applyAlignment="1">
      <alignment horizontal="center" vertical="center" readingOrder="1"/>
    </xf>
    <xf numFmtId="3" fontId="8" fillId="5" borderId="2" xfId="0" applyNumberFormat="1" applyFont="1" applyFill="1" applyBorder="1" applyAlignment="1">
      <alignment horizontal="right" vertical="center" readingOrder="1"/>
    </xf>
    <xf numFmtId="0" fontId="10" fillId="0" borderId="0" xfId="0" applyFont="1"/>
    <xf numFmtId="49" fontId="8" fillId="5" borderId="2" xfId="0" quotePrefix="1" applyNumberFormat="1" applyFont="1" applyFill="1" applyBorder="1" applyAlignment="1">
      <alignment horizontal="left" vertical="center" readingOrder="1"/>
    </xf>
    <xf numFmtId="49" fontId="8" fillId="0" borderId="2" xfId="0" applyNumberFormat="1" applyFont="1" applyBorder="1" applyAlignment="1">
      <alignment horizontal="center" vertical="center" readingOrder="1"/>
    </xf>
    <xf numFmtId="49" fontId="8" fillId="0" borderId="2" xfId="0" applyNumberFormat="1" applyFont="1" applyBorder="1" applyAlignment="1">
      <alignment horizontal="left" vertical="center" readingOrder="1"/>
    </xf>
    <xf numFmtId="49" fontId="8" fillId="0" borderId="2" xfId="0" applyNumberFormat="1" applyFont="1" applyBorder="1" applyAlignment="1">
      <alignment horizontal="left" vertical="top" wrapText="1" shrinkToFit="1" readingOrder="1"/>
    </xf>
    <xf numFmtId="0" fontId="8" fillId="0" borderId="2" xfId="0" applyFont="1" applyBorder="1" applyAlignment="1">
      <alignment horizontal="left" vertical="center" readingOrder="1"/>
    </xf>
    <xf numFmtId="3" fontId="8" fillId="0" borderId="2" xfId="0" applyNumberFormat="1" applyFont="1" applyBorder="1" applyAlignment="1">
      <alignment horizontal="center" vertical="center" readingOrder="1"/>
    </xf>
    <xf numFmtId="0" fontId="8" fillId="0" borderId="2" xfId="0" applyFont="1" applyBorder="1" applyAlignment="1">
      <alignment horizontal="center" vertical="center" readingOrder="1"/>
    </xf>
    <xf numFmtId="3" fontId="8" fillId="0" borderId="2" xfId="0" applyNumberFormat="1" applyFont="1" applyBorder="1" applyAlignment="1">
      <alignment horizontal="right" vertical="center" readingOrder="1"/>
    </xf>
    <xf numFmtId="49" fontId="8" fillId="0" borderId="2" xfId="0" quotePrefix="1" applyNumberFormat="1" applyFont="1" applyBorder="1" applyAlignment="1">
      <alignment horizontal="left" vertical="center" readingOrder="1"/>
    </xf>
    <xf numFmtId="49" fontId="9" fillId="2" borderId="2" xfId="0" applyNumberFormat="1" applyFont="1" applyFill="1" applyBorder="1" applyAlignment="1">
      <alignment horizontal="left" vertical="center" readingOrder="1"/>
    </xf>
    <xf numFmtId="49" fontId="9" fillId="2" borderId="2" xfId="0" applyNumberFormat="1" applyFont="1" applyFill="1" applyBorder="1" applyAlignment="1">
      <alignment horizontal="left" vertical="top" wrapText="1" shrinkToFit="1" readingOrder="1"/>
    </xf>
    <xf numFmtId="0" fontId="9" fillId="4" borderId="2" xfId="0" applyFont="1" applyFill="1" applyBorder="1" applyAlignment="1">
      <alignment horizontal="center" vertical="center" readingOrder="1"/>
    </xf>
    <xf numFmtId="0" fontId="9" fillId="4" borderId="2" xfId="0" applyFont="1" applyFill="1" applyBorder="1" applyAlignment="1">
      <alignment horizontal="left" vertical="center" readingOrder="1"/>
    </xf>
    <xf numFmtId="0" fontId="9" fillId="4" borderId="2" xfId="0" applyFont="1" applyFill="1" applyBorder="1" applyAlignment="1">
      <alignment horizontal="left" vertical="top" wrapText="1" shrinkToFit="1" readingOrder="1"/>
    </xf>
    <xf numFmtId="0" fontId="3" fillId="4" borderId="3" xfId="0" applyFont="1" applyFill="1" applyBorder="1" applyAlignment="1">
      <alignment horizontal="center" vertical="center" readingOrder="1"/>
    </xf>
    <xf numFmtId="49" fontId="4" fillId="5" borderId="3" xfId="0" applyNumberFormat="1" applyFont="1" applyFill="1" applyBorder="1" applyAlignment="1">
      <alignment horizontal="center" vertical="center" readingOrder="1"/>
    </xf>
    <xf numFmtId="49" fontId="3" fillId="5" borderId="3" xfId="0" applyNumberFormat="1" applyFont="1" applyFill="1" applyBorder="1" applyAlignment="1">
      <alignment horizontal="left" vertical="center" readingOrder="1"/>
    </xf>
    <xf numFmtId="49" fontId="3" fillId="5" borderId="3" xfId="0" applyNumberFormat="1" applyFont="1" applyFill="1" applyBorder="1" applyAlignment="1">
      <alignment horizontal="left" vertical="top" wrapText="1" shrinkToFit="1" readingOrder="1"/>
    </xf>
    <xf numFmtId="49" fontId="5" fillId="5" borderId="3" xfId="0" applyNumberFormat="1" applyFont="1" applyFill="1" applyBorder="1" applyAlignment="1">
      <alignment horizontal="left" vertical="center" readingOrder="1"/>
    </xf>
    <xf numFmtId="0" fontId="3" fillId="5" borderId="3" xfId="0" applyFont="1" applyFill="1" applyBorder="1" applyAlignment="1">
      <alignment horizontal="left" vertical="center" readingOrder="1"/>
    </xf>
    <xf numFmtId="3" fontId="5" fillId="5" borderId="3" xfId="0" applyNumberFormat="1" applyFont="1" applyFill="1" applyBorder="1" applyAlignment="1">
      <alignment horizontal="center" vertical="center" readingOrder="1"/>
    </xf>
    <xf numFmtId="0" fontId="3" fillId="5" borderId="3" xfId="0" applyFont="1" applyFill="1" applyBorder="1" applyAlignment="1">
      <alignment horizontal="center" vertical="center" readingOrder="1"/>
    </xf>
    <xf numFmtId="3" fontId="3" fillId="4" borderId="3" xfId="0" applyNumberFormat="1" applyFont="1" applyFill="1" applyBorder="1" applyAlignment="1">
      <alignment horizontal="right" vertical="center" readingOrder="1"/>
    </xf>
    <xf numFmtId="3" fontId="3" fillId="5" borderId="3" xfId="0" applyNumberFormat="1" applyFont="1" applyFill="1" applyBorder="1" applyAlignment="1">
      <alignment horizontal="right" vertical="center" readingOrder="1"/>
    </xf>
    <xf numFmtId="0" fontId="3" fillId="4" borderId="7" xfId="0" applyFont="1" applyFill="1" applyBorder="1" applyAlignment="1">
      <alignment horizontal="center" vertical="center" readingOrder="1"/>
    </xf>
    <xf numFmtId="49" fontId="4" fillId="4" borderId="7" xfId="0" applyNumberFormat="1" applyFont="1" applyFill="1" applyBorder="1" applyAlignment="1">
      <alignment horizontal="center" vertical="center" readingOrder="1"/>
    </xf>
    <xf numFmtId="49" fontId="3" fillId="4" borderId="7" xfId="0" applyNumberFormat="1" applyFont="1" applyFill="1" applyBorder="1" applyAlignment="1">
      <alignment horizontal="left" vertical="center" readingOrder="1"/>
    </xf>
    <xf numFmtId="49" fontId="3" fillId="7" borderId="7" xfId="0" applyNumberFormat="1" applyFont="1" applyFill="1" applyBorder="1" applyAlignment="1">
      <alignment horizontal="left" vertical="center" readingOrder="1"/>
    </xf>
    <xf numFmtId="0" fontId="3" fillId="4" borderId="7" xfId="0" applyFont="1" applyFill="1" applyBorder="1" applyAlignment="1">
      <alignment horizontal="left" vertical="top" wrapText="1" shrinkToFit="1" readingOrder="1"/>
    </xf>
    <xf numFmtId="0" fontId="3" fillId="4" borderId="7" xfId="0" applyFont="1" applyFill="1" applyBorder="1" applyAlignment="1">
      <alignment horizontal="left" vertical="center" readingOrder="1"/>
    </xf>
    <xf numFmtId="3" fontId="6" fillId="4" borderId="7" xfId="0" applyNumberFormat="1" applyFont="1" applyFill="1" applyBorder="1" applyAlignment="1">
      <alignment horizontal="center" vertical="center" readingOrder="1"/>
    </xf>
    <xf numFmtId="3" fontId="3" fillId="4" borderId="7" xfId="0" applyNumberFormat="1" applyFont="1" applyFill="1" applyBorder="1" applyAlignment="1">
      <alignment horizontal="right" vertical="center" readingOrder="1"/>
    </xf>
    <xf numFmtId="49" fontId="3" fillId="2" borderId="2" xfId="0" applyNumberFormat="1" applyFont="1" applyFill="1" applyBorder="1" applyAlignment="1">
      <alignment horizontal="left" vertical="center" wrapText="1" shrinkToFit="1" readingOrder="1"/>
    </xf>
    <xf numFmtId="49" fontId="3" fillId="5" borderId="2" xfId="0" applyNumberFormat="1" applyFont="1" applyFill="1" applyBorder="1" applyAlignment="1">
      <alignment horizontal="left" vertical="center" wrapText="1" shrinkToFit="1" readingOrder="1"/>
    </xf>
    <xf numFmtId="0" fontId="3" fillId="2" borderId="2" xfId="0" applyFont="1" applyFill="1" applyBorder="1" applyAlignment="1">
      <alignment vertical="center" readingOrder="1"/>
    </xf>
    <xf numFmtId="49" fontId="13" fillId="5" borderId="2" xfId="0" applyNumberFormat="1" applyFont="1" applyFill="1" applyBorder="1" applyAlignment="1">
      <alignment horizontal="left" vertical="center" wrapText="1" readingOrder="1"/>
    </xf>
    <xf numFmtId="0" fontId="15" fillId="8" borderId="0" xfId="1" applyFont="1" applyFill="1"/>
    <xf numFmtId="0" fontId="16" fillId="8" borderId="0" xfId="1" applyFont="1" applyFill="1"/>
    <xf numFmtId="0" fontId="16" fillId="0" borderId="0" xfId="1" applyFont="1"/>
    <xf numFmtId="0" fontId="17" fillId="8" borderId="0" xfId="1" applyFont="1" applyFill="1" applyAlignment="1">
      <alignment vertical="center"/>
    </xf>
    <xf numFmtId="0" fontId="18" fillId="8" borderId="0" xfId="1" applyFont="1" applyFill="1" applyAlignment="1">
      <alignment horizontal="centerContinuous"/>
    </xf>
    <xf numFmtId="0" fontId="16" fillId="8" borderId="0" xfId="1" applyFont="1" applyFill="1" applyAlignment="1">
      <alignment horizontal="centerContinuous"/>
    </xf>
    <xf numFmtId="0" fontId="18" fillId="8" borderId="0" xfId="1" applyFont="1" applyFill="1" applyAlignment="1">
      <alignment horizontal="center" vertical="center"/>
    </xf>
    <xf numFmtId="0" fontId="19" fillId="8" borderId="0" xfId="1" applyFont="1" applyFill="1" applyAlignment="1">
      <alignment horizontal="centerContinuous"/>
    </xf>
    <xf numFmtId="0" fontId="20" fillId="8" borderId="0" xfId="1" applyFont="1" applyFill="1"/>
    <xf numFmtId="0" fontId="16" fillId="9" borderId="0" xfId="2" applyFont="1" applyFill="1" applyAlignment="1">
      <alignment vertical="center"/>
    </xf>
    <xf numFmtId="0" fontId="21" fillId="9" borderId="0" xfId="2" applyFont="1" applyFill="1" applyAlignment="1">
      <alignment horizontal="left" vertical="center"/>
    </xf>
    <xf numFmtId="0" fontId="22" fillId="9" borderId="0" xfId="2" applyFont="1" applyFill="1" applyAlignment="1">
      <alignment vertical="center"/>
    </xf>
    <xf numFmtId="0" fontId="23" fillId="9" borderId="0" xfId="3" applyFill="1">
      <alignment vertical="center"/>
    </xf>
    <xf numFmtId="0" fontId="24" fillId="0" borderId="0" xfId="4"/>
    <xf numFmtId="0" fontId="25" fillId="9" borderId="0" xfId="3" applyFont="1" applyFill="1" applyAlignment="1">
      <alignment horizontal="center" vertical="center"/>
    </xf>
    <xf numFmtId="0" fontId="14" fillId="0" borderId="0" xfId="1"/>
    <xf numFmtId="0" fontId="25" fillId="9" borderId="9" xfId="3" applyFont="1" applyFill="1" applyBorder="1" applyAlignment="1">
      <alignment horizontal="center" vertical="center"/>
    </xf>
    <xf numFmtId="0" fontId="26" fillId="9" borderId="9" xfId="3" applyFont="1" applyFill="1" applyBorder="1" applyAlignment="1">
      <alignment horizontal="center" vertical="center"/>
    </xf>
    <xf numFmtId="0" fontId="25" fillId="9" borderId="10" xfId="3" applyFont="1" applyFill="1" applyBorder="1" applyAlignment="1">
      <alignment horizontal="center" vertical="center"/>
    </xf>
    <xf numFmtId="0" fontId="25" fillId="9" borderId="11" xfId="3" applyFont="1" applyFill="1" applyBorder="1" applyAlignment="1">
      <alignment horizontal="center" vertical="center"/>
    </xf>
    <xf numFmtId="49" fontId="28" fillId="3" borderId="2" xfId="0" applyNumberFormat="1" applyFont="1" applyFill="1" applyBorder="1" applyAlignment="1">
      <alignment horizontal="center" vertical="center" wrapText="1" shrinkToFit="1" readingOrder="1"/>
    </xf>
    <xf numFmtId="49" fontId="3" fillId="3" borderId="2" xfId="0" applyNumberFormat="1" applyFont="1" applyFill="1" applyBorder="1" applyAlignment="1">
      <alignment horizontal="center" vertical="center" wrapText="1" shrinkToFit="1" readingOrder="1"/>
    </xf>
    <xf numFmtId="49" fontId="28" fillId="3" borderId="6" xfId="0" applyNumberFormat="1" applyFont="1" applyFill="1" applyBorder="1" applyAlignment="1">
      <alignment horizontal="center" vertical="center" wrapText="1" shrinkToFit="1" readingOrder="1"/>
    </xf>
    <xf numFmtId="3" fontId="8" fillId="10" borderId="2" xfId="0" applyNumberFormat="1" applyFont="1" applyFill="1" applyBorder="1" applyAlignment="1">
      <alignment horizontal="right" vertical="center" readingOrder="1"/>
    </xf>
    <xf numFmtId="3" fontId="3" fillId="10" borderId="2" xfId="0" applyNumberFormat="1" applyFont="1" applyFill="1" applyBorder="1" applyAlignment="1">
      <alignment horizontal="right" vertical="center" readingOrder="1"/>
    </xf>
    <xf numFmtId="3" fontId="8" fillId="10" borderId="2" xfId="0" applyNumberFormat="1" applyFont="1" applyFill="1" applyBorder="1" applyAlignment="1">
      <alignment horizontal="left" vertical="center" readingOrder="1"/>
    </xf>
    <xf numFmtId="3" fontId="31" fillId="10" borderId="2" xfId="0" applyNumberFormat="1" applyFont="1" applyFill="1" applyBorder="1" applyAlignment="1">
      <alignment horizontal="left" vertical="center" wrapText="1" readingOrder="1"/>
    </xf>
    <xf numFmtId="3" fontId="3" fillId="11" borderId="2" xfId="0" applyNumberFormat="1" applyFont="1" applyFill="1" applyBorder="1" applyAlignment="1">
      <alignment horizontal="right" vertical="center" readingOrder="1"/>
    </xf>
    <xf numFmtId="3" fontId="8" fillId="11" borderId="2" xfId="0" applyNumberFormat="1" applyFont="1" applyFill="1" applyBorder="1" applyAlignment="1">
      <alignment horizontal="right" vertical="center" readingOrder="1"/>
    </xf>
    <xf numFmtId="0" fontId="32" fillId="0" borderId="0" xfId="0" applyFont="1"/>
    <xf numFmtId="49" fontId="3" fillId="3" borderId="8" xfId="0" applyNumberFormat="1" applyFont="1" applyFill="1" applyBorder="1" applyAlignment="1">
      <alignment horizontal="center" vertical="center" wrapText="1" shrinkToFit="1" readingOrder="1"/>
    </xf>
    <xf numFmtId="49" fontId="3" fillId="3" borderId="2" xfId="0" applyNumberFormat="1" applyFont="1" applyFill="1" applyBorder="1" applyAlignment="1">
      <alignment horizontal="center" vertical="center" wrapText="1" shrinkToFit="1" readingOrder="1"/>
    </xf>
    <xf numFmtId="0" fontId="1" fillId="2" borderId="0" xfId="0" applyFont="1" applyFill="1" applyAlignment="1">
      <alignment horizontal="left" vertical="top" wrapText="1" shrinkToFit="1" readingOrder="1"/>
    </xf>
    <xf numFmtId="0" fontId="2" fillId="2" borderId="1" xfId="0" applyFont="1" applyFill="1" applyBorder="1" applyAlignment="1">
      <alignment horizontal="right" vertical="top" wrapText="1" shrinkToFit="1" readingOrder="1"/>
    </xf>
    <xf numFmtId="0" fontId="20" fillId="8" borderId="0" xfId="1" quotePrefix="1" applyFont="1" applyFill="1" applyAlignment="1">
      <alignment horizontal="center"/>
    </xf>
    <xf numFmtId="0" fontId="27" fillId="9" borderId="0" xfId="2" applyFont="1" applyFill="1" applyAlignment="1">
      <alignment horizontal="center" vertical="center" wrapText="1"/>
    </xf>
    <xf numFmtId="0" fontId="17" fillId="8" borderId="0" xfId="1" applyFont="1" applyFill="1" applyAlignment="1">
      <alignment horizontal="center" vertical="center"/>
    </xf>
    <xf numFmtId="0" fontId="16" fillId="0" borderId="0" xfId="1" applyFont="1" applyAlignment="1"/>
    <xf numFmtId="0" fontId="24" fillId="0" borderId="0" xfId="4" applyAlignment="1"/>
    <xf numFmtId="0" fontId="0" fillId="0" borderId="0" xfId="0" applyAlignment="1"/>
    <xf numFmtId="0" fontId="0" fillId="0" borderId="1"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cellXfs>
  <cellStyles count="5">
    <cellStyle name="Normal" xfId="0" builtinId="0"/>
    <cellStyle name="표준 2 3 37" xfId="4" xr:uid="{00000000-0005-0000-0000-000004000000}"/>
    <cellStyle name="표준_BOQ_IR_GOSP_Rev.B_CnI_20100514" xfId="3" xr:uid="{00000000-0005-0000-0000-000003000000}"/>
    <cellStyle name="표준_Sheet1" xfId="2" xr:uid="{00000000-0005-0000-0000-000002000000}"/>
    <cellStyle name="표준_안전_외부BOQ_MGF_Rev.B_080529" xfId="1" xr:uid="{00000000-0005-0000-0000-000001000000}"/>
  </cellStyles>
  <dxfs count="0"/>
  <tableStyles count="0" defaultTableStyle="TableStyleMedium2" defaultPivotStyle="PivotStyleLight16"/>
  <colors>
    <mruColors>
      <color rgb="FF61C4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8.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47" Type="http://schemas.openxmlformats.org/officeDocument/2006/relationships/externalLink" Target="externalLinks/externalLink39.xml"/><Relationship Id="rId63" Type="http://schemas.openxmlformats.org/officeDocument/2006/relationships/externalLink" Target="externalLinks/externalLink55.xml"/><Relationship Id="rId68" Type="http://schemas.openxmlformats.org/officeDocument/2006/relationships/externalLink" Target="externalLinks/externalLink60.xml"/><Relationship Id="rId84" Type="http://schemas.openxmlformats.org/officeDocument/2006/relationships/externalLink" Target="externalLinks/externalLink76.xml"/><Relationship Id="rId89" Type="http://schemas.openxmlformats.org/officeDocument/2006/relationships/externalLink" Target="externalLinks/externalLink81.xml"/><Relationship Id="rId16" Type="http://schemas.openxmlformats.org/officeDocument/2006/relationships/externalLink" Target="externalLinks/externalLink8.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53" Type="http://schemas.openxmlformats.org/officeDocument/2006/relationships/externalLink" Target="externalLinks/externalLink45.xml"/><Relationship Id="rId58" Type="http://schemas.openxmlformats.org/officeDocument/2006/relationships/externalLink" Target="externalLinks/externalLink50.xml"/><Relationship Id="rId74" Type="http://schemas.openxmlformats.org/officeDocument/2006/relationships/externalLink" Target="externalLinks/externalLink66.xml"/><Relationship Id="rId79" Type="http://schemas.openxmlformats.org/officeDocument/2006/relationships/externalLink" Target="externalLinks/externalLink71.xml"/><Relationship Id="rId102"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82.xml"/><Relationship Id="rId95" Type="http://schemas.openxmlformats.org/officeDocument/2006/relationships/externalLink" Target="externalLinks/externalLink87.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80" Type="http://schemas.openxmlformats.org/officeDocument/2006/relationships/externalLink" Target="externalLinks/externalLink72.xml"/><Relationship Id="rId85" Type="http://schemas.openxmlformats.org/officeDocument/2006/relationships/externalLink" Target="externalLinks/externalLink7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59" Type="http://schemas.openxmlformats.org/officeDocument/2006/relationships/externalLink" Target="externalLinks/externalLink51.xml"/><Relationship Id="rId103" Type="http://schemas.openxmlformats.org/officeDocument/2006/relationships/customXml" Target="../customXml/item1.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54" Type="http://schemas.openxmlformats.org/officeDocument/2006/relationships/externalLink" Target="externalLinks/externalLink46.xml"/><Relationship Id="rId62" Type="http://schemas.openxmlformats.org/officeDocument/2006/relationships/externalLink" Target="externalLinks/externalLink54.xml"/><Relationship Id="rId70" Type="http://schemas.openxmlformats.org/officeDocument/2006/relationships/externalLink" Target="externalLinks/externalLink62.xml"/><Relationship Id="rId75" Type="http://schemas.openxmlformats.org/officeDocument/2006/relationships/externalLink" Target="externalLinks/externalLink67.xml"/><Relationship Id="rId83" Type="http://schemas.openxmlformats.org/officeDocument/2006/relationships/externalLink" Target="externalLinks/externalLink75.xml"/><Relationship Id="rId88" Type="http://schemas.openxmlformats.org/officeDocument/2006/relationships/externalLink" Target="externalLinks/externalLink80.xml"/><Relationship Id="rId91" Type="http://schemas.openxmlformats.org/officeDocument/2006/relationships/externalLink" Target="externalLinks/externalLink83.xml"/><Relationship Id="rId96" Type="http://schemas.openxmlformats.org/officeDocument/2006/relationships/externalLink" Target="externalLinks/externalLink8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49" Type="http://schemas.openxmlformats.org/officeDocument/2006/relationships/externalLink" Target="externalLinks/externalLink41.xml"/><Relationship Id="rId57" Type="http://schemas.openxmlformats.org/officeDocument/2006/relationships/externalLink" Target="externalLinks/externalLink4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44" Type="http://schemas.openxmlformats.org/officeDocument/2006/relationships/externalLink" Target="externalLinks/externalLink36.xml"/><Relationship Id="rId52" Type="http://schemas.openxmlformats.org/officeDocument/2006/relationships/externalLink" Target="externalLinks/externalLink44.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81" Type="http://schemas.openxmlformats.org/officeDocument/2006/relationships/externalLink" Target="externalLinks/externalLink73.xml"/><Relationship Id="rId86" Type="http://schemas.openxmlformats.org/officeDocument/2006/relationships/externalLink" Target="externalLinks/externalLink78.xml"/><Relationship Id="rId94" Type="http://schemas.openxmlformats.org/officeDocument/2006/relationships/externalLink" Target="externalLinks/externalLink86.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97" Type="http://schemas.openxmlformats.org/officeDocument/2006/relationships/externalLink" Target="externalLinks/externalLink89.xml"/><Relationship Id="rId104"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externalLink" Target="externalLinks/externalLink63.xml"/><Relationship Id="rId92" Type="http://schemas.openxmlformats.org/officeDocument/2006/relationships/externalLink" Target="externalLinks/externalLink84.xml"/><Relationship Id="rId2" Type="http://schemas.openxmlformats.org/officeDocument/2006/relationships/worksheet" Target="worksheets/sheet2.xml"/><Relationship Id="rId29" Type="http://schemas.openxmlformats.org/officeDocument/2006/relationships/externalLink" Target="externalLinks/externalLink21.xml"/><Relationship Id="rId24" Type="http://schemas.openxmlformats.org/officeDocument/2006/relationships/externalLink" Target="externalLinks/externalLink16.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87" Type="http://schemas.openxmlformats.org/officeDocument/2006/relationships/externalLink" Target="externalLinks/externalLink79.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56" Type="http://schemas.openxmlformats.org/officeDocument/2006/relationships/externalLink" Target="externalLinks/externalLink48.xml"/><Relationship Id="rId77" Type="http://schemas.openxmlformats.org/officeDocument/2006/relationships/externalLink" Target="externalLinks/externalLink69.xml"/><Relationship Id="rId100" Type="http://schemas.openxmlformats.org/officeDocument/2006/relationships/styles" Target="styles.xml"/><Relationship Id="rId105"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93" Type="http://schemas.openxmlformats.org/officeDocument/2006/relationships/externalLink" Target="externalLinks/externalLink85.xml"/><Relationship Id="rId98" Type="http://schemas.openxmlformats.org/officeDocument/2006/relationships/externalLink" Target="externalLinks/externalLink90.xml"/><Relationship Id="rId3" Type="http://schemas.openxmlformats.org/officeDocument/2006/relationships/worksheet" Target="worksheets/sheet3.xml"/><Relationship Id="rId25" Type="http://schemas.openxmlformats.org/officeDocument/2006/relationships/externalLink" Target="externalLinks/externalLink17.xml"/><Relationship Id="rId46" Type="http://schemas.openxmlformats.org/officeDocument/2006/relationships/externalLink" Target="externalLinks/externalLink38.xml"/><Relationship Id="rId67" Type="http://schemas.openxmlformats.org/officeDocument/2006/relationships/externalLink" Target="externalLinks/externalLink5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628650</xdr:colOff>
      <xdr:row>20</xdr:row>
      <xdr:rowOff>57150</xdr:rowOff>
    </xdr:from>
    <xdr:to>
      <xdr:col>12</xdr:col>
      <xdr:colOff>228600</xdr:colOff>
      <xdr:row>22</xdr:row>
      <xdr:rowOff>104775</xdr:rowOff>
    </xdr:to>
    <xdr:pic>
      <xdr:nvPicPr>
        <xdr:cNvPr id="4" name="그림 1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rcRect/>
        <a:stretch>
          <a:fillRect/>
        </a:stretch>
      </xdr:blipFill>
      <xdr:spPr bwMode="auto">
        <a:xfrm>
          <a:off x="4629150" y="6515100"/>
          <a:ext cx="5010150" cy="952500"/>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9</xdr:col>
      <xdr:colOff>304800</xdr:colOff>
      <xdr:row>13</xdr:row>
      <xdr:rowOff>57150</xdr:rowOff>
    </xdr:to>
    <xdr:pic>
      <xdr:nvPicPr>
        <xdr:cNvPr id="2" name="Picture 1">
          <a:extLst>
            <a:ext uri="{FF2B5EF4-FFF2-40B4-BE49-F238E27FC236}">
              <a16:creationId xmlns:a16="http://schemas.microsoft.com/office/drawing/2014/main" id="{C36F1198-CF2B-513E-4D6C-EB4A1BFBD083}"/>
            </a:ext>
          </a:extLst>
        </xdr:cNvPr>
        <xdr:cNvPicPr>
          <a:picLocks noChangeAspect="1"/>
        </xdr:cNvPicPr>
      </xdr:nvPicPr>
      <xdr:blipFill>
        <a:blip xmlns:r="http://schemas.openxmlformats.org/officeDocument/2006/relationships" r:embed="rId1"/>
        <a:stretch>
          <a:fillRect/>
        </a:stretch>
      </xdr:blipFill>
      <xdr:spPr>
        <a:xfrm>
          <a:off x="1219200" y="762000"/>
          <a:ext cx="4572000" cy="1771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KIMNH\JOJIK\&#50644;&#47553;COMP99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DLAN\HDEC30\CACHE\MONTH\&#49324;&#50629;&#52628;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HDLAN\HDEC30\CACHE\WekaWeku\&#44208;&#49328;\97SAUPCU.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54217;&#44512;&#51064;&#50896;.95"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HDLAN\HDEC30\CACHE\MONTH\&#49324;&#50629;&#52628;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WekaWeku\&#44208;&#49328;\9624\&#49324;&#50629;&#52628;&#5122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INSAKIHO\TASA\&#44277;&#53685;\SUDANG\&#49340;&#49457;&#52488;&#5107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8177;&#54868;&#49440;\D\project\pc0840\SPEC\BM-PC084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gw.hec.co.kr/&#44060;&#48156;program/fdn_bm_pr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gw.hec.co.kr/PJT/BID/TIDCO/USER/PROPOSAL/PHC/BM/ACTIVITY.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312;&#49457;&#44397;\job\Job\GS&#44148;&#49444;\&#50508;&#51228;&#47532;\&#51217;&#49688;\20091023\ElecCivil&#47932;&#47049;%20Summary-01,%2011%20&amp;%2021%20uni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50980;&#51116;&#50672;\aproject\skec\TDI\BM\TDIBM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wicamfs01\proj\Engineering%20Disciplines\Process\CAMBRIDGE\LA%20McMonagle\Equipment%20Data%20Sheets\L%20V%20Separato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WekaWeku\&#44208;&#49328;\KIJO\97&#44221;&#50689;&#48516;&#49437;\A&#49324;&#50629;&#44228;&#54925;\02&#45800;%20%20%20&#44592;\98&#51116;&#49688;&#47549;&#49688;&#51221;\&#51333;&#44592;&#49892;&#51228;&#52636;\&#49688;&#51221;&#50577;&#4988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ejong/a_files4/mail_1/199937139_20010420104202/DCI_010417_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ep.hec.co.kr/My%20Documents/Pha%20Lai/HVAC/North%20HVAC%20Drawings/North%20Submittals%20to%20Boston/PL2-BP-NO-SW-100014/PHALAIDUCT%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1060;&#52384;&#54868;\&#51068;&#50948;&#45824;&#44032;\&#50672;&#46028;&#45236;&#50669;&#51068;&#5094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Z:\DATA\CS1\FINAL\CALCUL~1\DATA\Blowdown%20Project\Multi%20Section%20Settle%20Out%20Condition%20Calculatio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060;&#49569;\REHMAT\My%20Documents\Pha%20Lai\HVAC\North%20HVAC%20Drawings\North%20Submittals%20to%20Boston\PL2-BP-NO-SW-100014\PHALAIDUCT%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1312;&#49457;&#51652;\GROUP-2\Company\Hyundai%20ENG\Hyundai%20ENG3\final\H-Project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49884;&#48276;&#51333;-PC\EuroChem%20Ammonia%20&amp;%20Urea%20Project\KIJO\&#44221;&#50689;&#48516;&#49437;\F&#51068;&#48152;&#44288;&#47532;\01&#50696;&#49328;&#54200;&#49457;\99&#50696;&#49328;\&#50896;&#45800;&#50948;&#51088;&#47308;2xl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HDLAN\HDEC30\CACHE\WekaWeku\&#44208;&#49328;\KIJO\97&#44221;&#50689;&#48516;&#49437;\A&#49324;&#50629;&#44228;&#54925;\02&#45800;%20%20%20&#44592;\98&#51116;&#49688;&#47549;&#49688;&#51221;\&#51333;&#44592;&#49892;&#51228;&#52636;\&#49688;&#51221;&#50577;&#4988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INSAKIHO\TASA\&#44277;&#53685;\SUDANG\&#49340;&#49457;&#52488;&#5107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1ci&#44053;&#48124;&#50864;\BB2\&#44608;&#50725;&#48176;\BOQ_Reference\orifice\Book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gw.hec.co.kr/Engineering%20Disciplines/Process/CAMBRIDGE/LA%20McMonagle/Equipment%20Data%20Sheets/Liquid%20Ring%20Vacuum%20Pum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FORM\96&#44208;&#4932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WekaWeku\&#44208;&#49328;\9624\&#49324;&#50629;&#52628;&#5122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HDLAN\HDEC30\CACHE\WekaWeku\&#44208;&#49328;\9624\&#49324;&#50629;&#52628;&#5122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HDLAN\HDEC30\CACHE\WekaWeku\&#44208;&#49328;\97SAUPCU.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HDLAN\HDEC30\CACHE\WekaWeku\&#44208;&#49328;\9624\&#49324;&#50629;&#52628;&#5122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KIJO\&#48176;&#48512;99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gw.hec.co.kr/&#46028;&#44256;&#47000;/&#44277;&#51221;/&#44277;&#51221;_050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ep.hec.co.kr/&#44204;&#51201;/1Salman/BOQ/&#50808;&#48512;_BOQ-SALMAN-&#48176;&#4428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igenserver\public\exceldata\&#48708;&#50857;&#51208;&#44048;\98&#45380;\2JEJO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ep.hec.co.kr/&#46028;&#44256;&#47000;/&#44277;&#51221;/&#44277;&#51221;_0503.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h:\KIJO\KIJOB\SSUK\96CONF.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PIPG(E)-&#49888;&#49440;&#48120;\ATTAHADDY\&#44060;&#51064;&#47928;&#49436;\qnix\valve_cod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igenserver\public\&#51089;&#50629;\VPP\&#49457;&#44284;&#54408;\&#45796;&#50868;\INSULATIO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KIJO\KIJOB\SSUK\96CONF.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JC15083\Group\Guntur%20Project\PROJECT\CMA\ISSUED%2020AUG04\TAG_LIST.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WINDOWS\Temporary%20Internet%20Files\Content.IE5\0NAXYPMD\BLDG_032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PROJECT\BUDGET\WOONAM\CHUMDAN\BSD.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My%20document\&#49892;&#54665;&#50696;&#49328;\&#54217;&#44512;&#51064;&#50896;.95"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ejong/a_files4/mail_1/199937139_20010420104202/MonthlyProgres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PROJECT\BUDGET\WOONAM\CDDBP.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oudfs01\DFSHOU\Engineering%20Disciplines\Process\CAMBRIDGE\LA%20McMonagle\Equipment%20Data%20Sheets\Liquid%20Ring%20Vacuum%20Pump.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ep.hec.co.kr/My%20document/&#49892;&#54665;&#50696;&#49328;/&#54217;&#44512;&#51064;&#50896;.95"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8149;&#51648;&#54984;\JOB_PIN\project\SKEC\no1%20cdu%20HAC\Bpa\BM\POWERBM.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h:\WekaWeku\&#44208;&#49328;\97SAUPCU.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WEKA&#51060;&#51064;&#48176;\C\DATA\IQ\&#51221;971IQ.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WekaWeku\&#44208;&#49328;\97SAUPCU.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WekaWeku\&#44208;&#49328;\KIJO\97&#44221;&#50689;&#48516;&#49437;\A&#49324;&#50629;&#44228;&#54925;\02&#45800;%20%20%20&#44592;\98&#51116;&#49688;&#47549;&#49688;&#51221;\&#51333;&#44592;&#49892;&#51228;&#52636;\&#49688;&#51221;&#50577;&#49885;.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ep.hec.co.kr/My%20Documents/Pha%20Lai/HVAC/North%20HVAC%20Drawings/North%20Submittals%20to%20Boston/PL2-BP-NO-SW-100014/PHALAIDUCT%20dwg-%20h-013201-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ejong/a_files4/mail_1/199937139_20010420104202/DCI_010419.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52264;&#44221;&#46041;\NC-41\&#44060;&#48156;program\fdn_bm_pro.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1060;&#49569;\REHMAT\&#44608;&#52285;&#49688;\&#44204;&#51201;\REHMAT\Backup\motor%20pump%20kw.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ep.hec.co.kr/&#44060;&#48156;program/fdn_bm_pro.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Binson\Sc1069\2004-Job\Sc1069\Index\Index(IFC-1)111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WekaWeku\&#44208;&#49328;\exceldata\&#48176;&#48512;\98&#45380;\&#48176;&#48512;98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WekaWeku\&#44208;&#49328;\exceldata\&#48176;&#48512;\98&#45380;\&#48176;&#48512;98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gw.hec.co.kr/PJT/BID/TIDCO/LHC/BM/ACTIVITY.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h:\99Work\&#44204;&#51201;\9905\abp\ELECabp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JC15083\Group\Documents%20and%20Settings\08147\&#12487;&#12473;&#12463;&#12488;&#12483;&#12503;\&#38917;&#30446;&#25244;&#12365;&#20986;&#1237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ep.hec.co.kr/PJT/BID/TIDCO/USER/PROPOSAL/PHC/BM/ACTIVITY.xls"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Startup" Target="Attahaddy/Verification/Pump&amp;Comp/FIL-3003CV.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ep.hec.co.kr/PJT/BID/TIDCO/LHC/BM/ACTIVITY.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8337;&#47564;JOB\2000BMLEE\&#44397;&#45236;&#54532;&#47196;&#51229;&#53944;\7&#50900;\&#44400;&#49324;&#51088;&#46041;&#54868;\ZA0092-E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temp\&#49688;&#51452;.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ATA\CS1\FINAL\CALCUL~1\DATA\Blowdown%20Project\DATA\BLOWDOWN.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11pr&#50504;&#51064;&#47784;\&#44277;&#50976;&#54260;&#45908;\Q_ACE_&#50629;&#47924;\WBS\Engineering_WBS_em&#49900;&#54868;&#44284;&#51221;&#49569;&#48512;&#50857;_&#49688;&#51221;.xls"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11ci&#49888;&#48124;&#44592;\&#44277;&#50976;%20SUM\02_Equipment%20List%20Management%20System\from%20Process-Equip.List\&#44592;&#49696;&#44060;&#48156;\Equipment_List_Standard_format\UNIT_500.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KIJO\&#48176;&#48512;990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HDLAN\97&#49324;&#50629;&#4422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48149;&#45824;&#51061;\NC41\&#44060;&#48156;program\fdn_bm_pro.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wserver\project\T9602\XLS\INCHON.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igenserver\public\OL2K(&#53216;&#50920;&#51060;&#53944;)\0_2004_&#51077;&#52272;\0_SP15n16\0_&#52628;&#44032;(Circular_18)\3_BM_S1516_20040908_(SWI&#52628;&#44032;-NoDevi&#48516;&#47532;_latest).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Digenserver\public\PROJECT\DMC\DMC%20&#51077;&#52272;\Reference\20060705_BOQ%20List-NRP%232_Final_&#49688;&#51221;\BOQ%20List-Civil-NRP%232_20060705_(EG%20for%20&#49340;&#5486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Digenserver\public\KIJO\&#44221;&#50689;&#48516;&#49437;\F&#51068;&#48152;&#44288;&#47532;\01&#50696;&#49328;&#54200;&#49457;\99&#50696;&#49328;\&#50896;&#45800;&#50948;&#51088;&#47308;2xls.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44608;&#50725;&#48176;\project\&#44608;&#50725;&#48176;\BOQ_Reference\orifice\Book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11mp&#44608;&#50976;&#49885;\02%20JAC%20UTOS\Documentum\Viewed\11295246916991116\EPSSCC1\BM-Total-FWBS-EPSCC1-LR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Digenserver\public\2008-PROJECT\HYUNDAI-ENG\01_QAFCO-5\05_Bill%20of%20Quantities\0229-&#47932;&#47049;&#48708;&#44368;&#51089;&#50629;\0228-BOQ-&#52280;&#51312;&#50857;\MMA-BOQ-MH-001_r08012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h:\KIJO\&#44221;&#50689;&#48516;&#49437;\F&#51068;&#48152;&#44288;&#47532;\01&#50696;&#49328;&#54200;&#49457;\99&#50696;&#49328;\&#50896;&#45800;&#50948;&#51088;&#47308;2xl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C:\KIJO\&#44221;&#50689;&#48516;&#49437;\F&#51068;&#48152;&#44288;&#47532;\01&#50696;&#49328;&#54200;&#49457;\99&#50696;&#49328;\&#50896;&#45800;&#50948;&#51088;&#47308;2xl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h:\exceldata\&#48176;&#48512;\96&#45380;\&#48176;&#48512;96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01045\BOQ\ITB%20&#49688;&#51221;%20&#52572;&#51333;\ITB.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h:\exceldata\&#48176;&#48512;\97&#45380;\&#48176;&#48512;9712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h:\&#50641;&#49472;%20DATA\97&#50696;&#49328;\&#50896;&#45800;&#50948;&#51088;&#47308;\&#51064;&#50896;.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C:\&#50641;&#49472;%20DATA\97&#50696;&#49328;\&#50896;&#45800;&#50948;&#51088;&#47308;\&#51064;&#50896;.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C:\HDLAN\HDEC30\CACHE\WekaWeku\&#44208;&#49328;\KIJO\97&#44221;&#50689;&#48516;&#49437;\A&#49324;&#50629;&#44228;&#54925;\02&#45800;%20%20%20&#44592;\98&#51116;&#49688;&#47549;&#49688;&#51221;\&#51333;&#44592;&#49892;&#51228;&#52636;\&#49688;&#51221;&#50577;&#4988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회사99"/>
      <sheetName val="XL4Poppy"/>
      <sheetName val="B"/>
      <sheetName val="엔링COMP9901"/>
      <sheetName val="2005년 표준인건비"/>
      <sheetName val="토목"/>
      <sheetName val="상반기손익차2총괄"/>
      <sheetName val="#REF"/>
      <sheetName val="new급여T(4을-운전)"/>
      <sheetName val="CONCRETE"/>
      <sheetName val="기기리스트"/>
      <sheetName val="DWEC ALL"/>
      <sheetName val="Proposal"/>
      <sheetName val="환율"/>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차9월2"/>
      <sheetName val="97 사업추정(WEKI)"/>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97 사업추정_WEKI_"/>
      <sheetName val="상반기손익차2총괄"/>
      <sheetName val="1-11조직표"/>
    </sheetNames>
    <sheetDataSet>
      <sheetData sheetId="0"/>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세부기준"/>
      <sheetName val="2003.02월수금계획"/>
      <sheetName val="2002_건설용역비미수금현황"/>
      <sheetName val="영업소실적"/>
      <sheetName val="Piping Design Data"/>
      <sheetName val="현장"/>
      <sheetName val="MOKDONG(1)"/>
      <sheetName val="회사99"/>
      <sheetName val="9-1차이내역"/>
      <sheetName val="Sheet1"/>
      <sheetName val="손익차9월2"/>
      <sheetName val="공문"/>
      <sheetName val="97 사업추정(WEKI)"/>
      <sheetName val="손익차총괄2"/>
      <sheetName val="공통"/>
      <sheetName val="공통비총괄표"/>
      <sheetName val="Sheet2"/>
      <sheetName val="삭제금지단가"/>
      <sheetName val="P.M 별"/>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새마을금고"/>
      <sheetName val="Module1"/>
      <sheetName val="참고인원"/>
      <sheetName val="설계"/>
      <sheetName val="품셈TABLE"/>
      <sheetName val="국내"/>
      <sheetName val="수입"/>
      <sheetName val="당초"/>
      <sheetName val="보온자재단가표"/>
      <sheetName val="단가표"/>
      <sheetName val="경비_원본"/>
      <sheetName val="노임단가"/>
      <sheetName val="삼보지질"/>
      <sheetName val="부표총괄"/>
      <sheetName val="품셈1-"/>
      <sheetName val="STAND20"/>
      <sheetName val="95년12월말"/>
      <sheetName val="유림골조"/>
      <sheetName val="95삼성급(본사)"/>
      <sheetName val="合成単価作成表-BLDG"/>
      <sheetName val="집계표(OPTION)"/>
      <sheetName val="상반기손익차2총괄"/>
      <sheetName val="정산표"/>
      <sheetName val="2003_02월수금계획"/>
      <sheetName val="Piping_Design_Data"/>
      <sheetName val="97_사업추정(WEKI)"/>
      <sheetName val="P_M_별"/>
      <sheetName val="일위_파일"/>
      <sheetName val="와동25-3(변경)"/>
      <sheetName val="정산표2"/>
      <sheetName val="M-EQPT-Z"/>
      <sheetName val="소화실적"/>
      <sheetName val="집계표"/>
      <sheetName val="개시대사 (2)"/>
      <sheetName val="보증금(전신전화가입권)"/>
      <sheetName val="부안일위"/>
      <sheetName val="RCF CLAIMED"/>
      <sheetName val="Equipment (5)"/>
      <sheetName val="KP1590_E"/>
      <sheetName val="JOB Assign"/>
      <sheetName val="#REF"/>
      <sheetName val="입찰안"/>
      <sheetName val="현금"/>
      <sheetName val="예가표"/>
      <sheetName val="INPUT DATA"/>
      <sheetName val="B"/>
      <sheetName val="Total"/>
      <sheetName val="Customer Databas"/>
      <sheetName val="EACT10"/>
      <sheetName val="가격조사서"/>
      <sheetName val="금액내역서"/>
      <sheetName val="내역서"/>
      <sheetName val="원가계산서"/>
      <sheetName val="Doha WBS Clean"/>
      <sheetName val="건축"/>
      <sheetName val="적용대가"/>
      <sheetName val="Peralatan (2)"/>
      <sheetName val="공사비PK5월"/>
      <sheetName val="DCS"/>
      <sheetName val="ANALYSER"/>
      <sheetName val="3.바닥판설계"/>
      <sheetName val="주형"/>
      <sheetName val="토사(PE)"/>
      <sheetName val="인원계획"/>
      <sheetName val="사업부배부A"/>
      <sheetName val="eq_data"/>
      <sheetName val="카메라"/>
      <sheetName val="제작비추산총괄표"/>
      <sheetName val="물가자료"/>
      <sheetName val="new급여T(4을-운전)"/>
      <sheetName val="총괄표"/>
      <sheetName val="Sheet3"/>
      <sheetName val="BATCH"/>
      <sheetName val="정부노임단가"/>
      <sheetName val="Sheet11"/>
      <sheetName val="구의33고"/>
      <sheetName val="직S"/>
      <sheetName val="약품설비"/>
      <sheetName val="2003_02월수금계획1"/>
      <sheetName val="Piping_Design_Data1"/>
      <sheetName val="97_사업추정(WEKI)1"/>
      <sheetName val="P_M_별1"/>
      <sheetName val="계정보고_(2)"/>
      <sheetName val="요약배부_(보고)"/>
      <sheetName val="요약배부_(보고)_(2)"/>
      <sheetName val="기타매출_(2)"/>
      <sheetName val="기타매출_(3)"/>
      <sheetName val="개시대사_(2)"/>
      <sheetName val="RCF_CLAIMED"/>
      <sheetName val="Equipment_(5)"/>
      <sheetName val="JOB_Assign"/>
      <sheetName val="INPUT_DATA"/>
      <sheetName val="Customer_Databas"/>
      <sheetName val="Doha_WBS_Clean"/>
      <sheetName val="Peralatan_(2)"/>
      <sheetName val="3_바닥판설계"/>
      <sheetName val="예산M2"/>
      <sheetName val="예산M12A"/>
      <sheetName val="공통가설"/>
      <sheetName val="CB"/>
      <sheetName val="노무비단가"/>
      <sheetName val="cable-data"/>
      <sheetName val="평균인원"/>
      <sheetName val="수안보-MBR1"/>
      <sheetName val="건설성적"/>
      <sheetName val="간접"/>
      <sheetName val="전기혼잡제경비(45)"/>
      <sheetName val="산출서"/>
      <sheetName val="6PILE  (돌출)"/>
      <sheetName val="1월"/>
      <sheetName val="터널조도"/>
      <sheetName val="년말집계"/>
      <sheetName val="sum"/>
      <sheetName val="BLIND FLANGE"/>
      <sheetName val="CAP"/>
      <sheetName val="ELBOW"/>
      <sheetName val="FLANGE"/>
      <sheetName val="PIPE NPS OD"/>
      <sheetName val="OLET"/>
      <sheetName val="REDUCER"/>
      <sheetName val="TEE"/>
      <sheetName val="기계사급자재"/>
      <sheetName val="Paint,Fire-Proof,Insul(48)"/>
      <sheetName val="DB"/>
      <sheetName val="BID"/>
      <sheetName val="설 계"/>
      <sheetName val="품셈표"/>
      <sheetName val="VXXXXXXX"/>
      <sheetName val="#3E1_GCR"/>
      <sheetName val="BRICK"/>
      <sheetName val="Tension"/>
      <sheetName val="15.도급예산대비표"/>
      <sheetName val="배수내역"/>
      <sheetName val="합계잔액시산표"/>
      <sheetName val="상품입고집계"/>
      <sheetName val="SCH"/>
      <sheetName val="조직표"/>
      <sheetName val="필리핀"/>
      <sheetName val="지사인원사무실"/>
      <sheetName val="적용토목"/>
      <sheetName val="평자재단가"/>
      <sheetName val="Summary Sheets"/>
      <sheetName val="B31.1"/>
      <sheetName val="PSIZE"/>
      <sheetName val="청산공사"/>
      <sheetName val="10현장조직"/>
      <sheetName val="협력업체전기요금"/>
      <sheetName val="COVER-P"/>
      <sheetName val="WORKER"/>
      <sheetName val="하조서"/>
      <sheetName val="95하U$가격"/>
      <sheetName val="OD5000"/>
      <sheetName val="WIND"/>
      <sheetName val="DATE"/>
      <sheetName val="COMPRESSOR"/>
      <sheetName val="배수공 주요자재 집계표"/>
      <sheetName val="WIND-EQ"/>
      <sheetName val="HORI. VESSEL"/>
      <sheetName val="현대본사"/>
      <sheetName val="2003_02월수금계획2"/>
      <sheetName val="Piping_Design_Data2"/>
      <sheetName val="97_사업추정(WEKI)2"/>
      <sheetName val="P_M_별2"/>
      <sheetName val="계정보고_(2)1"/>
      <sheetName val="요약배부_(보고)1"/>
      <sheetName val="요약배부_(보고)_(2)1"/>
      <sheetName val="기타매출_(2)1"/>
      <sheetName val="기타매출_(3)1"/>
      <sheetName val="Equipment_(5)1"/>
      <sheetName val="개시대사_(2)1"/>
      <sheetName val="RCF_CLAIMED1"/>
      <sheetName val="JOB_Assign1"/>
      <sheetName val="INPUT_DATA1"/>
      <sheetName val="Customer_Databas1"/>
      <sheetName val="Doha_WBS_Clean1"/>
      <sheetName val="3_바닥판설계1"/>
      <sheetName val="Peralatan_(2)1"/>
      <sheetName val="6PILE__(돌출)"/>
      <sheetName val="BLIND_FLANGE"/>
      <sheetName val="PIPE_NPS_OD"/>
      <sheetName val="설_계"/>
      <sheetName val="15_도급예산대비표"/>
      <sheetName val="Summary_Sheets"/>
      <sheetName val="B31_1"/>
      <sheetName val="토적계산"/>
      <sheetName val="표지"/>
      <sheetName val="96 능제취입"/>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새공통"/>
      <sheetName val="수문일1"/>
      <sheetName val="일위대가"/>
      <sheetName val="돈"/>
      <sheetName val="기본단가"/>
      <sheetName val="신대방33(적용)"/>
      <sheetName val="수주실적0709"/>
      <sheetName val="실행철강하도"/>
      <sheetName val="1차배부(JB포함)"/>
      <sheetName val="마케팅"/>
      <sheetName val="9GNG운반"/>
      <sheetName val="경비공통"/>
      <sheetName val="VXXXXX"/>
      <sheetName val="도급"/>
      <sheetName val="공통부대비"/>
      <sheetName val="CBE-VSL"/>
      <sheetName val="TTL"/>
      <sheetName val="공정회의자료(월요일 10시까지)"/>
      <sheetName val="수주추정"/>
      <sheetName val="공사비 내역 (가)"/>
      <sheetName val="INPUT DATA OF SCHEDULE"/>
      <sheetName val="세금자료"/>
      <sheetName val="경제지표"/>
      <sheetName val="실적"/>
      <sheetName val="BOROUGE2"/>
      <sheetName val="직원동원SCH"/>
      <sheetName val="99년하반기"/>
      <sheetName val="공사비내역"/>
      <sheetName val="차량별점검"/>
      <sheetName val="토목"/>
      <sheetName val="한화건설"/>
      <sheetName val="실행내역"/>
      <sheetName val="경상"/>
      <sheetName val="Sheet6"/>
      <sheetName val="BQ"/>
      <sheetName val="IMP(MAIN)"/>
      <sheetName val="IMP (REACTOR)"/>
      <sheetName val="재료율"/>
      <sheetName val="제출내역 (2)"/>
      <sheetName val="8"/>
      <sheetName val="10"/>
      <sheetName val="12"/>
      <sheetName val="9"/>
      <sheetName val="11"/>
      <sheetName val="2"/>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차9월2"/>
      <sheetName val="97 사업추정(WEKI)"/>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세금자료"/>
      <sheetName val="영업소실적"/>
      <sheetName val="집계표"/>
      <sheetName val="97 사업추정(WEKI)"/>
      <sheetName val="인원계획"/>
      <sheetName val="수입"/>
      <sheetName val="사업추정"/>
      <sheetName val="95삼성급(본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삼성급(총괄)"/>
      <sheetName val="95삼성급(본사)"/>
      <sheetName val="95삼성급_본사_"/>
      <sheetName val="삼성초임"/>
      <sheetName val="XL4Poppy"/>
      <sheetName val="eq_data"/>
      <sheetName val="B31.1"/>
      <sheetName val="PSIZE"/>
      <sheetName val="집계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견적기준"/>
      <sheetName val="INDEX"/>
      <sheetName val="INSTR"/>
      <sheetName val="PLC"/>
      <sheetName val="CABLE"/>
      <sheetName val="TRAY"/>
      <sheetName val="JB"/>
      <sheetName val="PIPE"/>
      <sheetName val="TUBE"/>
      <sheetName val="MISC"/>
      <sheetName val="설계기준(내부)"/>
      <sheetName val="eq_data"/>
      <sheetName val="PipWT"/>
      <sheetName val="단면검토"/>
      <sheetName val="설계조건"/>
      <sheetName val="Piping Design Data"/>
      <sheetName val="TYPE-B 평균H"/>
      <sheetName val="직원동원SCH"/>
      <sheetName val="Sheet1"/>
      <sheetName val="MACRO(전선관)"/>
      <sheetName val="Sheet3"/>
      <sheetName val="look-up"/>
      <sheetName val="Lookup"/>
      <sheetName val="BM-PC0840"/>
      <sheetName val="DATA"/>
      <sheetName val="Hoja3"/>
      <sheetName val="Hoja2"/>
      <sheetName val="Table 1"/>
      <sheetName val="IN"/>
      <sheetName val="Total"/>
      <sheetName val="현황CODE"/>
      <sheetName val="손익현황"/>
      <sheetName val="SPEC"/>
      <sheetName val="Cover sheet"/>
      <sheetName val="BQ List"/>
      <sheetName val="SUM"/>
      <sheetName val="RFP002"/>
      <sheetName val="Basis"/>
      <sheetName val="purch-summ-data"/>
      <sheetName val="PEL"/>
      <sheetName val="steam table"/>
      <sheetName val="ISOP"/>
      <sheetName val="Piping_Design_Data"/>
      <sheetName val="TYPE-B_평균H"/>
      <sheetName val="Table_1"/>
      <sheetName val="Piping Cost"/>
      <sheetName val="Units"/>
      <sheetName val="Instructions"/>
      <sheetName val="IT-BAT"/>
      <sheetName val="F-302"/>
      <sheetName val="new급여T(4을-운전)"/>
      <sheetName val="PBS"/>
      <sheetName val="가상data"/>
      <sheetName val="정부노임단가"/>
      <sheetName val="PIPE-SUMMARY"/>
      <sheetName val="PIPE-LINK"/>
      <sheetName val="HALOBUTYL"/>
      <sheetName val="h-013211-2"/>
      <sheetName val="steam_table"/>
      <sheetName val="산근"/>
      <sheetName val="PSIZE"/>
      <sheetName val="공사비 내역 (가)"/>
      <sheetName val="Tipo Terzi"/>
      <sheetName val="P110"/>
      <sheetName val="CONTENTS"/>
      <sheetName val="DSCCI_Print"/>
      <sheetName val="CBE-VSL"/>
      <sheetName val="Testing"/>
      <sheetName val="Pag. 1"/>
      <sheetName val="할증 "/>
      <sheetName val="HRD"/>
      <sheetName val="Macro1"/>
      <sheetName val="#4-1표지"/>
      <sheetName val="Code_Magics"/>
      <sheetName val="Code"/>
      <sheetName val="영업2"/>
      <sheetName val="영업3"/>
      <sheetName val="견적 집계"/>
      <sheetName val="간접비내역-1"/>
      <sheetName val="집계표"/>
      <sheetName val="CALCULATION"/>
      <sheetName val="Anal-1 (Nox-SO2-CO)"/>
      <sheetName val="piping"/>
      <sheetName val="DATA LISTS"/>
      <sheetName val="DCS"/>
      <sheetName val="ANALYSER"/>
      <sheetName val="PROCURE"/>
      <sheetName val="B31.1"/>
      <sheetName val="SUMMARY"/>
      <sheetName val="TABLE"/>
      <sheetName val="갑지(추정)"/>
      <sheetName val="Graph (LGEN)"/>
      <sheetName val="out_prog"/>
      <sheetName val="선적schedule (2)"/>
      <sheetName val="PRICE LIST"/>
      <sheetName val="TABLE2-2 OSBL-(SITE PREP)"/>
      <sheetName val="TOTAL PIPING"/>
      <sheetName val="Bend_fact "/>
      <sheetName val="갑지"/>
      <sheetName val="15010"/>
      <sheetName val="24"/>
      <sheetName val="CPS"/>
      <sheetName val="Cover_sheet"/>
      <sheetName val="BQ_List"/>
      <sheetName val="boq"/>
      <sheetName val="PAD-F"/>
      <sheetName val="Ex-Rate"/>
      <sheetName val="TTL"/>
      <sheetName val="KP1590_E"/>
      <sheetName val="SHL"/>
      <sheetName val="K1"/>
      <sheetName val="OSBL-TOTAL (SEA WATER)"/>
      <sheetName val="상반기손익차2총괄"/>
      <sheetName val="UG분석표"/>
      <sheetName val="95삼성급(본사)"/>
      <sheetName val="ld-sd-dt"/>
      <sheetName val="highlight"/>
      <sheetName val="ld-sd"/>
      <sheetName val="갑지1"/>
      <sheetName val="DESIGN(77C-102A)-2"/>
      <sheetName val="ELECTRICAL"/>
      <sheetName val="비교표"/>
      <sheetName val="BAY별 원가표준"/>
      <sheetName val="기본자료(실행)"/>
      <sheetName val="3cx95sq"/>
      <sheetName val="자재코드"/>
      <sheetName val="ST-CST1"/>
      <sheetName val="OSBL-TOTAL (OTHER WORK)"/>
      <sheetName val="입력값1"/>
      <sheetName val="CABLE DATA"/>
      <sheetName val="Process Piping"/>
      <sheetName val="Insts"/>
      <sheetName val="내역"/>
      <sheetName val="WORK-VOL"/>
      <sheetName val="Daten"/>
      <sheetName val="Connections"/>
      <sheetName val="한강운반비"/>
      <sheetName val="세금자료"/>
      <sheetName val="개시대사 (2)"/>
      <sheetName val="OSBL-TOTAL (CIVIL WORK)"/>
      <sheetName val="MAN-STD"/>
      <sheetName val="Step"/>
      <sheetName val="E_Rate PM"/>
      <sheetName val="TIE-INS"/>
      <sheetName val="제출계산서"/>
      <sheetName val="ISO"/>
      <sheetName val="SOURCE"/>
      <sheetName val="Piping_Design_Data1"/>
      <sheetName val="TYPE-B_평균H1"/>
      <sheetName val="Table_11"/>
      <sheetName val="Piping_Cost"/>
      <sheetName val="Piping_Design_Data2"/>
      <sheetName val="TYPE-B_평균H2"/>
      <sheetName val="Table_12"/>
      <sheetName val="BQ_List1"/>
      <sheetName val="steam_table1"/>
      <sheetName val="Piping_Cost1"/>
      <sheetName val="Cover_sheet1"/>
      <sheetName val="TABLE2-1_ISBL-(SlTE_PREP)"/>
      <sheetName val="TABLE2_1_ISBL_(Soil_Invest)"/>
      <sheetName val="TABLE2-2_OSBL(GENERAL-CIVIL)"/>
      <sheetName val="TABLE2-2_OSBL-(SITE_PREP)"/>
      <sheetName val="#REF"/>
      <sheetName val="code data"/>
      <sheetName val="4002"/>
      <sheetName val="표지"/>
      <sheetName val="Sheeta"/>
      <sheetName val="Units+rev"/>
      <sheetName val="PRESSURE GAUGE"/>
      <sheetName val="SHUTDOWN VALVE"/>
      <sheetName val="조건표"/>
      <sheetName val="WE'T"/>
      <sheetName val="MEXICO-C"/>
      <sheetName val="INST LIST"/>
      <sheetName val="CVA"/>
      <sheetName val="PROCESS"/>
      <sheetName val="내역서"/>
      <sheetName val="DRUM"/>
      <sheetName val="BQMPALOC"/>
      <sheetName val="PumpSpec"/>
      <sheetName val="footing"/>
      <sheetName val="97 사업추정(WEKI)"/>
      <sheetName val="기준"/>
      <sheetName val="대비표"/>
      <sheetName val=" 견적서"/>
      <sheetName val="터널조도"/>
      <sheetName val="견적의뢰"/>
      <sheetName val="B"/>
      <sheetName val="공사비_내역_(가)"/>
      <sheetName val="Tipo_Terzi"/>
      <sheetName val="DATA_LISTS"/>
      <sheetName val="TRICONIX"/>
      <sheetName val="Sheet5"/>
      <sheetName val="Engrg Est"/>
      <sheetName val="COVER-P"/>
      <sheetName val="Material_Group"/>
      <sheetName val="PTrating all"/>
      <sheetName val="Default"/>
      <sheetName val="BQ"/>
      <sheetName val="수입"/>
      <sheetName val="41-42-1"/>
      <sheetName val="BASEINPUT"/>
      <sheetName val="000000"/>
      <sheetName val="E01"/>
      <sheetName val="MVE02"/>
      <sheetName val="DATE"/>
      <sheetName val="Pipe ID"/>
      <sheetName val="notifier"/>
      <sheetName val="OD5000"/>
      <sheetName val="배명(단가)"/>
      <sheetName val="Panel제작명세서"/>
      <sheetName val="ABB"/>
      <sheetName val="노임9월"/>
      <sheetName val="Y-WORK"/>
      <sheetName val="적용환율"/>
      <sheetName val="Taux"/>
      <sheetName val="SCHEDULE"/>
      <sheetName val="Factor"/>
      <sheetName val="당초"/>
      <sheetName val="CAT_5"/>
      <sheetName val="costing_Misc"/>
      <sheetName val="Summary Sheets"/>
      <sheetName val="HVAC"/>
      <sheetName val="DB@Acess"/>
      <sheetName val="Civil"/>
      <sheetName val="costing_Press"/>
      <sheetName val="costing_ESDV"/>
      <sheetName val=" 갑지"/>
      <sheetName val="costing_MOV"/>
      <sheetName val="REDUCER"/>
      <sheetName val="costing_CV"/>
      <sheetName val="Tables"/>
      <sheetName val="合成単価作成表-BLDG"/>
      <sheetName val="POWER"/>
      <sheetName val="w't table"/>
      <sheetName val="COA-17"/>
      <sheetName val="S N"/>
      <sheetName val="costing_FE"/>
      <sheetName val="C-18"/>
      <sheetName val="금액내역서"/>
      <sheetName val="LABTOTAL"/>
      <sheetName val="95신규호표"/>
      <sheetName val="VS배관내역서"/>
      <sheetName val="작성기준"/>
      <sheetName val="Macro"/>
      <sheetName val="노임단가"/>
      <sheetName val="#3_일위대가목록"/>
      <sheetName val="cbe-1"/>
      <sheetName val="MOTOR"/>
      <sheetName val="Submission-Application"/>
      <sheetName val="VL"/>
      <sheetName val="TN"/>
      <sheetName val="ND"/>
      <sheetName val="소상 &quot;1&quot;"/>
      <sheetName val="list"/>
      <sheetName val=""/>
      <sheetName val="동결보온"/>
      <sheetName val="Substn, Pdt Trans, Pack, Others"/>
      <sheetName val="attach(2)"/>
      <sheetName val="소야공정계획표"/>
      <sheetName val="BQLIST"/>
      <sheetName val="1을"/>
      <sheetName val=" "/>
      <sheetName val="연돌일위집계"/>
      <sheetName val="장비"/>
      <sheetName val="노무"/>
      <sheetName val="CYP-O.F"/>
      <sheetName val="Line Details"/>
      <sheetName val="Two Phase"/>
      <sheetName val="물량표"/>
      <sheetName val="Sheet2"/>
      <sheetName val="TYPE-B_평균H3"/>
      <sheetName val="Piping_Design_Data3"/>
      <sheetName val="Table_13"/>
      <sheetName val="BQ_List2"/>
      <sheetName val="steam_table2"/>
      <sheetName val="Piping_Cost2"/>
      <sheetName val="Cover_sheet2"/>
      <sheetName val="공사비_내역_(가)1"/>
      <sheetName val="Tipo_Terzi1"/>
      <sheetName val="할증_"/>
      <sheetName val="PRICE_LIST"/>
      <sheetName val="TABLE2-2_OSBL-(SITE_PREP)1"/>
      <sheetName val="TOTAL_PIPING"/>
      <sheetName val="Bend_fact_"/>
      <sheetName val="DATA_LISTS1"/>
      <sheetName val="Graph_(LGEN)"/>
      <sheetName val="선적schedule_(2)"/>
      <sheetName val="Pag__1"/>
      <sheetName val="견적_집계"/>
      <sheetName val="Anal-1_(Nox-SO2-CO)"/>
      <sheetName val="OSBL-TOTAL_(SEA_WATER)"/>
      <sheetName val="개시대사_(2)"/>
      <sheetName val="E_Rate_PM"/>
      <sheetName val="OSBL-TOTAL_(CIVIL_WORK)"/>
      <sheetName val="PRESSURE_GAUGE"/>
      <sheetName val="SHUTDOWN_VALVE"/>
      <sheetName val="B31_1"/>
      <sheetName val="Process_Piping"/>
      <sheetName val="code_data"/>
      <sheetName val="97_사업추정(WEKI)"/>
      <sheetName val="OSBL-TOTAL_(OTHER_WORK)"/>
      <sheetName val="Pipe_ID"/>
      <sheetName val="PTrating_all"/>
      <sheetName val="INST_LIST"/>
      <sheetName val="_견적서"/>
      <sheetName val="BAY별_원가표준"/>
      <sheetName val="CABLE_DATA"/>
      <sheetName val="burner-spare"/>
      <sheetName val="조도계산서 (도서)"/>
      <sheetName val="Euro-conversion"/>
      <sheetName val="설계서"/>
      <sheetName val="BM"/>
      <sheetName val="BOM_DWG"/>
      <sheetName val="Notes for BOQ"/>
      <sheetName val="Piping_Design_Data5"/>
      <sheetName val="TYPE-B_평균H5"/>
      <sheetName val="Table_15"/>
      <sheetName val="BQ_List4"/>
      <sheetName val="Piping_Cost4"/>
      <sheetName val="Cover_sheet4"/>
      <sheetName val="steam_table4"/>
      <sheetName val="공사비_내역_(가)2"/>
      <sheetName val="Tipo_Terzi2"/>
      <sheetName val="Pag__12"/>
      <sheetName val="할증_2"/>
      <sheetName val="견적_집계2"/>
      <sheetName val="Anal-1_(Nox-SO2-CO)2"/>
      <sheetName val="DATA_LISTS2"/>
      <sheetName val="TABLE2-2_OSBL-(SITE_PREP)3"/>
      <sheetName val="TOTAL_PIPING2"/>
      <sheetName val="Bend_fact_2"/>
      <sheetName val="PRICE_LIST2"/>
      <sheetName val="Graph_(LGEN)2"/>
      <sheetName val="선적schedule_(2)2"/>
      <sheetName val="Process_Piping2"/>
      <sheetName val="OSBL-TOTAL_(SEA_WATER)2"/>
      <sheetName val="INST_LIST2"/>
      <sheetName val="개시대사_(2)2"/>
      <sheetName val="OSBL-TOTAL_(CIVIL_WORK)2"/>
      <sheetName val="E_Rate_PM2"/>
      <sheetName val="code_data2"/>
      <sheetName val="Piping_Design_Data4"/>
      <sheetName val="TYPE-B_평균H4"/>
      <sheetName val="Table_14"/>
      <sheetName val="BQ_List3"/>
      <sheetName val="Piping_Cost3"/>
      <sheetName val="Cover_sheet3"/>
      <sheetName val="steam_table3"/>
      <sheetName val="Pag__11"/>
      <sheetName val="할증_1"/>
      <sheetName val="견적_집계1"/>
      <sheetName val="Anal-1_(Nox-SO2-CO)1"/>
      <sheetName val="TABLE2-2_OSBL-(SITE_PREP)2"/>
      <sheetName val="TOTAL_PIPING1"/>
      <sheetName val="Bend_fact_1"/>
      <sheetName val="PRICE_LIST1"/>
      <sheetName val="Graph_(LGEN)1"/>
      <sheetName val="선적schedule_(2)1"/>
      <sheetName val="Process_Piping1"/>
      <sheetName val="OSBL-TOTAL_(SEA_WATER)1"/>
      <sheetName val="INST_LIST1"/>
      <sheetName val="개시대사_(2)1"/>
      <sheetName val="OSBL-TOTAL_(CIVIL_WORK)1"/>
      <sheetName val="E_Rate_PM1"/>
      <sheetName val="code_data1"/>
      <sheetName val="Cost_Summary1"/>
      <sheetName val="Summary_Sheets1"/>
      <sheetName val="ITB_COST1"/>
      <sheetName val="DWTables"/>
      <sheetName val="BOM_DCS"/>
      <sheetName val="Piping_Design_Data6"/>
      <sheetName val="TYPE-B_평균H6"/>
      <sheetName val="Table_16"/>
      <sheetName val="BQ_List5"/>
      <sheetName val="Piping_Cost5"/>
      <sheetName val="Cover_sheet5"/>
      <sheetName val="steam_table5"/>
      <sheetName val="공사비_내역_(가)3"/>
      <sheetName val="Tipo_Terzi3"/>
      <sheetName val="Pag__13"/>
      <sheetName val="할증_3"/>
      <sheetName val="견적_집계3"/>
      <sheetName val="Anal-1_(Nox-SO2-CO)3"/>
      <sheetName val="DATA_LISTS3"/>
      <sheetName val="TABLE2-2_OSBL-(SITE_PREP)4"/>
      <sheetName val="TOTAL_PIPING3"/>
      <sheetName val="Bend_fact_3"/>
      <sheetName val="PRICE_LIST3"/>
      <sheetName val="Graph_(LGEN)3"/>
      <sheetName val="선적schedule_(2)3"/>
      <sheetName val="Process_Piping3"/>
      <sheetName val="OSBL-TOTAL_(SEA_WATER)3"/>
      <sheetName val="INST_LIST3"/>
      <sheetName val="개시대사_(2)3"/>
      <sheetName val="OSBL-TOTAL_(CIVIL_WORK)3"/>
      <sheetName val="E_Rate_PM3"/>
      <sheetName val="code_data3"/>
      <sheetName val="PRO_DCI"/>
      <sheetName val="ELEC_DCI"/>
      <sheetName val="INST_DCI"/>
      <sheetName val="JOINT1"/>
      <sheetName val="PAGE 3_GENERAL DETAILS"/>
      <sheetName val="IO"/>
      <sheetName val="Integration"/>
      <sheetName val="PRESSURE_GAUGE1"/>
      <sheetName val="SHUTDOWN_VALVE1"/>
      <sheetName val="B31_11"/>
      <sheetName val="97_사업추정(WEKI)1"/>
      <sheetName val="OSBL-TOTAL_(OTHER_WORK)1"/>
      <sheetName val="_견적서1"/>
      <sheetName val="Engrg_Est1"/>
      <sheetName val="CABLE_DATA1"/>
      <sheetName val="BAY별_원가표준1"/>
      <sheetName val="PTrating_all1"/>
      <sheetName val="Pipe_ID1"/>
      <sheetName val="_갑지1"/>
      <sheetName val="w't_table1"/>
      <sheetName val="S_N1"/>
      <sheetName val="소상_&quot;1&quot;1"/>
      <sheetName val="Substn,_Pdt_Trans,_Pack,_Other1"/>
      <sheetName val="Engrg_Est"/>
      <sheetName val="Summary_Sheets"/>
      <sheetName val="_갑지"/>
      <sheetName val="w't_table"/>
      <sheetName val="S_N"/>
      <sheetName val="소상_&quot;1&quot;"/>
      <sheetName val="Substn,_Pdt_Trans,_Pack,_Others"/>
      <sheetName val="DropBox"/>
      <sheetName val="유효성 검사"/>
      <sheetName val="TN IO_LIST"/>
      <sheetName val="6PILE  (돌출)"/>
      <sheetName val="CAL."/>
      <sheetName val="유효성검사"/>
      <sheetName val="자문요청"/>
      <sheetName val="mto-rev0B"/>
      <sheetName val="기준액"/>
      <sheetName val="MATRIAL"/>
      <sheetName val="laroux"/>
      <sheetName val="I_O Module"/>
      <sheetName val="PIPES"/>
      <sheetName val="Piping_Design_Data7"/>
      <sheetName val="TYPE-B_평균H7"/>
      <sheetName val="Table_17"/>
      <sheetName val="Cover_sheet6"/>
      <sheetName val="BQ_List6"/>
      <sheetName val="steam_table6"/>
      <sheetName val="Piping_Cost6"/>
      <sheetName val="Pag__14"/>
      <sheetName val="할증_4"/>
      <sheetName val="견적_집계4"/>
      <sheetName val="공사비_내역_(가)4"/>
      <sheetName val="Tipo_Terzi4"/>
      <sheetName val="PRICE_LIST4"/>
      <sheetName val="Anal-1_(Nox-SO2-CO)4"/>
      <sheetName val="Graph_(LGEN)4"/>
      <sheetName val="선적schedule_(2)4"/>
      <sheetName val="DATA_LISTS4"/>
      <sheetName val="TABLE2-2_OSBL-(SITE_PREP)5"/>
      <sheetName val="TOTAL_PIPING4"/>
      <sheetName val="Bend_fact_4"/>
      <sheetName val="Process_Piping4"/>
      <sheetName val="INST_LIST4"/>
      <sheetName val="OSBL-TOTAL_(SEA_WATER)4"/>
      <sheetName val="개시대사_(2)4"/>
      <sheetName val="OSBL-TOTAL_(CIVIL_WORK)4"/>
      <sheetName val="E_Rate_PM4"/>
      <sheetName val="code_data4"/>
      <sheetName val="PRESSURE_GAUGE2"/>
      <sheetName val="SHUTDOWN_VALVE2"/>
      <sheetName val="97_사업추정(WEKI)2"/>
      <sheetName val="OSBL-TOTAL_(OTHER_WORK)2"/>
      <sheetName val="_견적서2"/>
      <sheetName val="B31_12"/>
      <sheetName val="Engrg_Est2"/>
      <sheetName val="CABLE_DATA2"/>
      <sheetName val="BAY별_원가표준2"/>
      <sheetName val="Pipe_ID2"/>
      <sheetName val="PTrating_all2"/>
      <sheetName val="Summary_Sheets2"/>
      <sheetName val="_갑지2"/>
      <sheetName val="w't_table2"/>
      <sheetName val="S_N2"/>
      <sheetName val="소상_&quot;1&quot;2"/>
      <sheetName val="Substn,_Pdt_Trans,_Pack,_Other2"/>
      <sheetName val="Line_Details"/>
      <sheetName val="Two_Phase"/>
      <sheetName val="_"/>
      <sheetName val="CYP-O_F"/>
      <sheetName val="조도계산서_(도서)"/>
      <sheetName val="Notes_for_BOQ"/>
      <sheetName val="PAGE_3_GENERAL_DETAILS"/>
      <sheetName val="TN_IO_LIST"/>
      <sheetName val="유효성_검사"/>
      <sheetName val="2001概算定额"/>
      <sheetName val="RNRLRPL2"/>
      <sheetName val="PRO_A"/>
      <sheetName val="DWG"/>
      <sheetName val="ELEC_MCI"/>
      <sheetName val="MAIN"/>
      <sheetName val="INST_MCI"/>
      <sheetName val="MECH_MCI"/>
      <sheetName val="PRO"/>
      <sheetName val="Activity(new)"/>
      <sheetName val="Total(new)"/>
      <sheetName val="현장지지물물량"/>
      <sheetName val="Basic"/>
      <sheetName val="VESSELS &amp; COLUMNS"/>
      <sheetName val="설정"/>
      <sheetName val="Alternator"/>
      <sheetName val="일위대가"/>
      <sheetName val="Proposal"/>
      <sheetName val="원가 BOM-SLV,LND"/>
      <sheetName val="MTP"/>
      <sheetName val="6PILE__(돌출)"/>
      <sheetName val="CAL_"/>
      <sheetName val="Piping_Design_Data8"/>
      <sheetName val="TYPE-B_평균H8"/>
      <sheetName val="Table_18"/>
      <sheetName val="BQ_List7"/>
      <sheetName val="steam_table7"/>
      <sheetName val="Piping_Cost7"/>
      <sheetName val="Cover_sheet7"/>
      <sheetName val="공사비_내역_(가)5"/>
      <sheetName val="할증_5"/>
      <sheetName val="TABLE2-2_OSBL-(SITE_PREP)6"/>
      <sheetName val="TOTAL_PIPING5"/>
      <sheetName val="Bend_fact_5"/>
      <sheetName val="Tipo_Terzi5"/>
      <sheetName val="DATA_LISTS5"/>
      <sheetName val="PRICE_LIST5"/>
      <sheetName val="Pag__15"/>
      <sheetName val="OSBL-TOTAL_(SEA_WATER)5"/>
      <sheetName val="견적_집계5"/>
      <sheetName val="Anal-1_(Nox-SO2-CO)5"/>
      <sheetName val="Graph_(LGEN)5"/>
      <sheetName val="선적schedule_(2)5"/>
      <sheetName val="개시대사_(2)5"/>
      <sheetName val="OSBL-TOTAL_(CIVIL_WORK)5"/>
      <sheetName val="E_Rate_PM5"/>
      <sheetName val="Process_Piping5"/>
      <sheetName val="code_data5"/>
      <sheetName val="OSBL-TOTAL_(OTHER_WORK)3"/>
      <sheetName val="B31_13"/>
      <sheetName val="PRESSURE_GAUGE3"/>
      <sheetName val="SHUTDOWN_VALVE3"/>
      <sheetName val="BAY별_원가표준3"/>
      <sheetName val="CABLE_DATA3"/>
      <sheetName val="INST_LIST5"/>
      <sheetName val="97_사업추정(WEKI)3"/>
      <sheetName val="_견적서3"/>
      <sheetName val="Pipe_ID3"/>
      <sheetName val="PTrating_all3"/>
      <sheetName val="Engrg_Est3"/>
      <sheetName val="소상_&quot;1&quot;3"/>
      <sheetName val="Substn,_Pdt_Trans,_Pack,_Other3"/>
      <sheetName val="_1"/>
      <sheetName val="조도계산서_(도서)1"/>
      <sheetName val="CYP-O_F1"/>
      <sheetName val="Summary_Sheets3"/>
      <sheetName val="_갑지3"/>
      <sheetName val="w't_table3"/>
      <sheetName val="S_N3"/>
      <sheetName val="Line_Details1"/>
      <sheetName val="Two_Phase1"/>
      <sheetName val="Notes_for_BOQ1"/>
      <sheetName val="Datasheet for STRAINER"/>
      <sheetName val="PAGE_3_GENERAL_DETAILS1"/>
      <sheetName val="유효성_검사1"/>
      <sheetName val="6PILE__(돌출)1"/>
      <sheetName val="CAL_1"/>
      <sheetName val="TN_IO_LIST1"/>
      <sheetName val="4B - (1) Materials"/>
      <sheetName val="GROUP"/>
      <sheetName val="자바라1"/>
      <sheetName val="Engg-Exec-2"/>
      <sheetName val="Site-Precom-2"/>
      <sheetName val="Cont"/>
      <sheetName val="Ranges"/>
      <sheetName val="User"/>
      <sheetName val="MHRS"/>
      <sheetName val="BELİRLENECEKLER"/>
      <sheetName val="재료비"/>
      <sheetName val="EVVK"/>
      <sheetName val="EVVG"/>
      <sheetName val="EYDS"/>
      <sheetName val="EVVB"/>
      <sheetName val="EVVD"/>
      <sheetName val="EVVC"/>
      <sheetName val="EFF"/>
      <sheetName val="EFFH"/>
      <sheetName val="EVVH"/>
      <sheetName val="EVVF"/>
      <sheetName val="EVVE"/>
      <sheetName val="EVVM"/>
      <sheetName val="EFFB"/>
      <sheetName val="EMMT"/>
      <sheetName val="EMMC"/>
      <sheetName val="EMMA"/>
      <sheetName val="HVAC_DCI"/>
      <sheetName val="PIPE_DCI"/>
      <sheetName val="역T형"/>
      <sheetName val="parameters"/>
      <sheetName val="dr &amp; wd"/>
      <sheetName val="細目"/>
      <sheetName val="Man-month Chart - Overall"/>
      <sheetName val="MH(on site)"/>
      <sheetName val="Heat"/>
      <sheetName val="TABLE-A"/>
      <sheetName val="基数"/>
      <sheetName val="salary"/>
      <sheetName val="AC"/>
      <sheetName val="Cashflow Analysis"/>
      <sheetName val="TYPE-B_평균H9"/>
      <sheetName val="Piping_Design_Data9"/>
      <sheetName val="Table_19"/>
      <sheetName val="BQ_List8"/>
      <sheetName val="Cover_sheet8"/>
      <sheetName val="steam_table8"/>
      <sheetName val="code_data6"/>
      <sheetName val="Piping_Cost8"/>
      <sheetName val="공사비_내역_(가)6"/>
      <sheetName val="Tipo_Terzi6"/>
      <sheetName val="DATA_LISTS6"/>
      <sheetName val="Pag__16"/>
      <sheetName val="할증_6"/>
      <sheetName val="B31_14"/>
      <sheetName val="PRICE_LIST6"/>
      <sheetName val="견적_집계6"/>
      <sheetName val="Anal-1_(Nox-SO2-CO)6"/>
      <sheetName val="TABLE2-2_OSBL-(SITE_PREP)7"/>
      <sheetName val="TOTAL_PIPING6"/>
      <sheetName val="Bend_fact_6"/>
      <sheetName val="Graph_(LGEN)6"/>
      <sheetName val="선적schedule_(2)6"/>
      <sheetName val="Process_Piping6"/>
      <sheetName val="OSBL-TOTAL_(SEA_WATER)6"/>
      <sheetName val="INST_LIST6"/>
      <sheetName val="개시대사_(2)6"/>
      <sheetName val="OSBL-TOTAL_(CIVIL_WORK)6"/>
      <sheetName val="E_Rate_PM6"/>
      <sheetName val="BAY별_원가표준4"/>
      <sheetName val="OSBL-TOTAL_(OTHER_WORK)4"/>
      <sheetName val="CABLE_DATA4"/>
      <sheetName val="PRESSURE_GAUGE4"/>
      <sheetName val="SHUTDOWN_VALVE4"/>
      <sheetName val="97_사업추정(WEKI)4"/>
      <sheetName val="Engrg_Est4"/>
      <sheetName val="PTrating_all4"/>
      <sheetName val="_견적서4"/>
      <sheetName val="Pipe_ID4"/>
      <sheetName val="Summary_Sheets4"/>
      <sheetName val="_갑지4"/>
      <sheetName val="w't_table4"/>
      <sheetName val="S_N4"/>
      <sheetName val="소상_&quot;1&quot;4"/>
      <sheetName val="Substn,_Pdt_Trans,_Pack,_Other4"/>
      <sheetName val="_2"/>
      <sheetName val="CYP-O_F2"/>
      <sheetName val="Line_Details2"/>
      <sheetName val="Two_Phase2"/>
      <sheetName val="조도계산서_(도서)2"/>
      <sheetName val="Notes_for_BOQ2"/>
      <sheetName val="TN_IO_LIST2"/>
      <sheetName val="PAGE_3_GENERAL_DETAILS2"/>
      <sheetName val="유효성_검사2"/>
      <sheetName val="6PILE__(돌출)2"/>
      <sheetName val="CAL_2"/>
      <sheetName val="VESSELS_&amp;_COLUMNS"/>
      <sheetName val="I_O_Module"/>
      <sheetName val="4B_-_(1)_Materials"/>
      <sheetName val="VA_code"/>
      <sheetName val="EQUIP"/>
      <sheetName val="단면가정"/>
      <sheetName val="ABUT수량-A1"/>
      <sheetName val="Breakdown-1"/>
      <sheetName val="Add"/>
      <sheetName val="Equipment"/>
      <sheetName val="원가_BOM-SLV,LND"/>
      <sheetName val="Datasheet_for_STRAINER"/>
      <sheetName val="dr_&amp;_wd"/>
      <sheetName val="L V Separator"/>
      <sheetName val="Man-month_Chart_-_Overall"/>
      <sheetName val="MH(on_site)"/>
      <sheetName val="Cash2"/>
      <sheetName val="Z"/>
      <sheetName val="손익차9월2"/>
      <sheetName val="영업소실적"/>
      <sheetName val="data_dci"/>
      <sheetName val="data_mci"/>
      <sheetName val="9-1차이내역"/>
      <sheetName val="behind"/>
      <sheetName val="간접비(1)"/>
      <sheetName val="SS2"/>
      <sheetName val="수주현황2월"/>
      <sheetName val="인원계획"/>
      <sheetName val="General Data"/>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sheetData sheetId="682" refreshError="1"/>
      <sheetData sheetId="683"/>
      <sheetData sheetId="684"/>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Sheet1"/>
      <sheetName val="Sheet2"/>
      <sheetName val="Sheet3"/>
      <sheetName val="ELEC_DCI"/>
      <sheetName val="INST_DCI"/>
      <sheetName val="h-013211-2"/>
      <sheetName val="개시대사 (2)"/>
      <sheetName val="fdn_bm_pro"/>
    </sheetNames>
    <definedNames>
      <definedName name="_________________KT66"/>
      <definedName name="________________KT66"/>
      <definedName name="_______________KT66"/>
      <definedName name="______________KT66"/>
      <definedName name="_____________KT66"/>
      <definedName name="____________KT66"/>
      <definedName name="___________KT66"/>
      <definedName name="__________KT66"/>
      <definedName name="________KT66"/>
      <definedName name="_______KT66"/>
      <definedName name="______KT66"/>
      <definedName name="_____KT66"/>
      <definedName name="____KT66"/>
      <definedName name="___KT66"/>
      <definedName name="__KT66"/>
      <definedName name="_KT66"/>
      <definedName name="ClearSheet"/>
    </definedNames>
    <sheetDataSet>
      <sheetData sheetId="0"/>
      <sheetData sheetId="1"/>
      <sheetData sheetId="2" refreshError="1"/>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h-013211-2"/>
      <sheetName val="영업소실적"/>
      <sheetName val="개시대사 (2)"/>
    </sheetNames>
    <sheetDataSet>
      <sheetData sheetId="0" refreshError="1"/>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VER"/>
      <sheetName val="2.Contents"/>
      <sheetName val="Trench"/>
      <sheetName val="Duct Bank"/>
      <sheetName val="Small Foundation"/>
      <sheetName val="Lighting Pole"/>
      <sheetName val="Man Hole"/>
      <sheetName val="Anode Well &amp; Insert Plate"/>
      <sheetName val="Earthing Inspectio Pit"/>
      <sheetName val="Substation"/>
      <sheetName val="cable trench bm"/>
      <sheetName val="route marker"/>
      <sheetName val="EICS DB"/>
      <sheetName val="earthing material"/>
      <sheetName val="L V Separator"/>
      <sheetName val="h-01321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M"/>
      <sheetName val="DRUM"/>
      <sheetName val="표지"/>
      <sheetName val="EQUIPMENT"/>
      <sheetName val="HO ENG MH CAL"/>
      <sheetName val="공문"/>
      <sheetName val="고압수량(철거)"/>
      <sheetName val="DATA"/>
      <sheetName val="7.2세부 부하계산서"/>
      <sheetName val="MAN-Sch"/>
      <sheetName val="h-013211-2"/>
      <sheetName val="INPUT DATA"/>
      <sheetName val="CAT_5"/>
      <sheetName val="Eq. Mobilization"/>
      <sheetName val="INSTR"/>
      <sheetName val="Factor"/>
      <sheetName val=" 갑지"/>
      <sheetName val="#REF"/>
      <sheetName val="산근"/>
      <sheetName val="PRC_BDWN-95"/>
      <sheetName val="DHEQSUPT"/>
      <sheetName val="HO_ENG_MH_CAL"/>
      <sheetName val="7_2세부_부하계산서"/>
      <sheetName val="INPUT_DATA"/>
      <sheetName val="Condition"/>
      <sheetName val="BQMPALOC"/>
      <sheetName val="Price Detail"/>
      <sheetName val="내역서"/>
      <sheetName val="대비표"/>
      <sheetName val="jobhist"/>
      <sheetName val="COVER-P"/>
      <sheetName val="TDIBM1"/>
      <sheetName val="집계표(OPTION)"/>
      <sheetName val="UG_BOM"/>
      <sheetName val="EQ Total"/>
      <sheetName val="기계내역서"/>
      <sheetName val="목표세부명세"/>
      <sheetName val="Base_Data"/>
      <sheetName val="CIVIL BOQ"/>
      <sheetName val="RAW COST SUMMARY"/>
      <sheetName val="BLDG BOQ"/>
      <sheetName val="rate analyses"/>
      <sheetName val="PBS"/>
      <sheetName val="PRC-SUM"/>
      <sheetName val="costing_CV"/>
      <sheetName val="eq_data"/>
      <sheetName val="PUMP_SHT"/>
      <sheetName val="costing_ESDV"/>
      <sheetName val="costing_FE"/>
      <sheetName val="General_Data"/>
      <sheetName val="costing_Misc"/>
      <sheetName val="costing_MOV"/>
      <sheetName val="costing_Press"/>
      <sheetName val="3004-2"/>
      <sheetName val="_갑지1"/>
      <sheetName val="CAL"/>
      <sheetName val="운반"/>
      <sheetName val="ITB COST"/>
      <sheetName val="TABLE"/>
      <sheetName val="Settings"/>
      <sheetName val="DS Oil System"/>
      <sheetName val="Sheet1"/>
      <sheetName val="AOP Summary-2"/>
      <sheetName val="CABLE"/>
      <sheetName val="Total"/>
      <sheetName val="KP1590_E"/>
      <sheetName val="Eq__Mobilization"/>
      <sheetName val="HO_ENG_MH_CAL1"/>
      <sheetName val="INPUT_DATA1"/>
      <sheetName val="Eq__Mobilization1"/>
      <sheetName val="노임 단가"/>
      <sheetName val="DB@Acess"/>
      <sheetName val="Civil"/>
      <sheetName val="Al-Suwaidi"/>
      <sheetName val="footing"/>
      <sheetName val="7_2세부_부하계산서1"/>
      <sheetName val="LABCOST"/>
      <sheetName val="단가(자재)"/>
      <sheetName val="단가(노임)"/>
      <sheetName val="기초목록"/>
      <sheetName val="CASH"/>
      <sheetName val="PRO_DCI"/>
      <sheetName val="INST_DCI"/>
      <sheetName val="HVAC_DCI"/>
      <sheetName val="PIPE_DCI"/>
      <sheetName val="BLDG_DCI"/>
      <sheetName val="BLDG_MCI"/>
      <sheetName val="일위대가"/>
      <sheetName val="갑지"/>
      <sheetName val="Pjt Data"/>
      <sheetName val="PROCURE"/>
      <sheetName val="Proposal"/>
      <sheetName val="_갑지"/>
      <sheetName val="ITB_COST"/>
      <sheetName val="CIVIL_BOQ"/>
      <sheetName val="RAW_COST_SUMMARY"/>
      <sheetName val="BLDG_BOQ"/>
      <sheetName val="rate_analyses"/>
      <sheetName val="sum"/>
      <sheetName val="lookup"/>
      <sheetName val="부표총괄"/>
      <sheetName val="calc"/>
      <sheetName val="plan&amp;section of foundation"/>
      <sheetName val="pile bearing capa &amp; arrenge"/>
      <sheetName val="design load"/>
      <sheetName val="working load at the btm ft."/>
      <sheetName val="stability check"/>
      <sheetName val="design criteria"/>
      <sheetName val="Code"/>
      <sheetName val="PIPE도장"/>
      <sheetName val="2.배관"/>
      <sheetName val="수량증감대비표"/>
      <sheetName val="공사비증감"/>
      <sheetName val="B"/>
      <sheetName val="M 11"/>
      <sheetName val="PIPING"/>
      <sheetName val="insulation"/>
      <sheetName val="Sheet4"/>
      <sheetName val="PIPE"/>
      <sheetName val="수량산출1"/>
      <sheetName val="수량산출2"/>
      <sheetName val="수량산출3"/>
      <sheetName val="수량산출4"/>
      <sheetName val="TYPE-B 평균H"/>
      <sheetName val="PIPE (SG)-발수"/>
      <sheetName val="E45(SG)-발수"/>
      <sheetName val="E90(SG)-발수"/>
      <sheetName val="도"/>
      <sheetName val="BID"/>
      <sheetName val="D-623D"/>
      <sheetName val="Macro"/>
      <sheetName val="Taux"/>
      <sheetName val="F4-F7"/>
      <sheetName val="월별"/>
      <sheetName val="ANA&amp;DESIGN&amp;REINF ."/>
      <sheetName val="PRIMARY LOAD"/>
      <sheetName val="DIMENSION"/>
      <sheetName val="EXT.CHECK"/>
      <sheetName val="SUMMARY"/>
      <sheetName val="공사비예산서(토목분)"/>
      <sheetName val="집계표"/>
      <sheetName val="할증 "/>
      <sheetName val="내역"/>
      <sheetName val="DATA1"/>
      <sheetName val="OIL SYST DATA SHTS"/>
      <sheetName val="Compressors"/>
      <sheetName val="TTL"/>
      <sheetName val="Default"/>
      <sheetName val="원본"/>
      <sheetName val="뜃맟뭁돽띿맟?-BLDG"/>
      <sheetName val="Cash2"/>
      <sheetName val="Z"/>
      <sheetName val="cable-data"/>
      <sheetName val="금융비용"/>
      <sheetName val="Prioriry"/>
      <sheetName val="피벗테이블"/>
      <sheetName val="95삼성급(본사)"/>
      <sheetName val="trf(36%)"/>
      <sheetName val="공사비 분석표"/>
      <sheetName val="MEXICO-C"/>
      <sheetName val="FitOutConfCentre"/>
      <sheetName val="기준"/>
      <sheetName val="연돌일위집계"/>
      <sheetName val="금액내역서"/>
      <sheetName val="전기공사"/>
      <sheetName val="Food court "/>
      <sheetName val="무시"/>
      <sheetName val="상반기손익차2총괄"/>
      <sheetName val="9-1차이내역"/>
      <sheetName val="97 사업추정(WEKI)"/>
      <sheetName val="손익차9월2"/>
      <sheetName val="회사99"/>
      <sheetName val="주관사업"/>
      <sheetName val="A"/>
      <sheetName val="노원열병합  건축공사기성내역서"/>
      <sheetName val="K"/>
      <sheetName val="BACK DATA"/>
      <sheetName val="영업소실적"/>
      <sheetName val="IT-BAT"/>
      <sheetName val="TOEC"/>
      <sheetName val="을지"/>
      <sheetName val="세금자료"/>
      <sheetName val="사업부배부A"/>
      <sheetName val="직원동원계획"/>
      <sheetName val="인원계획"/>
      <sheetName val="요약배부"/>
      <sheetName val="수입"/>
      <sheetName val="WBS"/>
      <sheetName val="Inst_Type"/>
      <sheetName val="Loop Type"/>
      <sheetName val="인사자료총집계"/>
      <sheetName val="MAN-STD"/>
      <sheetName val="간접비 총괄표"/>
      <sheetName val="parts-V2"/>
      <sheetName val="REINF."/>
      <sheetName val="SKETCH"/>
      <sheetName val="BOQ"/>
      <sheetName val="LENTH"/>
      <sheetName val="Resource table"/>
      <sheetName val="L V Separator"/>
      <sheetName val="Import"/>
      <sheetName val="Invoice (Summary)"/>
      <sheetName val="Invoice (IBL)"/>
      <sheetName val="Invoice (OBL)"/>
      <sheetName val="HO_ENG_MH_CAL2"/>
      <sheetName val="7_2세부_부하계산서2"/>
      <sheetName val="INPUT_DATA2"/>
      <sheetName val="_갑지2"/>
      <sheetName val="EQ_Total"/>
      <sheetName val="CIVIL_BOQ1"/>
      <sheetName val="RAW_COST_SUMMARY1"/>
      <sheetName val="BLDG_BOQ1"/>
      <sheetName val="rate_analyses1"/>
      <sheetName val="Price_Detail"/>
      <sheetName val="DS_Oil_System"/>
      <sheetName val="ITB_COST1"/>
      <sheetName val="노임_단가"/>
      <sheetName val="AOP_Summary-2"/>
      <sheetName val="Pjt_Data"/>
      <sheetName val="plan&amp;section_of_foundation"/>
      <sheetName val="pile_bearing_capa_&amp;_arrenge"/>
      <sheetName val="design_load"/>
      <sheetName val="working_load_at_the_btm_ft_"/>
      <sheetName val="stability_check"/>
      <sheetName val="design_criteria"/>
      <sheetName val="2_배관"/>
      <sheetName val="SG"/>
      <sheetName val="[TDIBM1.X೺_x0000_ഈ_x0000__x0000__x0000__x0000__x0000_G_MH_CAL"/>
      <sheetName val="말뚝지지력산정"/>
      <sheetName val="실행(1)"/>
      <sheetName val="Overall Status"/>
      <sheetName val="wagerate"/>
      <sheetName val="ENG_prog"/>
      <sheetName val="Resource summary"/>
      <sheetName val="bdown"/>
      <sheetName val="CostDB"/>
      <sheetName val="실행자재"/>
      <sheetName val="Resource"/>
      <sheetName val="Break Down"/>
      <sheetName val="BQ"/>
      <sheetName val="3.Breakdown Direct Instrument"/>
      <sheetName val="Inside building Summary"/>
      <sheetName val="HO_ENG_MH_CAL3"/>
      <sheetName val="INPUT_DATA3"/>
      <sheetName val="7_2세부_부하계산서3"/>
      <sheetName val="Eq__Mobilization2"/>
      <sheetName val="_갑지3"/>
      <sheetName val="EQ_Total1"/>
      <sheetName val="CIVIL_BOQ2"/>
      <sheetName val="RAW_COST_SUMMARY2"/>
      <sheetName val="BLDG_BOQ2"/>
      <sheetName val="rate_analyses2"/>
      <sheetName val="Price_Detail1"/>
      <sheetName val="ITB_COST2"/>
      <sheetName val="DS_Oil_System1"/>
      <sheetName val="노임_단가1"/>
      <sheetName val="AOP_Summary-21"/>
      <sheetName val="plan&amp;section_of_foundation1"/>
      <sheetName val="pile_bearing_capa_&amp;_arrenge1"/>
      <sheetName val="design_load1"/>
      <sheetName val="working_load_at_the_btm_ft_1"/>
      <sheetName val="stability_check1"/>
      <sheetName val="design_criteria1"/>
      <sheetName val="Pjt_Data1"/>
      <sheetName val="2_배관1"/>
      <sheetName val="M_11"/>
      <sheetName val="PIPE_(SG)-발수"/>
      <sheetName val="TYPE-B_평균H"/>
      <sheetName val="ANA&amp;DESIGN&amp;REINF__"/>
      <sheetName val="PRIMARY_LOAD"/>
      <sheetName val="EXT_CHECK"/>
      <sheetName val="할증_"/>
      <sheetName val="Invoice_(Summary)"/>
      <sheetName val="Invoice_(IBL)"/>
      <sheetName val="Invoice_(OBL)"/>
      <sheetName val="OIL_SYST_DATA_SHTS"/>
      <sheetName val="Loop_Type"/>
      <sheetName val="공사비_분석표"/>
      <sheetName val="Resource_table"/>
      <sheetName val="간접비_총괄표"/>
      <sheetName val="[TDIBM1_X೺ഈG_MH_CAL"/>
      <sheetName val="REINF_"/>
      <sheetName val="Food_court_"/>
      <sheetName val="97_사업추정(WEKI)"/>
      <sheetName val="노원열병합__건축공사기성내역서"/>
      <sheetName val="BACK_DATA"/>
      <sheetName val="Sheet6"/>
      <sheetName val="골조시행"/>
      <sheetName val="March"/>
      <sheetName val="LEGEND"/>
      <sheetName val="SYS_DB"/>
      <sheetName val="CB"/>
      <sheetName val="뜃맟뭁돽띿맟_-BLDG"/>
      <sheetName val="inter"/>
      <sheetName val="12CGOU"/>
      <sheetName val="Rate Analysis"/>
      <sheetName val="BQMP"/>
      <sheetName val="sheet"/>
      <sheetName val="DATE"/>
      <sheetName val="총괄내역서"/>
      <sheetName val="_TDIBM1.X೺"/>
      <sheetName val="Vertical FDN-12"/>
      <sheetName val="Pump FDN-1"/>
      <sheetName val="Horizontal Vessel FDN-1"/>
      <sheetName val="상세내역"/>
      <sheetName val="시간별적산"/>
      <sheetName val="NO.3.PTA PLANT SD COST"/>
      <sheetName val="비교원RD-S"/>
      <sheetName val="9904"/>
      <sheetName val="9908"/>
      <sheetName val="9912"/>
      <sheetName val="9902"/>
      <sheetName val="9901"/>
      <sheetName val="9907"/>
      <sheetName val="9906"/>
      <sheetName val="9903"/>
      <sheetName val="9905"/>
      <sheetName val="9911"/>
      <sheetName val="9910"/>
      <sheetName val="9909"/>
      <sheetName val="STA &amp; SEC"/>
      <sheetName val="GRACE"/>
      <sheetName val="major"/>
      <sheetName val="창고"/>
      <sheetName val="intake"/>
      <sheetName val="_TDIBM1_X೺ഈG_MH_CAL"/>
      <sheetName val="Sheet2"/>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단면가정"/>
      <sheetName val="설계조건"/>
      <sheetName val="_TDIBM1.X೺_x005f_x0000_ഈ_x005f_x0000__x0000"/>
      <sheetName val="DESIGN"/>
      <sheetName val="OCT.FDN"/>
      <sheetName val="Valve List (Priced)"/>
      <sheetName val="Tbl 1y 4"/>
      <sheetName val="BELİRLENECEKLER"/>
      <sheetName val="Database"/>
      <sheetName val="PROGRESS"/>
      <sheetName val="명판"/>
      <sheetName val="노임"/>
      <sheetName val="[TDIBM1.X೺"/>
      <sheetName val="CDU (성창) Master"/>
      <sheetName val="RFP002"/>
      <sheetName val=""/>
      <sheetName val="실행산출근거"/>
      <sheetName val="_TDIBM1.X೺_x0000_ഈ_x0000__x0000__x0000__x0000__x0000_G_MH_CAL"/>
      <sheetName val="Inert Balls"/>
      <sheetName val="Rates"/>
      <sheetName val="_TDIBM1.X೺_x005f_x005f_x005f_x0000_ഈ_x005f_x005f_"/>
      <sheetName val="토목주소"/>
      <sheetName val="프랜트면허"/>
      <sheetName val="투찰"/>
      <sheetName val="내"/>
      <sheetName val="[TDIBM1.X೺_x005f_x0000_ഈ_x005f_x0000__x0000"/>
      <sheetName val="activity"/>
      <sheetName val="Kredi Risk Alt_Grup"/>
      <sheetName val="Banka"/>
      <sheetName val="Tür"/>
      <sheetName val="Ana Gruplar"/>
      <sheetName val="ÖdemeTahsilat"/>
      <sheetName val="Kullanıcı"/>
      <sheetName val="Attachment 1"/>
      <sheetName val="Ex Rate"/>
      <sheetName val="B.5_Control Valve"/>
      <sheetName val="코드"/>
      <sheetName val="양수장(기계)"/>
      <sheetName val="자바라1"/>
      <sheetName val="해외 연수비용 계산-삭제"/>
      <sheetName val="해외 기술훈련비 (합계)"/>
      <sheetName val="cwork"/>
      <sheetName val="환율"/>
      <sheetName val="TC"/>
      <sheetName val="토목 Utility Schedule (2)"/>
      <sheetName val="A(Rev.3)"/>
      <sheetName val=" "/>
      <sheetName val="노임단가"/>
      <sheetName val="LOB"/>
      <sheetName val="단중"/>
      <sheetName val="품셈표"/>
      <sheetName val="주행"/>
      <sheetName val="choose"/>
      <sheetName val="Eng_Hrs (HO)"/>
      <sheetName val="노단"/>
      <sheetName val="36단가"/>
      <sheetName val="36수량"/>
      <sheetName val="HO_ENG_MH_CAL4"/>
      <sheetName val="7_2세부_부하계산서4"/>
      <sheetName val="INPUT_DATA4"/>
      <sheetName val="Eq__Mobilization3"/>
      <sheetName val="_갑지4"/>
      <sheetName val="EQ_Total2"/>
      <sheetName val="CIVIL_BOQ3"/>
      <sheetName val="RAW_COST_SUMMARY3"/>
      <sheetName val="BLDG_BOQ3"/>
      <sheetName val="rate_analyses3"/>
      <sheetName val="ITB_COST3"/>
      <sheetName val="DS_Oil_System2"/>
      <sheetName val="Price_Detail2"/>
      <sheetName val="노임_단가2"/>
      <sheetName val="Pjt_Data2"/>
      <sheetName val="M_111"/>
      <sheetName val="공사비_분석표1"/>
      <sheetName val="plan&amp;section_of_foundation2"/>
      <sheetName val="pile_bearing_capa_&amp;_arrenge2"/>
      <sheetName val="design_load2"/>
      <sheetName val="working_load_at_the_btm_ft_2"/>
      <sheetName val="stability_check2"/>
      <sheetName val="design_criteria2"/>
      <sheetName val="2_배관2"/>
      <sheetName val="AOP_Summary-22"/>
      <sheetName val="PIPE_(SG)-발수1"/>
      <sheetName val="TYPE-B_평균H1"/>
      <sheetName val="ANA&amp;DESIGN&amp;REINF__1"/>
      <sheetName val="PRIMARY_LOAD1"/>
      <sheetName val="EXT_CHECK1"/>
      <sheetName val="OIL_SYST_DATA_SHTS1"/>
      <sheetName val="할증_1"/>
      <sheetName val="Loop_Type1"/>
      <sheetName val="Resource_table1"/>
      <sheetName val="Invoice_(Summary)1"/>
      <sheetName val="Invoice_(IBL)1"/>
      <sheetName val="Invoice_(OBL)1"/>
      <sheetName val="간접비_총괄표1"/>
      <sheetName val="REINF_1"/>
      <sheetName val="Food_court_1"/>
      <sheetName val="97_사업추정(WEKI)1"/>
      <sheetName val="노원열병합__건축공사기성내역서1"/>
      <sheetName val="BACK_DATA1"/>
      <sheetName val="Rate_Analysis"/>
      <sheetName val="3_Breakdown_Direct_Instrument"/>
      <sheetName val="Inside_building_Summary"/>
      <sheetName val="L_V_Separator"/>
      <sheetName val="_TDIBM1_X೺"/>
      <sheetName val="Vertical_FDN-12"/>
      <sheetName val="Pump_FDN-1"/>
      <sheetName val="Horizontal_Vessel_FDN-1"/>
      <sheetName val="NO_3_PTA_PLANT_SD_COST"/>
      <sheetName val="STA_&amp;_SEC"/>
      <sheetName val="_TDIBM1_X೺_x005f_x0000_ഈ_x005f_x0000__x0000"/>
      <sheetName val="OCT_FDN"/>
      <sheetName val="Valve_List_(Priced)"/>
      <sheetName val="Flaer_Area"/>
      <sheetName val="Tbl_1y_4"/>
      <sheetName val="[TDIBM1_X೺"/>
      <sheetName val="Resource_summary"/>
      <sheetName val="Break_Down"/>
      <sheetName val="Inert_Balls"/>
      <sheetName val="CDU_(성창)_Master"/>
      <sheetName val="Overall_Status"/>
      <sheetName val="[TDIBM1_X೺_x005f_x0000_ഈ_x005f_x0000__x0000"/>
      <sheetName val="_TDIBM1_X೺_x005f_x005f_x005f_x0000_ഈ_x005f_x005f_"/>
      <sheetName val="Kredi_Risk_Alt_Grup"/>
      <sheetName val="Ana_Gruplar"/>
      <sheetName val="Attachment_1"/>
      <sheetName val="Ex_Rate"/>
      <sheetName val="B_5_Control_Valve"/>
      <sheetName val="해외_연수비용_계산-삭제"/>
      <sheetName val="해외_기술훈련비_(합계)"/>
      <sheetName val="A(Rev_3)"/>
      <sheetName val="Currency &amp; Other Cost"/>
      <sheetName val=" Sum"/>
      <sheetName val="Sheeta"/>
      <sheetName val="Units+rev"/>
      <sheetName val="HO_ENG_MH_CAL5"/>
      <sheetName val="7_2세부_부하계산서5"/>
      <sheetName val="INPUT_DATA5"/>
      <sheetName val="Eq__Mobilization4"/>
      <sheetName val="_갑지5"/>
      <sheetName val="EQ_Total3"/>
      <sheetName val="CIVIL_BOQ4"/>
      <sheetName val="RAW_COST_SUMMARY4"/>
      <sheetName val="BLDG_BOQ4"/>
      <sheetName val="rate_analyses4"/>
      <sheetName val="ITB_COST4"/>
      <sheetName val="DS_Oil_System3"/>
      <sheetName val="Price_Detail3"/>
      <sheetName val="노임_단가3"/>
      <sheetName val="Pjt_Data3"/>
      <sheetName val="M_112"/>
      <sheetName val="공사비_분석표2"/>
      <sheetName val="plan&amp;section_of_foundation3"/>
      <sheetName val="pile_bearing_capa_&amp;_arrenge3"/>
      <sheetName val="design_load3"/>
      <sheetName val="working_load_at_the_btm_ft_3"/>
      <sheetName val="stability_check3"/>
      <sheetName val="design_criteria3"/>
      <sheetName val="2_배관3"/>
      <sheetName val="AOP_Summary-23"/>
      <sheetName val="PIPE_(SG)-발수2"/>
      <sheetName val="TYPE-B_평균H2"/>
      <sheetName val="ANA&amp;DESIGN&amp;REINF__2"/>
      <sheetName val="PRIMARY_LOAD2"/>
      <sheetName val="EXT_CHECK2"/>
      <sheetName val="OIL_SYST_DATA_SHTS2"/>
      <sheetName val="할증_2"/>
      <sheetName val="Loop_Type2"/>
      <sheetName val="Resource_table2"/>
      <sheetName val="Invoice_(Summary)2"/>
      <sheetName val="Invoice_(IBL)2"/>
      <sheetName val="Invoice_(OBL)2"/>
      <sheetName val="간접비_총괄표2"/>
      <sheetName val="REINF_2"/>
      <sheetName val="Food_court_2"/>
      <sheetName val="97_사업추정(WEKI)2"/>
      <sheetName val="노원열병합__건축공사기성내역서2"/>
      <sheetName val="BACK_DATA2"/>
      <sheetName val="현장관리비 산출내역"/>
      <sheetName val="입찰안"/>
      <sheetName val="받은드럼"/>
      <sheetName val="드럼확인 배출"/>
      <sheetName val="pulling"/>
      <sheetName val="NGLE_PLANT"/>
      <sheetName val="Sheet3"/>
      <sheetName val="편집"/>
      <sheetName val="JB 명판인쇄"/>
      <sheetName val="IDB루트"/>
      <sheetName val="덕트뱅크 (2)"/>
      <sheetName val="플링 갑지"/>
      <sheetName val="JB 명판"/>
      <sheetName val="케이블마킹"/>
      <sheetName val="마킹표"/>
      <sheetName val="드럼 확인용"/>
      <sheetName val="철거산출근거"/>
      <sheetName val="자재단가"/>
      <sheetName val="48일위"/>
      <sheetName val="48수량"/>
      <sheetName val="22수량"/>
      <sheetName val="49일위"/>
      <sheetName val="22일위"/>
      <sheetName val="49수량"/>
      <sheetName val="spc 배관견적"/>
      <sheetName val="01 09 CODE"/>
      <sheetName val="_TDIBM1.X೺_x0000_ഈ_x0000__x0000"/>
      <sheetName val="_TDIBM1.X೺_x005f_x0000_ഈ_"/>
      <sheetName val="_TDIBM1.X೺_x005f_x005f_x0"/>
      <sheetName val="영업2"/>
      <sheetName val="영업3"/>
      <sheetName val="2-1-1) Zone &amp; Margin"/>
      <sheetName val="取费表"/>
      <sheetName val="合成単価作成表-BLDG"/>
      <sheetName val="BSPL"/>
      <sheetName val="[TDIBM1.X೺_x005f_x005f_x005f_x0000_ഈ_x005f_x005f_"/>
      <sheetName val="_TDIBM1.X೺_x005f_x005f_x005f_x005f_x005f_x005f_x0"/>
      <sheetName val="InstrumentType"/>
      <sheetName val="UnitNumber"/>
      <sheetName val="TypicalNo"/>
      <sheetName val="Misc"/>
      <sheetName val="SignalType"/>
      <sheetName val="IOType"/>
      <sheetName val="Qty"/>
      <sheetName val="Variable"/>
      <sheetName val="Status"/>
      <sheetName val="SystemType"/>
      <sheetName val="InstrumentLocation"/>
      <sheetName val="토공"/>
      <sheetName val="입찰내역 발주처 양식"/>
      <sheetName val="Instrument 구분 체계"/>
      <sheetName val="유림콘도"/>
      <sheetName val="CTEMCOST"/>
      <sheetName val="CAT.1"/>
      <sheetName val="Contents"/>
      <sheetName val="6PILE  (돌출)"/>
      <sheetName val="HX"/>
      <sheetName val="EE-PROP"/>
      <sheetName val="00-Summary Information-ABB"/>
      <sheetName val="списки"/>
      <sheetName val="Лист2"/>
      <sheetName val="Quotation"/>
      <sheetName val="TRNS-C1"/>
      <sheetName val="UNIT 3"/>
      <sheetName val="Plan Early Date"/>
      <sheetName val="견"/>
      <sheetName val="6"/>
      <sheetName val="X17-TOTAL"/>
      <sheetName val="LinerWt"/>
      <sheetName val="율적용"/>
      <sheetName val="SCH B"/>
      <sheetName val="RFP003A"/>
      <sheetName val="RFP003B"/>
      <sheetName val="RFP003C"/>
      <sheetName val="RFP003E"/>
      <sheetName val="RFP003F"/>
      <sheetName val="SW-TEO"/>
      <sheetName val="Table-Dont Delete"/>
      <sheetName val="SPT vs PHI"/>
      <sheetName val="J"/>
      <sheetName val="L"/>
      <sheetName val="_"/>
      <sheetName val="Currency_&amp;_Other_Cost"/>
      <sheetName val="_Sum"/>
      <sheetName val="PLAGCoct03"/>
      <sheetName val="表三甲"/>
      <sheetName val="토목_Utility_Schedule_(2)"/>
      <sheetName val="_TDIBM1.X೺_x0000_ഈ_"/>
      <sheetName val="_TDIBM1.X೺_x0"/>
      <sheetName val="[TDIBM1.X೺_x0000_ഈ_x0000__x0000"/>
      <sheetName val="HO_ENG_MH_CAL6"/>
      <sheetName val="7_2세부_부하계산서6"/>
      <sheetName val="INPUT_DATA6"/>
      <sheetName val="Eq__Mobilization5"/>
      <sheetName val="_갑지6"/>
      <sheetName val="EQ_Total4"/>
      <sheetName val="CIVIL_BOQ5"/>
      <sheetName val="RAW_COST_SUMMARY5"/>
      <sheetName val="BLDG_BOQ5"/>
      <sheetName val="rate_analyses5"/>
      <sheetName val="ITB_COST5"/>
      <sheetName val="Price_Detail4"/>
      <sheetName val="DS_Oil_System4"/>
      <sheetName val="노임_단가4"/>
      <sheetName val="plan&amp;section_of_foundation4"/>
      <sheetName val="pile_bearing_capa_&amp;_arrenge4"/>
      <sheetName val="design_load4"/>
      <sheetName val="working_load_at_the_btm_ft_4"/>
      <sheetName val="stability_check4"/>
      <sheetName val="design_criteria4"/>
      <sheetName val="2_배관4"/>
      <sheetName val="Pjt_Data4"/>
      <sheetName val="PIPE_(SG)-발수3"/>
      <sheetName val="AOP_Summary-24"/>
      <sheetName val="M_113"/>
      <sheetName val="TYPE-B_평균H3"/>
      <sheetName val="ANA&amp;DESIGN&amp;REINF__3"/>
      <sheetName val="PRIMARY_LOAD3"/>
      <sheetName val="EXT_CHECK3"/>
      <sheetName val="Invoice_(Summary)3"/>
      <sheetName val="Invoice_(IBL)3"/>
      <sheetName val="Invoice_(OBL)3"/>
      <sheetName val="할증_3"/>
      <sheetName val="OIL_SYST_DATA_SHTS3"/>
      <sheetName val="Loop_Type3"/>
      <sheetName val="공사비_분석표3"/>
      <sheetName val="Resource_table3"/>
      <sheetName val="간접비_총괄표3"/>
      <sheetName val="REINF_3"/>
      <sheetName val="Food_court_3"/>
      <sheetName val="97_사업추정(WEKI)3"/>
      <sheetName val="노원열병합__건축공사기성내역서3"/>
      <sheetName val="BACK_DATA3"/>
      <sheetName val="3_Breakdown_Direct_Instrument1"/>
      <sheetName val="Rate_Analysis1"/>
      <sheetName val="Inside_building_Summary1"/>
      <sheetName val="L_V_Separator1"/>
      <sheetName val="Vertical_FDN-121"/>
      <sheetName val="Pump_FDN-11"/>
      <sheetName val="Horizontal_Vessel_FDN-11"/>
      <sheetName val="Valve_List_(Priced)1"/>
      <sheetName val="_TDIBM1_X೺1"/>
      <sheetName val="NO_3_PTA_PLANT_SD_COST1"/>
      <sheetName val="STA_&amp;_SEC1"/>
      <sheetName val="_TDIBM1_X೺_x005f_x0000_ഈ_x005f_x0000__x0001"/>
      <sheetName val="OCT_FDN1"/>
      <sheetName val="Flaer_Area1"/>
      <sheetName val="Tbl_1y_41"/>
      <sheetName val="[TDIBM1_X೺1"/>
      <sheetName val="Resource_summary1"/>
      <sheetName val="Break_Down1"/>
      <sheetName val="Inert_Balls1"/>
      <sheetName val="CDU_(성창)_Master1"/>
      <sheetName val="Overall_Status1"/>
      <sheetName val="[TDIBM1_X೺_x005f_x0000_ഈ_x005f_x0000__x0001"/>
      <sheetName val="Kredi_Risk_Alt_Grup1"/>
      <sheetName val="Ana_Gruplar1"/>
      <sheetName val="Attachment_11"/>
      <sheetName val="Ex_Rate1"/>
      <sheetName val="B_5_Control_Valve1"/>
      <sheetName val="_TDIBM1_X೺_x005f_x005f_x005f_x0000_ഈ_x005f1"/>
      <sheetName val="해외_연수비용_계산-삭제1"/>
      <sheetName val="해외_기술훈련비_(합계)1"/>
      <sheetName val="spc_배관견적"/>
      <sheetName val="A(Rev_3)1"/>
      <sheetName val="Eng_Hrs_(HO)"/>
      <sheetName val="현장관리비_산출내역"/>
      <sheetName val="입찰내역_발주처_양식"/>
      <sheetName val="드럼확인_배출"/>
      <sheetName val="JB_명판인쇄"/>
      <sheetName val="덕트뱅크_(2)"/>
      <sheetName val="플링_갑지"/>
      <sheetName val="JB_명판"/>
      <sheetName val="드럼_확인용"/>
      <sheetName val="01_09_CODE"/>
      <sheetName val="BREAKDOWN(철거설치)"/>
      <sheetName val="DIAINCH"/>
      <sheetName val="Utility and Fire flange"/>
      <sheetName val="세부내역"/>
      <sheetName val="RFP003D"/>
      <sheetName val="Consumables"/>
      <sheetName val="Benchmark"/>
      <sheetName val="개시대사 (2)"/>
      <sheetName val="PRO_A"/>
      <sheetName val="ELEC_MCI"/>
      <sheetName val="Main"/>
      <sheetName val="INST_MCI"/>
      <sheetName val="MECH_MCI"/>
      <sheetName val="PRO"/>
      <sheetName val="DPT"/>
      <sheetName val="PERLITE"/>
      <sheetName val="MTO"/>
      <sheetName val="INNER TANK"/>
      <sheetName val="Codes,..."/>
      <sheetName val="DATA_DRAWING"/>
      <sheetName val="INNER TANK SEISMIC"/>
      <sheetName val="MATERIALS"/>
      <sheetName val="IPE"/>
      <sheetName val="GENERALITY"/>
      <sheetName val="Data_Sheet"/>
      <sheetName val="2"/>
      <sheetName val="표준작업"/>
      <sheetName val="직종"/>
      <sheetName val="sh4"/>
      <sheetName val="공사비SUM"/>
      <sheetName val="_TDIBM1_X೺_x0000_ഈ_x0000__x0000"/>
      <sheetName val="[TDIBM1_X೺_x0000_ഈ_x0000__x0000"/>
      <sheetName val="_TDIBM1_X೺_x005f_x0000_ഈ_"/>
      <sheetName val="_TDIBM1_X೺_x0000_ഈ_"/>
      <sheetName val="3.공통공사대비"/>
      <sheetName val="건축내역"/>
      <sheetName val="토목내역"/>
      <sheetName val="bldg list"/>
      <sheetName val="ESCON"/>
      <sheetName val="2. 전력간선공사"/>
      <sheetName val="data2"/>
      <sheetName val="실행"/>
      <sheetName val="IDC-Sum"/>
      <sheetName val=" WWT 설비 Remote IO 추가건 (2013.02."/>
      <sheetName val="Cost"/>
      <sheetName val="e-GAP Summary"/>
      <sheetName val="MTP"/>
      <sheetName val="MTP1"/>
      <sheetName val="당진1,2호기전선관설치및접지4차공사내역서-을지"/>
      <sheetName val="Chiet tinh dz35"/>
      <sheetName val="간접비내역-1"/>
      <sheetName val="Submission - Price Summary"/>
      <sheetName val="Subb-Manpower &amp; Equiptment Plan"/>
      <sheetName val="Price Summary REF"/>
      <sheetName val="Working"/>
      <sheetName val="Optional Working"/>
      <sheetName val="Indirect"/>
      <sheetName val="Equip Cost"/>
      <sheetName val="E &amp; I Rates"/>
      <sheetName val="E&amp;I CC"/>
      <sheetName val="PPT Input"/>
      <sheetName val="Org Chart"/>
      <sheetName val="Indirect MP"/>
      <sheetName val="Direct MP"/>
      <sheetName val="Manpower cost"/>
      <sheetName val="Schedule"/>
      <sheetName val="Scafolding"/>
      <sheetName val="차액보증"/>
      <sheetName val="GeneralFeedDevices_Labels"/>
      <sheetName val="CalmingSection_Labels"/>
      <sheetName val="Welcome"/>
      <sheetName val="C_d"/>
      <sheetName val="Addendum No.1 BILL 2"/>
      <sheetName val="CAL1"/>
      <sheetName val="XZLC003_PART1"/>
      <sheetName val="[TDIBM1.X೺?ഈ?????G_MH_CAL"/>
      <sheetName val="_TDIBM1.X೺?ഈ?????G_MH_CAL"/>
      <sheetName val="General"/>
      <sheetName val="Menus"/>
      <sheetName val="Sheet9"/>
      <sheetName val="발전기"/>
      <sheetName val="간선"/>
      <sheetName val="Sheet10"/>
      <sheetName val="전기자료"/>
      <sheetName val="Sheet14"/>
      <sheetName val="Sheet13"/>
      <sheetName val="WEMS export"/>
      <sheetName val="Currency Rate"/>
      <sheetName val="SILICATE"/>
      <sheetName val="입출재고현황 (2)"/>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갑지 15회"/>
      <sheetName val="표지 15회"/>
      <sheetName val="19.09"/>
      <sheetName val="1206-GMP-Data"/>
      <sheetName val="생산현황"/>
      <sheetName val="F-TOTAL"/>
      <sheetName val="실행철강하도"/>
      <sheetName val="결과"/>
      <sheetName val="Capa Ref GMP"/>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검사조서"/>
      <sheetName val="제경비비교"/>
      <sheetName val="공사대금지급요청서"/>
      <sheetName val="지분별 기성금"/>
      <sheetName val="개산급(서울)"/>
      <sheetName val="시기"/>
      <sheetName val="분석"/>
      <sheetName val="총내"/>
      <sheetName val="총원"/>
      <sheetName val="건원"/>
      <sheetName val="건집"/>
      <sheetName val="건내"/>
      <sheetName val="타설현황"/>
      <sheetName val="레미콘"/>
      <sheetName val="방수"/>
      <sheetName val="견출"/>
      <sheetName val="갱폼,AL폼"/>
      <sheetName val="단열재(골조)"/>
      <sheetName val="단열재(수장)"/>
      <sheetName val="경량벽체"/>
      <sheetName val="천정"/>
      <sheetName val="조적"/>
      <sheetName val="도배 및 수장"/>
      <sheetName val="미장"/>
      <sheetName val="타일"/>
      <sheetName val="도장"/>
      <sheetName val="유리"/>
      <sheetName val="PL창호"/>
      <sheetName val="지붕"/>
      <sheetName val="발코니난간대"/>
      <sheetName val="목창호"/>
      <sheetName val="석공사"/>
      <sheetName val="금속창호"/>
      <sheetName val="시스템가구"/>
      <sheetName val="일반가구"/>
      <sheetName val="엘리베이터"/>
      <sheetName val="토원"/>
      <sheetName val="토집"/>
      <sheetName val="토내"/>
      <sheetName val="개산급적용내역"/>
      <sheetName val="방침결정내역"/>
      <sheetName val="오수집계표"/>
      <sheetName val="우수집계표"/>
      <sheetName val="자재반입현황"/>
      <sheetName val="기원"/>
      <sheetName val="기집"/>
      <sheetName val="기내"/>
      <sheetName val="증빙서류"/>
      <sheetName val="타설현황 및 이중관(03월)"/>
      <sheetName val="급수급탕,난방 입상배관(03월)"/>
      <sheetName val="급수급탕,난방 입상배관 보온(03월)"/>
      <sheetName val="상트랩설치(03월)"/>
      <sheetName val="급수 입상배관 열선(03월)"/>
      <sheetName val="양변기설치(03월)"/>
      <sheetName val="세면기설치(03월)"/>
      <sheetName val="샤워수전설치(03월)"/>
      <sheetName val="싱크수전설치(03월)"/>
      <sheetName val="절수기설치(03월)"/>
      <sheetName val="슬라이딩형수납장(03월)"/>
      <sheetName val="슬라이딩형수납장 도어(03월)"/>
      <sheetName val="가스쿡탑(03월)"/>
      <sheetName val="레인지후드(03월)"/>
      <sheetName val="악세사리설치(03월)"/>
      <sheetName val="냉온수계량기,감압밸브설치(03월)"/>
      <sheetName val="열량계,유량제어밸브설치(03월)"/>
      <sheetName val="세대발코니 입상(03월)"/>
      <sheetName val="화장실 배기휀설치(03월)"/>
      <sheetName val="욕조설치(03월)"/>
      <sheetName val="건식AD(03월)"/>
      <sheetName val="후렉시블(03월)"/>
      <sheetName val="화장실 방화댐퍼(03월)"/>
      <sheetName val="주방 방화댐퍼(03월)"/>
      <sheetName val="오배수입상(03월)"/>
      <sheetName val="주방 정풍량 댐퍼 및 덕트 설치(03월)"/>
      <sheetName val="세대오배수배관(03월)"/>
      <sheetName val="난방분배기(03월)"/>
      <sheetName val=" 난방코일(03월)"/>
      <sheetName val="동지하주철(03월)"/>
      <sheetName val="동지하위생(03월)"/>
      <sheetName val="세대SP(03월)"/>
      <sheetName val="소방입상(03월)"/>
      <sheetName val="소방입상보온(03월)"/>
      <sheetName val="소방입상배관 열선(03월)"/>
      <sheetName val="폴리우레탄호스(03월)"/>
      <sheetName val="제연댐퍼(03월)"/>
      <sheetName val="세대환기(03월)"/>
      <sheetName val="세대환기디퓨져(03월)"/>
      <sheetName val="세대환기후렉시블(03월)"/>
      <sheetName val="세대환기장비(03월)"/>
      <sheetName val="상.하부후레임(03월)"/>
      <sheetName val="건식PD 전면판(03월)"/>
      <sheetName val="D 5243-ARAMCO"/>
      <sheetName val="D-4801 OXY"/>
      <sheetName val="October 2020"/>
      <sheetName val="Malaysia incl. RET"/>
      <sheetName val="품셈"/>
      <sheetName val="RefG"/>
      <sheetName val="IRR sponsor"/>
      <sheetName val="CIM"/>
      <sheetName val="0000"/>
      <sheetName val="EQ USED (CORRECTED)"/>
      <sheetName val="Curves"/>
      <sheetName val="Note"/>
      <sheetName val="Heads"/>
      <sheetName val="Dbase"/>
      <sheetName val="Tables"/>
      <sheetName val="Page 2"/>
      <sheetName val="BW"/>
      <sheetName val="#¡REF"/>
      <sheetName val="4. Fuel Gas Consumption(201029)"/>
      <sheetName val="Conduit_Size선정"/>
      <sheetName val="tifico"/>
      <sheetName val="PE-F-33 Rev 02 Basic Proj.Info"/>
      <sheetName val="PE-F-31 Rev 01 Coversheet"/>
      <sheetName val="Div2"/>
      <sheetName val="HO_ENG_MH_CAL7"/>
      <sheetName val="INPUT_DATA7"/>
      <sheetName val="Eq__Mobilization6"/>
      <sheetName val="7_2세부_부하계산서7"/>
      <sheetName val="_갑지7"/>
      <sheetName val="ITB_COST6"/>
      <sheetName val="EQ_Total5"/>
      <sheetName val="CIVIL_BOQ6"/>
      <sheetName val="RAW_COST_SUMMARY6"/>
      <sheetName val="BLDG_BOQ6"/>
      <sheetName val="rate_analyses6"/>
      <sheetName val="Price_Detail5"/>
      <sheetName val="DS_Oil_System5"/>
      <sheetName val="Pjt_Data5"/>
      <sheetName val="노임_단가5"/>
      <sheetName val="plan&amp;section_of_foundation5"/>
      <sheetName val="pile_bearing_capa_&amp;_arrenge5"/>
      <sheetName val="design_load5"/>
      <sheetName val="working_load_at_the_btm_ft_5"/>
      <sheetName val="stability_check5"/>
      <sheetName val="design_criteria5"/>
      <sheetName val="M_114"/>
      <sheetName val="AOP_Summary-25"/>
      <sheetName val="2_배관5"/>
      <sheetName val="TYPE-B_평균H4"/>
      <sheetName val="ANA&amp;DESIGN&amp;REINF__4"/>
      <sheetName val="PRIMARY_LOAD4"/>
      <sheetName val="EXT_CHECK4"/>
      <sheetName val="PIPE_(SG)-발수4"/>
      <sheetName val="OIL_SYST_DATA_SHTS4"/>
      <sheetName val="할증_4"/>
      <sheetName val="Loop_Type4"/>
      <sheetName val="공사비_분석표4"/>
      <sheetName val="간접비_총괄표4"/>
      <sheetName val="Resource_table4"/>
      <sheetName val="Invoice_(Summary)4"/>
      <sheetName val="Invoice_(IBL)4"/>
      <sheetName val="Invoice_(OBL)4"/>
      <sheetName val="REINF_4"/>
      <sheetName val="Food_court_4"/>
      <sheetName val="97_사업추정(WEKI)4"/>
      <sheetName val="노원열병합__건축공사기성내역서4"/>
      <sheetName val="BACK_DATA4"/>
      <sheetName val="3_Breakdown_Direct_Instrument2"/>
      <sheetName val="Inside_building_Summary2"/>
      <sheetName val="Rate_Analysis2"/>
      <sheetName val="L_V_Separator2"/>
      <sheetName val="Kredi_Risk_Alt_Grup2"/>
      <sheetName val="Ana_Gruplar2"/>
      <sheetName val="Attachment_12"/>
      <sheetName val="Ex_Rate2"/>
      <sheetName val="[TDIBM1_X೺_x005f_x0000_ഈ_x005f_x0000__x0002"/>
      <sheetName val="Vertical_FDN-122"/>
      <sheetName val="Pump_FDN-12"/>
      <sheetName val="Horizontal_Vessel_FDN-12"/>
      <sheetName val="B_5_Control_Valve2"/>
      <sheetName val="Overall_Status2"/>
      <sheetName val="Resource_summary2"/>
      <sheetName val="Break_Down2"/>
      <sheetName val="_TDIBM1_X೺2"/>
      <sheetName val="NO_3_PTA_PLANT_SD_COST2"/>
      <sheetName val="STA_&amp;_SEC2"/>
      <sheetName val="_TDIBM1_X೺_x005f_x0000_ഈ_x005f_x0000__x0002"/>
      <sheetName val="OCT_FDN2"/>
      <sheetName val="Flaer_Area2"/>
      <sheetName val="Valve_List_(Priced)2"/>
      <sheetName val="Tbl_1y_42"/>
      <sheetName val="Inert_Balls2"/>
      <sheetName val="[TDIBM1_X೺2"/>
      <sheetName val="CDU_(성창)_Master2"/>
      <sheetName val="_TDIBM1_X೺_x005f_x005f_x005f_x0000_ഈ_x005f2"/>
      <sheetName val="_1"/>
      <sheetName val="A(Rev_3)2"/>
      <sheetName val="해외_연수비용_계산-삭제2"/>
      <sheetName val="해외_기술훈련비_(합계)2"/>
      <sheetName val="토목_Utility_Schedule_(2)1"/>
      <sheetName val="Currency_&amp;_Other_Cost1"/>
      <sheetName val="_Sum1"/>
      <sheetName val="드럼확인_배출1"/>
      <sheetName val="JB_명판인쇄1"/>
      <sheetName val="덕트뱅크_(2)1"/>
      <sheetName val="플링_갑지1"/>
      <sheetName val="JB_명판1"/>
      <sheetName val="드럼_확인용1"/>
      <sheetName val="spc_배관견적1"/>
      <sheetName val="Eng_Hrs_(HO)1"/>
      <sheetName val="01_09_CODE1"/>
      <sheetName val="현장관리비_산출내역1"/>
      <sheetName val="[TDIBM1_X೺_x005f_x005f_x005f_x0000_ഈ_x005f_x005f_"/>
      <sheetName val="_TDIBM1_X೺_x005f_x005f_x005f_x005f_x005f_x005f_x0"/>
      <sheetName val="_TDIBM1_X೺ഈ_x00001"/>
      <sheetName val="_TDIBM1_X೺_x005f_x0000_ഈ_1"/>
      <sheetName val="_TDIBM1_X೺_x005f_x005f_x0"/>
      <sheetName val="6PILE__(돌출)"/>
      <sheetName val="00-Summary_Information-ABB"/>
      <sheetName val="Table-Dont_Delete"/>
      <sheetName val="Instrument_구분_체계"/>
      <sheetName val="CAT_1"/>
      <sheetName val="입찰내역_발주처_양식1"/>
      <sheetName val="SPT_vs_PHI"/>
      <sheetName val="SCH_B"/>
      <sheetName val="UNIT_3"/>
      <sheetName val="Plan_Early_Date"/>
      <sheetName val="2-1-1)_Zone_&amp;_Margin"/>
      <sheetName val="Utility_and_Fire_flange"/>
      <sheetName val="INNER_TANK"/>
      <sheetName val="Codes,___"/>
      <sheetName val="INNER_TANK_SEISMIC"/>
      <sheetName val="[TDIBM1_X೺ഈ_x00001"/>
      <sheetName val="_TDIBM1_X೺ഈ_1"/>
      <sheetName val="3_공통공사대비"/>
      <sheetName val="개시대사_(2)"/>
      <sheetName val="2__전력간선공사"/>
      <sheetName val="_WWT_설비_Remote_IO_추가건_(2013_02_"/>
      <sheetName val="bldg_list"/>
      <sheetName val="[TDIBM1_X೺?ഈ?????G_MH_CAL"/>
      <sheetName val="_TDIBM1_X೺?ഈ?????G_MH_CAL"/>
      <sheetName val="_TDIBM1_X೺_x0"/>
      <sheetName val="ACT_ALL IN"/>
      <sheetName val="PkRp"/>
      <sheetName val="Kuantitas &amp; Harga"/>
      <sheetName val="struktur tdk dipakai"/>
      <sheetName val="AC"/>
      <sheetName val="PAD TR보호대기초"/>
      <sheetName val="가로등기초"/>
      <sheetName val="HANDHOLE(2)"/>
      <sheetName val="공정집계_국별"/>
      <sheetName val="결과조달"/>
      <sheetName val="경상비"/>
      <sheetName val="WORK"/>
      <sheetName val="일반공사"/>
      <sheetName val="공사개요"/>
      <sheetName val="도급내역"/>
      <sheetName val="연결임시"/>
      <sheetName val="구조물공"/>
      <sheetName val="투찰추정"/>
      <sheetName val="부대공"/>
      <sheetName val="도급금액"/>
      <sheetName val="재노경"/>
      <sheetName val="배수공"/>
      <sheetName val="일위대가(1)"/>
      <sheetName val="원가계산서"/>
      <sheetName val="총공사내역서"/>
      <sheetName val="도급"/>
      <sheetName val="포장공"/>
      <sheetName val="CT Thang Mo"/>
      <sheetName val="CT  PL"/>
      <sheetName val="Equipment Cost"/>
      <sheetName val="VS P-Q"/>
      <sheetName val="EQUIP LIST"/>
      <sheetName val="VAT TU DIEN"/>
      <sheetName val="ANAL.BOW"/>
      <sheetName val="갑지(추정)"/>
      <sheetName val="progress(RM)"/>
      <sheetName val="manhour"/>
      <sheetName val="exp"/>
      <sheetName val="2.주요계수총괄"/>
      <sheetName val="CEQ_Master"/>
      <sheetName val="Man_Master"/>
      <sheetName val="GAEYO"/>
      <sheetName val="具志川H社"/>
      <sheetName val="Tag Equip Value"/>
      <sheetName val="기성내역"/>
      <sheetName val="TOWER 10TON"/>
      <sheetName val="TOWER 12TON"/>
      <sheetName val="Lookup Lists"/>
      <sheetName val="Lists"/>
      <sheetName val="9. 콘덴서"/>
      <sheetName val="Register"/>
      <sheetName val="Rekap"/>
      <sheetName val="Analisa"/>
      <sheetName val="Perm. Test"/>
      <sheetName val="Anal-SNI"/>
      <sheetName val="DAF.TUL"/>
      <sheetName val="Material"/>
      <sheetName val="daf-3(OK)"/>
      <sheetName val="daf-7(OK)"/>
      <sheetName val="21"/>
      <sheetName val="351BQMCN"/>
      <sheetName val="Bahan "/>
      <sheetName val="Upah"/>
      <sheetName val="Isolasi Luar Dalam"/>
      <sheetName val="Isolasi Luar"/>
      <sheetName val="Cash Flow bulanan"/>
      <sheetName val="rap rinci"/>
      <sheetName val="BQ-E20-02(Rp)"/>
      <sheetName val="HARGA ALAT"/>
      <sheetName val="DAF-4"/>
      <sheetName val="DAF-5"/>
      <sheetName val="iTEM hARSAT"/>
      <sheetName val="Bahan"/>
      <sheetName val="BUL"/>
      <sheetName val="H.Satuan"/>
      <sheetName val="PPC"/>
      <sheetName val="HB "/>
      <sheetName val="Galian 1"/>
      <sheetName val="Bill No 6 Koord &amp; Attendance"/>
      <sheetName val="DAF-1"/>
      <sheetName val="Public Area"/>
      <sheetName val="DAFTAR HARGA"/>
      <sheetName val="Informasi"/>
      <sheetName val="hsat-SD"/>
      <sheetName val="an-satuan"/>
      <sheetName val="Rekap-SD"/>
      <sheetName val="RAB"/>
      <sheetName val="AC포장수량"/>
      <sheetName val="_TDIBM1.X೺_ഈ_____G_MH_CAL"/>
      <sheetName val="[TDIBM1.X೺_x005f_x0000_ഈ_"/>
      <sheetName val="[TDIBM1.X೺_x0000_ഈ_"/>
      <sheetName val="Chiet_tinh_dz35"/>
      <sheetName val="e-GAP_Summary"/>
      <sheetName val="WEMS_export"/>
      <sheetName val="Currency_Rate"/>
      <sheetName val="Submission_-_Price_Summary"/>
      <sheetName val="Subb-Manpower_&amp;_Equiptment_Plan"/>
      <sheetName val="Price_Summary_REF"/>
      <sheetName val="Optional_Working"/>
      <sheetName val="Equip_Cost"/>
      <sheetName val="E_&amp;_I_Rates"/>
      <sheetName val="E&amp;I_CC"/>
      <sheetName val="PPT_Input"/>
      <sheetName val="Org_Chart"/>
      <sheetName val="Indirect_MP"/>
      <sheetName val="Direct_MP"/>
      <sheetName val="Manpower_cost"/>
      <sheetName val="입출재고현황_(2)"/>
      <sheetName val="Capa_Ref_GMP"/>
      <sheetName val="갑지_1회"/>
      <sheetName val="18_07"/>
      <sheetName val="갑지_2회"/>
      <sheetName val="18_08"/>
      <sheetName val="갑지_3회"/>
      <sheetName val="18_09"/>
      <sheetName val="갑지_4회"/>
      <sheetName val="18_10"/>
      <sheetName val="갑지_5회"/>
      <sheetName val="18_11"/>
      <sheetName val="갑지_6회"/>
      <sheetName val="18_12"/>
      <sheetName val="갑지_7회"/>
      <sheetName val="19_01"/>
      <sheetName val="갑지_8회"/>
      <sheetName val="19_02"/>
      <sheetName val="갑지_9회"/>
      <sheetName val="표지_9회"/>
      <sheetName val="19_03"/>
      <sheetName val="갑지_10회"/>
      <sheetName val="표지_10회"/>
      <sheetName val="19_04"/>
      <sheetName val="갑지_11회"/>
      <sheetName val="표지_11회"/>
      <sheetName val="19_05"/>
      <sheetName val="갑지_12회"/>
      <sheetName val="표지_12회"/>
      <sheetName val="19_06"/>
      <sheetName val="갑지_13회"/>
      <sheetName val="표지_13회"/>
      <sheetName val="19_07"/>
      <sheetName val="갑지_14회"/>
      <sheetName val="표지_14회"/>
      <sheetName val="19_08"/>
      <sheetName val="갑지_15회"/>
      <sheetName val="표지_15회"/>
      <sheetName val="19_09"/>
      <sheetName val="FILTER"/>
      <sheetName val="Sheet 3"/>
      <sheetName val="LMB Forecast plan"/>
      <sheetName val="_TDIBM1_X೺_x005f_x005f_x01"/>
      <sheetName val="D_5243-ARAMCO"/>
      <sheetName val="D-4801_OXY"/>
      <sheetName val="Параметры_i"/>
      <sheetName val="2.4.3. Civil WP3"/>
      <sheetName val="2.4.8. Building WP2"/>
      <sheetName val="2.4.9. Building WP3"/>
      <sheetName val="PLSt 03  "/>
      <sheetName val="П 7 курс аванса"/>
      <sheetName val="project"/>
      <sheetName val="Insulation_Utl_Off"/>
      <sheetName val="Note_Piping"/>
      <sheetName val="BQMPALOC1000"/>
      <sheetName val="Land Dev't. Ph-1"/>
      <sheetName val="4-Lane bridge"/>
      <sheetName val="Hac.Lots"/>
      <sheetName val="Res.Lots"/>
      <sheetName val="Spine Road"/>
      <sheetName val="derive"/>
      <sheetName val="DESBASTE"/>
      <sheetName val="2.223M_due to adj profit"/>
      <sheetName val="GAE8'97"/>
      <sheetName val="MATERIAL'S PRICE"/>
      <sheetName val="Power &amp; control cables"/>
      <sheetName val="Earthing Cables "/>
      <sheetName val="Material Standards"/>
      <sheetName val="Material Cost Standards"/>
      <sheetName val="11 BQMPALOC"/>
      <sheetName val="전기공사 (삼전)"/>
      <sheetName val="점수표"/>
      <sheetName val="지출결의서_0701"/>
      <sheetName val="상세내역_0701"/>
      <sheetName val="목록"/>
      <sheetName val="PNTEXT"/>
      <sheetName val="잡철물"/>
      <sheetName val="단가표 "/>
      <sheetName val="가격조사서"/>
      <sheetName val="ABAD"/>
      <sheetName val="A1기성"/>
      <sheetName val="BGT"/>
      <sheetName val="CHAVOSH"/>
      <sheetName val="ZAR SAZ"/>
      <sheetName val="견적대비표"/>
      <sheetName val="전기"/>
      <sheetName val="약품공급2"/>
      <sheetName val="서∼군(2)"/>
      <sheetName val="조건표"/>
      <sheetName val="장비"/>
      <sheetName val="대비"/>
      <sheetName val="간선계산"/>
      <sheetName val="1단계"/>
      <sheetName val="수량집계표"/>
      <sheetName val="MOTOR"/>
      <sheetName val="노무"/>
      <sheetName val="자압"/>
      <sheetName val="5.전사투자계획종함안"/>
      <sheetName val="자재"/>
      <sheetName val="2000전체분"/>
      <sheetName val="실행대비"/>
      <sheetName val="청천내"/>
      <sheetName val="요율"/>
      <sheetName val="2000년1차"/>
      <sheetName val="노무비"/>
      <sheetName val="산근1"/>
      <sheetName val="★도급내역"/>
      <sheetName val="설계"/>
      <sheetName val="저"/>
      <sheetName val="45,46"/>
      <sheetName val="지급자재"/>
      <sheetName val="단가"/>
      <sheetName val="관리,공감"/>
      <sheetName val="입찰"/>
      <sheetName val="토목"/>
      <sheetName val="자재대"/>
      <sheetName val="200"/>
      <sheetName val="현경"/>
      <sheetName val="소야공정계획표"/>
      <sheetName val="REFER.SHEET"/>
      <sheetName val="공통비총괄표"/>
      <sheetName val="01"/>
      <sheetName val="HO_ENG_MH_CAL8"/>
      <sheetName val="7_2세부_부하계산서8"/>
      <sheetName val="INPUT_DATA8"/>
      <sheetName val="Eq__Mobilization7"/>
      <sheetName val="_갑지8"/>
      <sheetName val="EQ_Total6"/>
      <sheetName val="CIVIL_BOQ7"/>
      <sheetName val="RAW_COST_SUMMARY7"/>
      <sheetName val="BLDG_BOQ7"/>
      <sheetName val="rate_analyses7"/>
      <sheetName val="ITB_COST7"/>
      <sheetName val="Price_Detail6"/>
      <sheetName val="DS_Oil_System6"/>
      <sheetName val="노임_단가6"/>
      <sheetName val="plan&amp;section_of_foundation6"/>
      <sheetName val="pile_bearing_capa_&amp;_arrenge6"/>
      <sheetName val="design_load6"/>
      <sheetName val="working_load_at_the_btm_ft_6"/>
      <sheetName val="stability_check6"/>
      <sheetName val="design_criteria6"/>
      <sheetName val="2_배관6"/>
      <sheetName val="Pjt_Data6"/>
      <sheetName val="AOP_Summary-26"/>
      <sheetName val="M_115"/>
      <sheetName val="PIPE_(SG)-발수5"/>
      <sheetName val="TYPE-B_평균H5"/>
      <sheetName val="ANA&amp;DESIGN&amp;REINF__5"/>
      <sheetName val="PRIMARY_LOAD5"/>
      <sheetName val="EXT_CHECK5"/>
      <sheetName val="OIL_SYST_DATA_SHTS5"/>
      <sheetName val="할증_5"/>
      <sheetName val="Loop_Type5"/>
      <sheetName val="Resource_table5"/>
      <sheetName val="공사비_분석표5"/>
      <sheetName val="Invoice_(Summary)5"/>
      <sheetName val="Invoice_(IBL)5"/>
      <sheetName val="Invoice_(OBL)5"/>
      <sheetName val="간접비_총괄표5"/>
      <sheetName val="REINF_5"/>
      <sheetName val="Food_court_5"/>
      <sheetName val="97_사업추정(WEKI)5"/>
      <sheetName val="노원열병합__건축공사기성내역서5"/>
      <sheetName val="BACK_DATA5"/>
      <sheetName val="3_Breakdown_Direct_Instrument3"/>
      <sheetName val="Inside_building_Summary3"/>
      <sheetName val="_TDIBM1_X೺3"/>
      <sheetName val="Rate_Analysis3"/>
      <sheetName val="L_V_Separator3"/>
      <sheetName val="Vertical_FDN-123"/>
      <sheetName val="Pump_FDN-13"/>
      <sheetName val="Horizontal_Vessel_FDN-13"/>
      <sheetName val="NO_3_PTA_PLANT_SD_COST3"/>
      <sheetName val="STA_&amp;_SEC3"/>
      <sheetName val="Valve_List_(Priced)3"/>
      <sheetName val="_TDIBM1_X೺_x005f_x0000_ഈ_x005f_x0000__x0003"/>
      <sheetName val="OCT_FDN3"/>
      <sheetName val="Flaer_Area3"/>
      <sheetName val="Tbl_1y_43"/>
      <sheetName val="[TDIBM1_X೺3"/>
      <sheetName val="Resource_summary3"/>
      <sheetName val="Break_Down3"/>
      <sheetName val="Inert_Balls3"/>
      <sheetName val="CDU_(성창)_Master3"/>
      <sheetName val="Kredi_Risk_Alt_Grup3"/>
      <sheetName val="Ana_Gruplar3"/>
      <sheetName val="Attachment_13"/>
      <sheetName val="Ex_Rate3"/>
      <sheetName val="B_5_Control_Valve3"/>
      <sheetName val="Overall_Status3"/>
      <sheetName val="[TDIBM1_X೺_x005f_x0000_ഈ_x005f_x0000__x0003"/>
      <sheetName val="_TDIBM1_X೺_x005f_x005f_x005f_x0000_ഈ_x005f3"/>
      <sheetName val="해외_연수비용_계산-삭제3"/>
      <sheetName val="해외_기술훈련비_(합계)3"/>
      <sheetName val="A(Rev_3)3"/>
      <sheetName val="_2"/>
      <sheetName val="Eng_Hrs_(HO)2"/>
      <sheetName val="현장관리비_산출내역2"/>
      <sheetName val="토목_Utility_Schedule_(2)2"/>
      <sheetName val="Currency_&amp;_Other_Cost2"/>
      <sheetName val="_Sum2"/>
      <sheetName val="spc_배관견적2"/>
      <sheetName val="입찰내역_발주처_양식2"/>
      <sheetName val="드럼확인_배출2"/>
      <sheetName val="JB_명판인쇄2"/>
      <sheetName val="덕트뱅크_(2)2"/>
      <sheetName val="플링_갑지2"/>
      <sheetName val="JB_명판2"/>
      <sheetName val="드럼_확인용2"/>
      <sheetName val="01_09_CODE2"/>
      <sheetName val="6PILE__(돌출)1"/>
      <sheetName val="Table-Dont_Delete1"/>
      <sheetName val="_TDIBM1_X೺_x005f_x0000_ഈ_2"/>
      <sheetName val="00-Summary_Information-ABB1"/>
      <sheetName val="SPT_vs_PHI1"/>
      <sheetName val="Instrument_구분_체계1"/>
      <sheetName val="[TDIBM1_X೺_x005f_x005f_x005f_x0000_ഈ_x005f1"/>
      <sheetName val="_TDIBM1_X೺_x005f_x005f_x005f_x005f_x005f_x005f_x1"/>
      <sheetName val="SCH_B1"/>
      <sheetName val="CAT_11"/>
      <sheetName val="UNIT_31"/>
      <sheetName val="3_공통공사대비1"/>
      <sheetName val="개시대사_(2)1"/>
      <sheetName val="2-1-1)_Zone_&amp;_Margin1"/>
      <sheetName val="INNER_TANK1"/>
      <sheetName val="Codes,___1"/>
      <sheetName val="INNER_TANK_SEISMIC1"/>
      <sheetName val="Plan_Early_Date1"/>
      <sheetName val="Utility_and_Fire_flange1"/>
      <sheetName val="2__전력간선공사1"/>
      <sheetName val="_WWT_설비_Remote_IO_추가건_(2013_021"/>
      <sheetName val="e-GAP_Summary1"/>
      <sheetName val="bldg_list1"/>
      <sheetName val="갑지_1회1"/>
      <sheetName val="18_071"/>
      <sheetName val="갑지_2회1"/>
      <sheetName val="18_081"/>
      <sheetName val="갑지_3회1"/>
      <sheetName val="18_091"/>
      <sheetName val="갑지_4회1"/>
      <sheetName val="18_101"/>
      <sheetName val="갑지_5회1"/>
      <sheetName val="18_111"/>
      <sheetName val="갑지_6회1"/>
      <sheetName val="18_121"/>
      <sheetName val="갑지_7회1"/>
      <sheetName val="19_011"/>
      <sheetName val="갑지_8회1"/>
      <sheetName val="19_021"/>
      <sheetName val="갑지_9회1"/>
      <sheetName val="표지_9회1"/>
      <sheetName val="19_031"/>
      <sheetName val="갑지_10회1"/>
      <sheetName val="표지_10회1"/>
      <sheetName val="19_041"/>
      <sheetName val="갑지_11회1"/>
      <sheetName val="표지_11회1"/>
      <sheetName val="19_051"/>
      <sheetName val="갑지_12회1"/>
      <sheetName val="표지_12회1"/>
      <sheetName val="19_061"/>
      <sheetName val="갑지_13회1"/>
      <sheetName val="표지_13회1"/>
      <sheetName val="19_071"/>
      <sheetName val="갑지_14회1"/>
      <sheetName val="표지_14회1"/>
      <sheetName val="19_081"/>
      <sheetName val="갑지_15회1"/>
      <sheetName val="표지_15회1"/>
      <sheetName val="19_091"/>
      <sheetName val="_TDIBM1_X೺_x01"/>
      <sheetName val="[TDIBM1_X೺?ഈ?????G_MH_CAL1"/>
      <sheetName val="_TDIBM1_X೺?ഈ?????G_MH_CAL1"/>
      <sheetName val="Chiet_tinh_dz351"/>
      <sheetName val="Submission_-_Price_Summary1"/>
      <sheetName val="Subb-Manpower_&amp;_Equiptment_Pla1"/>
      <sheetName val="Price_Summary_REF1"/>
      <sheetName val="Optional_Working1"/>
      <sheetName val="Equip_Cost1"/>
      <sheetName val="E_&amp;_I_Rates1"/>
      <sheetName val="E&amp;I_CC1"/>
      <sheetName val="PPT_Input1"/>
      <sheetName val="Org_Chart1"/>
      <sheetName val="Indirect_MP1"/>
      <sheetName val="Direct_MP1"/>
      <sheetName val="Manpower_cost1"/>
      <sheetName val="지분별_기성금1"/>
      <sheetName val="도배_및_수장1"/>
      <sheetName val="타설현황_및_이중관(03월)1"/>
      <sheetName val="급수급탕,난방_입상배관(03월)1"/>
      <sheetName val="급수급탕,난방_입상배관_보온(03월)1"/>
      <sheetName val="급수_입상배관_열선(03월)1"/>
      <sheetName val="슬라이딩형수납장_도어(03월)1"/>
      <sheetName val="세대발코니_입상(03월)1"/>
      <sheetName val="화장실_배기휀설치(03월)1"/>
      <sheetName val="화장실_방화댐퍼(03월)1"/>
      <sheetName val="주방_방화댐퍼(03월)1"/>
      <sheetName val="주방_정풍량_댐퍼_및_덕트_설치(03월)1"/>
      <sheetName val="_난방코일(03월)1"/>
      <sheetName val="소방입상배관_열선(03월)1"/>
      <sheetName val="상_하부후레임(03월)1"/>
      <sheetName val="건식PD_전면판(03월)1"/>
      <sheetName val="WEMS_export1"/>
      <sheetName val="Currency_Rate1"/>
      <sheetName val="Addendum_No_1_BILL_2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Capa_Ref_GMP1"/>
      <sheetName val="입출재고현황_(2)1"/>
      <sheetName val="D_5243-ARAMCO1"/>
      <sheetName val="D-4801_OXY1"/>
      <sheetName val="October_20201"/>
      <sheetName val="4__Fuel_Gas_Consumption(2010291"/>
      <sheetName val="PAD_TR보호대기초1"/>
      <sheetName val="ANAL_BOW1"/>
      <sheetName val="EQUIP_LIST1"/>
      <sheetName val="VAT_TU_DIEN1"/>
      <sheetName val="지분별_기성금"/>
      <sheetName val="도배_및_수장"/>
      <sheetName val="타설현황_및_이중관(03월)"/>
      <sheetName val="급수급탕,난방_입상배관(03월)"/>
      <sheetName val="급수급탕,난방_입상배관_보온(03월)"/>
      <sheetName val="급수_입상배관_열선(03월)"/>
      <sheetName val="슬라이딩형수납장_도어(03월)"/>
      <sheetName val="세대발코니_입상(03월)"/>
      <sheetName val="화장실_배기휀설치(03월)"/>
      <sheetName val="화장실_방화댐퍼(03월)"/>
      <sheetName val="주방_방화댐퍼(03월)"/>
      <sheetName val="주방_정풍량_댐퍼_및_덕트_설치(03월)"/>
      <sheetName val="_난방코일(03월)"/>
      <sheetName val="소방입상배관_열선(03월)"/>
      <sheetName val="상_하부후레임(03월)"/>
      <sheetName val="건식PD_전면판(03월)"/>
      <sheetName val="Addendum_No_1_BILL_2"/>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October_2020"/>
      <sheetName val="4__Fuel_Gas_Consumption(201029)"/>
      <sheetName val="PAD_TR보호대기초"/>
      <sheetName val="ANAL_BOW"/>
      <sheetName val="EQUIP_LIST"/>
      <sheetName val="VAT_TU_DIEN"/>
      <sheetName val="SOS_PLC &amp; Panel"/>
      <sheetName val="ABBR"/>
      <sheetName val="PB10 REF 2009"/>
      <sheetName val="LIFTMETHOD"/>
      <sheetName val="WELLCOSTCATALOG"/>
      <sheetName val="BSD (2)"/>
      <sheetName val="para"/>
      <sheetName val="제출계산서"/>
      <sheetName val="Template for itemized price"/>
      <sheetName val="Annex-RC-V"/>
      <sheetName val="본지점중"/>
      <sheetName val="정산표2"/>
      <sheetName val="Form MF - 2"/>
      <sheetName val="INS"/>
      <sheetName val="Activity(new)"/>
      <sheetName val="Backup"/>
      <sheetName val="Sheet5"/>
      <sheetName val="现况"/>
      <sheetName val="정의"/>
      <sheetName val="______aproject_skec_TDI_BM_TD_2"/>
      <sheetName val="_갑_x0000__x0000_"/>
      <sheetName val="_갑Ć_x0000_"/>
      <sheetName val="검토용"/>
      <sheetName val="기본DATA"/>
      <sheetName val="EPC For Verification"/>
      <sheetName val="Export2"/>
      <sheetName val="SY"/>
      <sheetName val="용수원단위"/>
      <sheetName val="Regend"/>
      <sheetName val="[TDIBM1_X೺_x005f_x0000_ഈ_"/>
      <sheetName val="[TDIBM1_X೺ഈ_"/>
      <sheetName val="Precios"/>
      <sheetName val="GIAVLIEU"/>
      <sheetName val="Memb Schd"/>
      <sheetName val="schbhn"/>
      <sheetName val="SEX"/>
      <sheetName val="harsat"/>
      <sheetName val="_TDIBM1.X೺_x005f_x005f_x005f_x0000_ഈ_"/>
      <sheetName val="Daf 1"/>
      <sheetName val="S"/>
      <sheetName val="찍기"/>
      <sheetName val="F1.4"/>
      <sheetName val="UMUM"/>
      <sheetName val="DAF-2"/>
      <sheetName val="Koordinat"/>
      <sheetName val="Cashflow Analysis"/>
      <sheetName val="D-3109"/>
      <sheetName val="7. Comparison of Asphalt etc"/>
      <sheetName val="AnalisaSIPIL RIIL"/>
      <sheetName val="ocean voyage"/>
      <sheetName val="CH"/>
      <sheetName val="DHSD"/>
      <sheetName val="div 8"/>
      <sheetName val="div 9"/>
      <sheetName val="Div 10"/>
      <sheetName val="Volume"/>
      <sheetName val="PCV"/>
      <sheetName val="harga lama"/>
      <sheetName val="FA-LISTING"/>
      <sheetName val="정부노임단가"/>
      <sheetName val="공사비 내역 (가)"/>
      <sheetName val="계정과목 예시"/>
      <sheetName val="PID DATA"/>
      <sheetName val="뜃맟뭁돽띿맟-BLDG"/>
      <sheetName val="TDIBM1.X೺_x0000_ഈ_x0000__x0000__x0000__x0000__x0000_G_MH_CAL"/>
      <sheetName val="TDIBM1_X೺ഈG_MH_CAL"/>
      <sheetName val="TDIBM1.X೺_x005f_x0000_ഈ_x005f_x0000__x0000"/>
      <sheetName val="TDIBM1.X೺"/>
      <sheetName val="TDIBM1_X೺"/>
      <sheetName val="TDIBM1_X೺_x005f_x0000_ഈ_x005f_x0000__x0000"/>
      <sheetName val="TDIBM1.X೺_x005f_x005f_x005f_x0000_ഈ_x005f_x005f_"/>
      <sheetName val="TDIBM1_X೺1"/>
      <sheetName val="TDIBM1_X೺_x005f_x0000_ഈ_x005f_x0000__x0001"/>
      <sheetName val="TDIBM1.X೺_x0000_ഈ_x0000__x0000"/>
      <sheetName val="TDIBM1_X೺_x0000_ഈ_x0000__x0000"/>
      <sheetName val="갑지1"/>
      <sheetName val="INPUT__x0000__x0000__x0005__x0000_壀"/>
      <sheetName val="Sheet_3"/>
      <sheetName val="steel-gr"/>
      <sheetName val="valve data"/>
      <sheetName val="부산제일극장"/>
      <sheetName val="ENE-CAL"/>
      <sheetName val="설계내역서"/>
      <sheetName val="SAN"/>
      <sheetName val="TDIBM1.X೺_x005f_x0000_ഈ_"/>
      <sheetName val="TDIBM1.X೺_x0000_ഈ_"/>
      <sheetName val="TDIBM1_X೺2"/>
      <sheetName val="TDIBM1_X೺_x005f_x0000_ഈ_x005f_x0000__x0002"/>
      <sheetName val="TDIBM1_X೺_x005f_x005f_x005f_x0000_ഈ_x005f_x005f_"/>
      <sheetName val="TDIBM1_X೺ഈ_x00001"/>
      <sheetName val="TDIBM1_X೺_x005f_x0000_ഈ_"/>
      <sheetName val="TDIBM1_X೺ഈ_"/>
      <sheetName val="INPUT_"/>
      <sheetName val="cable data1"/>
      <sheetName val="budget summary"/>
      <sheetName val="1910"/>
      <sheetName val="CCTR wise cost BDGT VS ACT"/>
      <sheetName val="MACHIN HR"/>
      <sheetName val="DMPOWER"/>
      <sheetName val="Lvl1 V1"/>
      <sheetName val="RING WALL"/>
      <sheetName val="HO_ENG_MH_CAL9"/>
      <sheetName val="INPUT_DATA9"/>
      <sheetName val="7_2세부_부하계산서9"/>
      <sheetName val="Eq__Mobilization8"/>
      <sheetName val="_갑지9"/>
      <sheetName val="EQ_Total7"/>
      <sheetName val="CIVIL_BOQ8"/>
      <sheetName val="RAW_COST_SUMMARY8"/>
      <sheetName val="BLDG_BOQ8"/>
      <sheetName val="rate_analyses8"/>
      <sheetName val="DS_Oil_System7"/>
      <sheetName val="ITB_COST8"/>
      <sheetName val="Price_Detail7"/>
      <sheetName val="노임_단가7"/>
      <sheetName val="Pjt_Data7"/>
      <sheetName val="plan&amp;section_of_foundation7"/>
      <sheetName val="pile_bearing_capa_&amp;_arrenge7"/>
      <sheetName val="design_load7"/>
      <sheetName val="working_load_at_the_btm_ft_7"/>
      <sheetName val="stability_check7"/>
      <sheetName val="design_criteria7"/>
      <sheetName val="AOP_Summary-27"/>
      <sheetName val="2_배관7"/>
      <sheetName val="M_116"/>
      <sheetName val="PIPE_(SG)-발수6"/>
      <sheetName val="TYPE-B_평균H6"/>
      <sheetName val="ANA&amp;DESIGN&amp;REINF__6"/>
      <sheetName val="PRIMARY_LOAD6"/>
      <sheetName val="EXT_CHECK6"/>
      <sheetName val="할증_6"/>
      <sheetName val="Invoice_(Summary)6"/>
      <sheetName val="Invoice_(IBL)6"/>
      <sheetName val="Invoice_(OBL)6"/>
      <sheetName val="OIL_SYST_DATA_SHTS6"/>
      <sheetName val="Loop_Type6"/>
      <sheetName val="Resource_table6"/>
      <sheetName val="공사비_분석표6"/>
      <sheetName val="간접비_총괄표6"/>
      <sheetName val="REINF_6"/>
      <sheetName val="Food_court_6"/>
      <sheetName val="97_사업추정(WEKI)6"/>
      <sheetName val="노원열병합__건축공사기성내역서6"/>
      <sheetName val="BACK_DATA6"/>
      <sheetName val="3_Breakdown_Direct_Instrument4"/>
      <sheetName val="Inside_building_Summary4"/>
      <sheetName val="Rate_Analysis4"/>
      <sheetName val="L_V_Separator4"/>
      <sheetName val="_TDIBM1_X೺4"/>
      <sheetName val="Vertical_FDN-124"/>
      <sheetName val="Pump_FDN-14"/>
      <sheetName val="Horizontal_Vessel_FDN-14"/>
      <sheetName val="NO_3_PTA_PLANT_SD_COST4"/>
      <sheetName val="STA_&amp;_SEC4"/>
      <sheetName val="_TDIBM1_X೺_x005f_x0000_ഈ_x005f_x0000__x0004"/>
      <sheetName val="OCT_FDN4"/>
      <sheetName val="Valve_List_(Priced)4"/>
      <sheetName val="Resource_summary4"/>
      <sheetName val="Break_Down4"/>
      <sheetName val="Tbl_1y_44"/>
      <sheetName val="Flaer_Area4"/>
      <sheetName val="[TDIBM1_X೺4"/>
      <sheetName val="Inert_Balls4"/>
      <sheetName val="CDU_(성창)_Master4"/>
      <sheetName val="Overall_Status4"/>
      <sheetName val="[TDIBM1_X೺_x005f_x0000_ഈ_x005f_x0000__x0004"/>
      <sheetName val="Kredi_Risk_Alt_Grup4"/>
      <sheetName val="Ana_Gruplar4"/>
      <sheetName val="Attachment_14"/>
      <sheetName val="Ex_Rate4"/>
      <sheetName val="B_5_Control_Valve4"/>
      <sheetName val="_TDIBM1_X೺_x005f_x005f_x005f_x0000_ഈ_x005f4"/>
      <sheetName val="해외_연수비용_계산-삭제4"/>
      <sheetName val="해외_기술훈련비_(합계)4"/>
      <sheetName val="A(Rev_3)4"/>
      <sheetName val="_3"/>
      <sheetName val="Currency_&amp;_Other_Cost3"/>
      <sheetName val="_Sum3"/>
      <sheetName val="Eng_Hrs_(HO)3"/>
      <sheetName val="현장관리비_산출내역3"/>
      <sheetName val="토목_Utility_Schedule_(2)3"/>
      <sheetName val="spc_배관견적3"/>
      <sheetName val="입찰내역_발주처_양식3"/>
      <sheetName val="드럼확인_배출3"/>
      <sheetName val="JB_명판인쇄3"/>
      <sheetName val="덕트뱅크_(2)3"/>
      <sheetName val="플링_갑지3"/>
      <sheetName val="JB_명판3"/>
      <sheetName val="드럼_확인용3"/>
      <sheetName val="01_09_CODE3"/>
      <sheetName val="SCH_B2"/>
      <sheetName val="Instrument_구분_체계2"/>
      <sheetName val="CAT_12"/>
      <sheetName val="6PILE__(돌출)2"/>
      <sheetName val="[TDIBM1_X೺_x005f_x005f_x005f_x0000_ഈ_x005f2"/>
      <sheetName val="_TDIBM1_X೺_x005f_x005f_x005f_x005f_x005f_x005f_x2"/>
      <sheetName val="UNIT_32"/>
      <sheetName val="_TDIBM1_X೺_x005f_x0000_ഈ_3"/>
      <sheetName val="Table-Dont_Delete2"/>
      <sheetName val="_TDIBM1_X೺_x005f_x005f_x02"/>
      <sheetName val="00-Summary_Information-ABB2"/>
      <sheetName val="SPT_vs_PHI2"/>
      <sheetName val="3_공통공사대비2"/>
      <sheetName val="개시대사_(2)2"/>
      <sheetName val="2-1-1)_Zone_&amp;_Margin2"/>
      <sheetName val="갑지_1회2"/>
      <sheetName val="18_072"/>
      <sheetName val="갑지_2회2"/>
      <sheetName val="18_082"/>
      <sheetName val="갑지_3회2"/>
      <sheetName val="18_092"/>
      <sheetName val="갑지_4회2"/>
      <sheetName val="18_102"/>
      <sheetName val="갑지_5회2"/>
      <sheetName val="18_112"/>
      <sheetName val="갑지_6회2"/>
      <sheetName val="18_122"/>
      <sheetName val="갑지_7회2"/>
      <sheetName val="19_012"/>
      <sheetName val="갑지_8회2"/>
      <sheetName val="19_022"/>
      <sheetName val="갑지_9회2"/>
      <sheetName val="표지_9회2"/>
      <sheetName val="19_032"/>
      <sheetName val="갑지_10회2"/>
      <sheetName val="표지_10회2"/>
      <sheetName val="19_042"/>
      <sheetName val="갑지_11회2"/>
      <sheetName val="표지_11회2"/>
      <sheetName val="19_052"/>
      <sheetName val="갑지_12회2"/>
      <sheetName val="표지_12회2"/>
      <sheetName val="19_062"/>
      <sheetName val="갑지_13회2"/>
      <sheetName val="표지_13회2"/>
      <sheetName val="19_072"/>
      <sheetName val="갑지_14회2"/>
      <sheetName val="표지_14회2"/>
      <sheetName val="19_082"/>
      <sheetName val="갑지_15회2"/>
      <sheetName val="표지_15회2"/>
      <sheetName val="19_092"/>
      <sheetName val="INNER_TANK2"/>
      <sheetName val="Codes,___2"/>
      <sheetName val="INNER_TANK_SEISMIC2"/>
      <sheetName val="Plan_Early_Date2"/>
      <sheetName val="Utility_and_Fire_flange2"/>
      <sheetName val="2__전력간선공사2"/>
      <sheetName val="_TDIBM1_X೺_x02"/>
      <sheetName val="bldg_list2"/>
      <sheetName val="[TDIBM1_X೺?ഈ?????G_MH_CAL2"/>
      <sheetName val="_TDIBM1_X೺?ഈ?????G_MH_CAL2"/>
      <sheetName val="_WWT_설비_Remote_IO_추가건_(2013_022"/>
      <sheetName val="e-GAP_Summary2"/>
      <sheetName val="Chiet_tinh_dz352"/>
      <sheetName val="Submission_-_Price_Summary2"/>
      <sheetName val="Subb-Manpower_&amp;_Equiptment_Pla2"/>
      <sheetName val="Price_Summary_REF2"/>
      <sheetName val="Optional_Working2"/>
      <sheetName val="Equip_Cost2"/>
      <sheetName val="E_&amp;_I_Rates2"/>
      <sheetName val="E&amp;I_CC2"/>
      <sheetName val="PPT_Input2"/>
      <sheetName val="Org_Chart2"/>
      <sheetName val="Indirect_MP2"/>
      <sheetName val="Direct_MP2"/>
      <sheetName val="Manpower_cost2"/>
      <sheetName val="지분별_기성금2"/>
      <sheetName val="도배_및_수장2"/>
      <sheetName val="타설현황_및_이중관(03월)2"/>
      <sheetName val="급수급탕,난방_입상배관(03월)2"/>
      <sheetName val="급수급탕,난방_입상배관_보온(03월)2"/>
      <sheetName val="급수_입상배관_열선(03월)2"/>
      <sheetName val="슬라이딩형수납장_도어(03월)2"/>
      <sheetName val="세대발코니_입상(03월)2"/>
      <sheetName val="화장실_배기휀설치(03월)2"/>
      <sheetName val="화장실_방화댐퍼(03월)2"/>
      <sheetName val="주방_방화댐퍼(03월)2"/>
      <sheetName val="주방_정풍량_댐퍼_및_덕트_설치(03월)2"/>
      <sheetName val="_난방코일(03월)2"/>
      <sheetName val="소방입상배관_열선(03월)2"/>
      <sheetName val="상_하부후레임(03월)2"/>
      <sheetName val="건식PD_전면판(03월)2"/>
      <sheetName val="WEMS_export2"/>
      <sheetName val="Currency_Rate2"/>
      <sheetName val="Addendum_No_1_BILL_2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입출재고현황_(2)2"/>
      <sheetName val="Capa_Ref_GMP2"/>
      <sheetName val="D_5243-ARAMCO2"/>
      <sheetName val="D-4801_OXY2"/>
      <sheetName val="EQUIP_LIST2"/>
      <sheetName val="VAT_TU_DIEN2"/>
      <sheetName val="PAD_TR보호대기초2"/>
      <sheetName val="October_20202"/>
      <sheetName val="4__Fuel_Gas_Consumption(2010292"/>
      <sheetName val="Perm__Test"/>
      <sheetName val="DAF_TUL"/>
      <sheetName val="Bahan_"/>
      <sheetName val="Isolasi_Luar_Dalam"/>
      <sheetName val="Isolasi_Luar"/>
      <sheetName val="Cash_Flow_bulanan"/>
      <sheetName val="rap_rinci"/>
      <sheetName val="HARGA_ALAT"/>
      <sheetName val="iTEM_hARSAT"/>
      <sheetName val="H_Satuan"/>
      <sheetName val="HB_"/>
      <sheetName val="Galian_1"/>
      <sheetName val="Bill_No_6_Koord_&amp;_Attendance"/>
      <sheetName val="Public_Area"/>
      <sheetName val="DAFTAR_HARGA"/>
      <sheetName val="IRR_sponsor"/>
      <sheetName val="EQ_USED_(CORRECTED)"/>
      <sheetName val="Page_2"/>
      <sheetName val="Malaysia_incl__RET"/>
      <sheetName val="Tag_Equip_Value"/>
      <sheetName val="ANAL_BOW2"/>
      <sheetName val="CT_Thang_Mo"/>
      <sheetName val="CT__PL"/>
      <sheetName val="Equipment_Cost"/>
      <sheetName val="VS_P-Q"/>
      <sheetName val="PE-F-33_Rev_02_Basic_Proj_Info"/>
      <sheetName val="PE-F-31_Rev_01_Coversheet"/>
      <sheetName val="TOWER_10TON"/>
      <sheetName val="TOWER_12TON"/>
      <sheetName val="ACT_ALL_IN"/>
      <sheetName val="Kuantitas_&amp;_Harga"/>
      <sheetName val="struktur_tdk_dipakai"/>
      <sheetName val="2_주요계수총괄"/>
      <sheetName val="Lookup_Lists"/>
      <sheetName val="9__콘덴서"/>
      <sheetName val="2_4_3__Civil_WP3"/>
      <sheetName val="2_4_8__Building_WP2"/>
      <sheetName val="2_4_9__Building_WP3"/>
      <sheetName val="PLSt_03__"/>
      <sheetName val="П_7_курс_аванса"/>
      <sheetName val="REFER_SHEET"/>
      <sheetName val="Land_Dev't__Ph-1"/>
      <sheetName val="4-Lane_bridge"/>
      <sheetName val="Hac_Lots"/>
      <sheetName val="Res_Lots"/>
      <sheetName val="Spine_Road"/>
      <sheetName val="2_223M_due_to_adj_profit"/>
      <sheetName val="MATERIAL'S_PRICE"/>
      <sheetName val="Power_&amp;_control_cables"/>
      <sheetName val="Earthing_Cables_"/>
      <sheetName val="단가표_"/>
      <sheetName val="ZAR_SAZ"/>
      <sheetName val="5_전사투자계획종함안"/>
      <sheetName val="11_BQMPALOC"/>
      <sheetName val="Material_Standards"/>
      <sheetName val="Material_Cost_Standards"/>
      <sheetName val="전기공사_(삼전)"/>
      <sheetName val="PB10_REF_2009"/>
      <sheetName val="BSD_(2)"/>
      <sheetName val="Template_for_itemized_price"/>
      <sheetName val="Form_MF_-_2"/>
      <sheetName val="_TDIBM1_X೺_ഈ_____G_MH_CAL"/>
      <sheetName val="Sheet_31"/>
      <sheetName val="SOS_PLC_&amp;_Panel"/>
      <sheetName val="계정과목_예시"/>
      <sheetName val="LMB_Forecast_plan"/>
      <sheetName val="valve_data"/>
      <sheetName val="EPC_For_Verification"/>
      <sheetName val="INPUT_壀"/>
      <sheetName val="PID_DATA"/>
      <sheetName val="F1_4"/>
      <sheetName val="Cashflow_Analysis"/>
      <sheetName val="div_8"/>
      <sheetName val="div_9"/>
      <sheetName val="Div_10"/>
      <sheetName val="Memb_Schd"/>
      <sheetName val="_TDIBM1_X೺_x005f_x005f_x005f_x0000_ഈ_"/>
      <sheetName val="Daf_1"/>
      <sheetName val="harga_lama"/>
      <sheetName val="공사비_내역_(가)"/>
      <sheetName val="TDIBM1_X೺_x005f_x0000_ഈ_x005f_x0000__x00001"/>
      <sheetName val="cable_data1"/>
      <sheetName val="매립"/>
      <sheetName val="특수선일위대가"/>
      <sheetName val="Key Table"/>
      <sheetName val="5-Peralatan"/>
      <sheetName val="slab"/>
      <sheetName val="Pengalaman Per"/>
      <sheetName val="손익차총괄2"/>
      <sheetName val="Takeoff"/>
      <sheetName val="MP Sep-Restime"/>
      <sheetName val="Sch.1"/>
      <sheetName val="_TDIBM1_X೺_x005f_x005f_x03"/>
      <sheetName val="VS_P-Q1"/>
      <sheetName val="IRR_sponsor1"/>
      <sheetName val="EQ_USED_(CORRECTED)1"/>
      <sheetName val="Page_21"/>
      <sheetName val="CT_Thang_Mo1"/>
      <sheetName val="CT__PL1"/>
      <sheetName val="Equipment_Cost1"/>
      <sheetName val="Malaysia_incl__RET1"/>
      <sheetName val="Tag_Equip_Value1"/>
      <sheetName val="9__콘덴서1"/>
      <sheetName val="HO_ENG_MH_CAL10"/>
      <sheetName val="INPUT_DATA10"/>
      <sheetName val="7_2세부_부하계산서10"/>
      <sheetName val="Eq__Mobilization9"/>
      <sheetName val="_갑지10"/>
      <sheetName val="EQ_Total8"/>
      <sheetName val="CIVIL_BOQ9"/>
      <sheetName val="RAW_COST_SUMMARY9"/>
      <sheetName val="BLDG_BOQ9"/>
      <sheetName val="rate_analyses9"/>
      <sheetName val="ITB_COST9"/>
      <sheetName val="Price_Detail8"/>
      <sheetName val="DS_Oil_System8"/>
      <sheetName val="노임_단가8"/>
      <sheetName val="plan&amp;section_of_foundation8"/>
      <sheetName val="pile_bearing_capa_&amp;_arrenge8"/>
      <sheetName val="design_load8"/>
      <sheetName val="working_load_at_the_btm_ft_8"/>
      <sheetName val="stability_check8"/>
      <sheetName val="design_criteria8"/>
      <sheetName val="2_배관8"/>
      <sheetName val="Pjt_Data8"/>
      <sheetName val="AOP_Summary-28"/>
      <sheetName val="M_117"/>
      <sheetName val="TYPE-B_평균H7"/>
      <sheetName val="PIPE_(SG)-발수7"/>
      <sheetName val="ANA&amp;DESIGN&amp;REINF__7"/>
      <sheetName val="PRIMARY_LOAD7"/>
      <sheetName val="EXT_CHECK7"/>
      <sheetName val="OIL_SYST_DATA_SHTS7"/>
      <sheetName val="할증_7"/>
      <sheetName val="Loop_Type7"/>
      <sheetName val="Resource_table7"/>
      <sheetName val="공사비_분석표7"/>
      <sheetName val="간접비_총괄표7"/>
      <sheetName val="REINF_7"/>
      <sheetName val="Invoice_(Summary)7"/>
      <sheetName val="Invoice_(IBL)7"/>
      <sheetName val="Invoice_(OBL)7"/>
      <sheetName val="Food_court_7"/>
      <sheetName val="97_사업추정(WEKI)7"/>
      <sheetName val="노원열병합__건축공사기성내역서7"/>
      <sheetName val="BACK_DATA7"/>
      <sheetName val="Rate_Analysis5"/>
      <sheetName val="3_Breakdown_Direct_Instrument5"/>
      <sheetName val="Inside_building_Summary5"/>
      <sheetName val="L_V_Separator5"/>
      <sheetName val="_TDIBM1_X೺5"/>
      <sheetName val="Vertical_FDN-125"/>
      <sheetName val="Pump_FDN-15"/>
      <sheetName val="Horizontal_Vessel_FDN-15"/>
      <sheetName val="NO_3_PTA_PLANT_SD_COST5"/>
      <sheetName val="STA_&amp;_SEC5"/>
      <sheetName val="_TDIBM1_X೺_x005f_x0000_ഈ_x005f_x0000__x0005"/>
      <sheetName val="OCT_FDN5"/>
      <sheetName val="Valve_List_(Priced)5"/>
      <sheetName val="Tbl_1y_45"/>
      <sheetName val="Flaer_Area5"/>
      <sheetName val="[TDIBM1_X೺5"/>
      <sheetName val="Resource_summary5"/>
      <sheetName val="Break_Down5"/>
      <sheetName val="Overall_Status5"/>
      <sheetName val="Inert_Balls5"/>
      <sheetName val="Kredi_Risk_Alt_Grup5"/>
      <sheetName val="Ana_Gruplar5"/>
      <sheetName val="Attachment_15"/>
      <sheetName val="Ex_Rate5"/>
      <sheetName val="[TDIBM1_X೺_x005f_x0000_ഈ_x005f_x0000__x0005"/>
      <sheetName val="B_5_Control_Valve5"/>
      <sheetName val="CDU_(성창)_Master5"/>
      <sheetName val="_TDIBM1_X೺_x005f_x005f_x005f_x0000_ഈ_x005f5"/>
      <sheetName val="A(Rev_3)5"/>
      <sheetName val="_4"/>
      <sheetName val="해외_연수비용_계산-삭제5"/>
      <sheetName val="해외_기술훈련비_(합계)5"/>
      <sheetName val="토목_Utility_Schedule_(2)4"/>
      <sheetName val="Eng_Hrs_(HO)4"/>
      <sheetName val="현장관리비_산출내역4"/>
      <sheetName val="Currency_&amp;_Other_Cost4"/>
      <sheetName val="_Sum4"/>
      <sheetName val="spc_배관견적4"/>
      <sheetName val="드럼확인_배출4"/>
      <sheetName val="JB_명판인쇄4"/>
      <sheetName val="덕트뱅크_(2)4"/>
      <sheetName val="플링_갑지4"/>
      <sheetName val="JB_명판4"/>
      <sheetName val="드럼_확인용4"/>
      <sheetName val="01_09_CODE4"/>
      <sheetName val="00-Summary_Information-ABB3"/>
      <sheetName val="_TDIBM1_X೺_x005f_x0000_ഈ_4"/>
      <sheetName val="_TDIBM1_X೺_x005f_x005f_x04"/>
      <sheetName val="2-1-1)_Zone_&amp;_Margin3"/>
      <sheetName val="[TDIBM1_X೺_x005f_x005f_x005f_x0000_ഈ_x005f3"/>
      <sheetName val="_TDIBM1_X೺_x005f_x005f_x005f_x005f_x005f_x005f_x3"/>
      <sheetName val="6PILE__(돌출)3"/>
      <sheetName val="Instrument_구분_체계3"/>
      <sheetName val="CAT_13"/>
      <sheetName val="Table-Dont_Delete3"/>
      <sheetName val="SPT_vs_PHI3"/>
      <sheetName val="개시대사_(2)3"/>
      <sheetName val="입찰내역_발주처_양식4"/>
      <sheetName val="SCH_B3"/>
      <sheetName val="UNIT_33"/>
      <sheetName val="Plan_Early_Date3"/>
      <sheetName val="_WWT_설비_Remote_IO_추가건_(2013_023"/>
      <sheetName val="e-GAP_Summary3"/>
      <sheetName val="_TDIBM1_X೺_x03"/>
      <sheetName val="INNER_TANK3"/>
      <sheetName val="Codes,___3"/>
      <sheetName val="INNER_TANK_SEISMIC3"/>
      <sheetName val="Utility_and_Fire_flange3"/>
      <sheetName val="bldg_list3"/>
      <sheetName val="Chiet_tinh_dz353"/>
      <sheetName val="3_공통공사대비3"/>
      <sheetName val="Submission_-_Price_Summary3"/>
      <sheetName val="Subb-Manpower_&amp;_Equiptment_Pla3"/>
      <sheetName val="Price_Summary_REF3"/>
      <sheetName val="Optional_Working3"/>
      <sheetName val="Equip_Cost3"/>
      <sheetName val="E_&amp;_I_Rates3"/>
      <sheetName val="E&amp;I_CC3"/>
      <sheetName val="PPT_Input3"/>
      <sheetName val="Org_Chart3"/>
      <sheetName val="Indirect_MP3"/>
      <sheetName val="Direct_MP3"/>
      <sheetName val="Manpower_cost3"/>
      <sheetName val="2__전력간선공사3"/>
      <sheetName val="Addendum_No_1_BILL_23"/>
      <sheetName val="[TDIBM1_X೺?ഈ?????G_MH_CAL3"/>
      <sheetName val="_TDIBM1_X೺?ഈ?????G_MH_CAL3"/>
      <sheetName val="갑지_1회3"/>
      <sheetName val="18_073"/>
      <sheetName val="갑지_2회3"/>
      <sheetName val="18_083"/>
      <sheetName val="갑지_3회3"/>
      <sheetName val="18_093"/>
      <sheetName val="갑지_4회3"/>
      <sheetName val="18_103"/>
      <sheetName val="갑지_5회3"/>
      <sheetName val="18_113"/>
      <sheetName val="갑지_6회3"/>
      <sheetName val="18_123"/>
      <sheetName val="갑지_7회3"/>
      <sheetName val="19_013"/>
      <sheetName val="갑지_8회3"/>
      <sheetName val="19_023"/>
      <sheetName val="갑지_9회3"/>
      <sheetName val="표지_9회3"/>
      <sheetName val="19_033"/>
      <sheetName val="갑지_10회3"/>
      <sheetName val="표지_10회3"/>
      <sheetName val="19_043"/>
      <sheetName val="갑지_11회3"/>
      <sheetName val="표지_11회3"/>
      <sheetName val="19_053"/>
      <sheetName val="갑지_12회3"/>
      <sheetName val="표지_12회3"/>
      <sheetName val="19_063"/>
      <sheetName val="갑지_13회3"/>
      <sheetName val="표지_13회3"/>
      <sheetName val="19_073"/>
      <sheetName val="갑지_14회3"/>
      <sheetName val="표지_14회3"/>
      <sheetName val="19_083"/>
      <sheetName val="갑지_15회3"/>
      <sheetName val="표지_15회3"/>
      <sheetName val="19_093"/>
      <sheetName val="D_5243-ARAMCO3"/>
      <sheetName val="D-4801_OXY3"/>
      <sheetName val="VS_P-Q2"/>
      <sheetName val="IRR_sponsor2"/>
      <sheetName val="EQ_USED_(CORRECTED)2"/>
      <sheetName val="Page_22"/>
      <sheetName val="CT_Thang_Mo2"/>
      <sheetName val="CT__PL2"/>
      <sheetName val="Equipment_Cost2"/>
      <sheetName val="Malaysia_incl__RET2"/>
      <sheetName val="Tag_Equip_Value2"/>
      <sheetName val="9__콘덴서2"/>
      <sheetName val="CONSTANTS"/>
      <sheetName val="PROJECT INFO."/>
      <sheetName val="음료실행"/>
      <sheetName val="총괄표"/>
      <sheetName val="Material Cost(as per Nation)"/>
      <sheetName val="단가산출"/>
      <sheetName val="CONTROL PIPING"/>
      <sheetName val="COVERSHEET PAGE"/>
      <sheetName val="MAIN GATE HOUSE"/>
      <sheetName val="MTO REV.2(ARMOR)"/>
      <sheetName val="물가정보"/>
      <sheetName val="정부노임"/>
      <sheetName val="Ⅴ-2.공종별내역"/>
      <sheetName val="견적의뢰"/>
      <sheetName val="0226"/>
      <sheetName val="1"/>
      <sheetName val="Daily"/>
      <sheetName val="M501G 2on1"/>
      <sheetName val="dc1"/>
      <sheetName val="Absorber Packing Log"/>
      <sheetName val="HRG BHN"/>
      <sheetName val="Quantity"/>
      <sheetName val="01A- RAB"/>
      <sheetName val="총괄"/>
      <sheetName val="PW3"/>
      <sheetName val="DNW"/>
      <sheetName val="D-3503"/>
      <sheetName val="장비명"/>
      <sheetName val="NM2"/>
      <sheetName val="NW1"/>
      <sheetName val="Units"/>
      <sheetName val="금병로2공구(변경)"/>
      <sheetName val="일위대가(가설)"/>
      <sheetName val="BLOWDOWN"/>
      <sheetName val="PSV2701F"/>
      <sheetName val="64DPRO"/>
      <sheetName val="조도"/>
      <sheetName val="analiz"/>
      <sheetName val="TTS- fixed allw-17.7.2007"/>
      <sheetName val="TITLES"/>
      <sheetName val="TRANSPORT FACTORS"/>
      <sheetName val="EQT ALLOWANCE"/>
      <sheetName val="NFSPropalEL"/>
      <sheetName val="BILL"/>
      <sheetName val="MAJ"/>
      <sheetName val="BILAN PROJET ECO"/>
      <sheetName val="Accounts"/>
      <sheetName val="LDPE-1 LP Main Equi List"/>
      <sheetName val="LDPE-1 HP Main Equi List"/>
      <sheetName val="H&amp;MP GSD-12-Rev02,INSP"/>
      <sheetName val="H&amp;MP GSD-12-Rev02,PR"/>
      <sheetName val="LDPE1 HP &amp; PSE, PR"/>
      <sheetName val="LDPE-1 HP PIPING  List"/>
      <sheetName val="Low Pressure GSD-12-Rev02,INSP"/>
      <sheetName val="Low Pressure GSD-12-Rev02,PR"/>
      <sheetName val="LDPE-1 LP PSE List"/>
      <sheetName val="input"/>
      <sheetName val="WORKING SHEET SS#35"/>
      <sheetName val="Foglio_Lavoro"/>
      <sheetName val="예정(3)"/>
      <sheetName val="TRUCK HAUL CYCLE-waste"/>
      <sheetName val="비품"/>
      <sheetName val="실행내역"/>
      <sheetName val="Price Summary (1)"/>
      <sheetName val="Price Summary (2)"/>
      <sheetName val="SHL"/>
      <sheetName val="당초"/>
      <sheetName val="schalt"/>
      <sheetName val="schtng"/>
      <sheetName val="SMEC_Macro_01csv"/>
      <sheetName val="Breakdown"/>
      <sheetName val="MATL"/>
      <sheetName val="Bin"/>
      <sheetName val="LOADS"/>
      <sheetName val="Bid Evaluation"/>
      <sheetName val="masonry works"/>
      <sheetName val="DB CIS_v2.1"/>
      <sheetName val="Library"/>
      <sheetName val="VC2 10.99"/>
      <sheetName val="4차원가계산서"/>
      <sheetName val="식재인부"/>
      <sheetName val="Résultats"/>
      <sheetName val="정보"/>
      <sheetName val="MOS"/>
      <sheetName val="Hot"/>
      <sheetName val="PP"/>
      <sheetName val="Price_Summary_(1)"/>
      <sheetName val="Price_Summary_(2)"/>
      <sheetName val="ABSTRACT"/>
      <sheetName val="SUM(D2)"/>
      <sheetName val="GC-2"/>
      <sheetName val="PRECAST lightconc-II"/>
      <sheetName val="Summary Sheets"/>
      <sheetName val="electrical"/>
      <sheetName val="Assumption"/>
      <sheetName val="PM"/>
      <sheetName val="R.A.B."/>
      <sheetName val="경산"/>
      <sheetName val="girder"/>
      <sheetName val="Eng_Hrs"/>
      <sheetName val="内外控制表"/>
      <sheetName val="海盐加工装置"/>
      <sheetName val="ZEZSH2007"/>
      <sheetName val="非标价格库"/>
      <sheetName val="HO_ENG_MH_CAL11"/>
      <sheetName val="INPUT_DATA11"/>
      <sheetName val="7_2세부_부하계산서11"/>
      <sheetName val="Eq__Mobilization10"/>
      <sheetName val="_갑지11"/>
      <sheetName val="EQ_Total9"/>
      <sheetName val="CIVIL_BOQ10"/>
      <sheetName val="RAW_COST_SUMMARY10"/>
      <sheetName val="BLDG_BOQ10"/>
      <sheetName val="rate_analyses10"/>
      <sheetName val="ITB_COST10"/>
      <sheetName val="Price_Detail9"/>
      <sheetName val="DS_Oil_System9"/>
      <sheetName val="노임_단가9"/>
      <sheetName val="plan&amp;section_of_foundation9"/>
      <sheetName val="pile_bearing_capa_&amp;_arrenge9"/>
      <sheetName val="design_load9"/>
      <sheetName val="working_load_at_the_btm_ft_9"/>
      <sheetName val="stability_check9"/>
      <sheetName val="design_criteria9"/>
      <sheetName val="2_배관9"/>
      <sheetName val="Pjt_Data9"/>
      <sheetName val="AOP_Summary-29"/>
      <sheetName val="M_118"/>
      <sheetName val="TYPE-B_평균H8"/>
      <sheetName val="PIPE_(SG)-발수8"/>
      <sheetName val="ANA&amp;DESIGN&amp;REINF__8"/>
      <sheetName val="PRIMARY_LOAD8"/>
      <sheetName val="EXT_CHECK8"/>
      <sheetName val="OIL_SYST_DATA_SHTS8"/>
      <sheetName val="할증_8"/>
      <sheetName val="Loop_Type8"/>
      <sheetName val="Resource_table8"/>
      <sheetName val="공사비_분석표8"/>
      <sheetName val="간접비_총괄표8"/>
      <sheetName val="REINF_8"/>
      <sheetName val="Invoice_(Summary)8"/>
      <sheetName val="Invoice_(IBL)8"/>
      <sheetName val="Invoice_(OBL)8"/>
      <sheetName val="Food_court_8"/>
      <sheetName val="97_사업추정(WEKI)8"/>
      <sheetName val="노원열병합__건축공사기성내역서8"/>
      <sheetName val="BACK_DATA8"/>
      <sheetName val="Rate_Analysis6"/>
      <sheetName val="3_Breakdown_Direct_Instrument6"/>
      <sheetName val="Inside_building_Summary6"/>
      <sheetName val="L_V_Separator6"/>
      <sheetName val="_TDIBM1_X೺6"/>
      <sheetName val="Vertical_FDN-126"/>
      <sheetName val="Pump_FDN-16"/>
      <sheetName val="Horizontal_Vessel_FDN-16"/>
      <sheetName val="NO_3_PTA_PLANT_SD_COST6"/>
      <sheetName val="STA_&amp;_SEC6"/>
      <sheetName val="_TDIBM1_X೺_x005f_x0000_ഈ_x005f_x0000__x0006"/>
      <sheetName val="OCT_FDN6"/>
      <sheetName val="Valve_List_(Priced)6"/>
      <sheetName val="Tbl_1y_46"/>
      <sheetName val="Flaer_Area6"/>
      <sheetName val="[TDIBM1_X೺6"/>
      <sheetName val="Resource_summary6"/>
      <sheetName val="Break_Down6"/>
      <sheetName val="Overall_Status6"/>
      <sheetName val="Inert_Balls6"/>
      <sheetName val="Kredi_Risk_Alt_Grup6"/>
      <sheetName val="Ana_Gruplar6"/>
      <sheetName val="Attachment_16"/>
      <sheetName val="Ex_Rate6"/>
      <sheetName val="[TDIBM1_X೺_x005f_x0000_ഈ_x005f_x0000__x0006"/>
      <sheetName val="B_5_Control_Valve6"/>
      <sheetName val="CDU_(성창)_Master6"/>
      <sheetName val="_TDIBM1_X೺_x005f_x005f_x005f_x0000_ഈ_x005f6"/>
      <sheetName val="A(Rev_3)6"/>
      <sheetName val="_5"/>
      <sheetName val="해외_연수비용_계산-삭제6"/>
      <sheetName val="해외_기술훈련비_(합계)6"/>
      <sheetName val="토목_Utility_Schedule_(2)5"/>
      <sheetName val="Eng_Hrs_(HO)5"/>
      <sheetName val="현장관리비_산출내역5"/>
      <sheetName val="Currency_&amp;_Other_Cost5"/>
      <sheetName val="_Sum5"/>
      <sheetName val="spc_배관견적5"/>
      <sheetName val="드럼확인_배출5"/>
      <sheetName val="JB_명판인쇄5"/>
      <sheetName val="덕트뱅크_(2)5"/>
      <sheetName val="플링_갑지5"/>
      <sheetName val="JB_명판5"/>
      <sheetName val="드럼_확인용5"/>
      <sheetName val="01_09_CODE5"/>
      <sheetName val="00-Summary_Information-ABB4"/>
      <sheetName val="_TDIBM1_X೺_x005f_x0000_ഈ_5"/>
      <sheetName val="_TDIBM1_X೺_x005f_x005f_x05"/>
      <sheetName val="2-1-1)_Zone_&amp;_Margin4"/>
      <sheetName val="[TDIBM1_X೺_x005f_x005f_x005f_x0000_ഈ_x005f4"/>
      <sheetName val="_TDIBM1_X೺_x005f_x005f_x005f_x005f_x005f_x005f_x4"/>
      <sheetName val="6PILE__(돌출)4"/>
      <sheetName val="Instrument_구분_체계4"/>
      <sheetName val="CAT_14"/>
      <sheetName val="Table-Dont_Delete4"/>
      <sheetName val="SPT_vs_PHI4"/>
      <sheetName val="개시대사_(2)4"/>
      <sheetName val="입찰내역_발주처_양식5"/>
      <sheetName val="SCH_B4"/>
      <sheetName val="UNIT_34"/>
      <sheetName val="Plan_Early_Date4"/>
      <sheetName val="_WWT_설비_Remote_IO_추가건_(2013_024"/>
      <sheetName val="e-GAP_Summary4"/>
      <sheetName val="Submission_-_Price_Summary4"/>
      <sheetName val="Subb-Manpower_&amp;_Equiptment_Pla4"/>
      <sheetName val="Price_Summary_REF4"/>
      <sheetName val="Optional_Working4"/>
      <sheetName val="Equip_Cost4"/>
      <sheetName val="E_&amp;_I_Rates4"/>
      <sheetName val="E&amp;I_CC4"/>
      <sheetName val="PPT_Input4"/>
      <sheetName val="Org_Chart4"/>
      <sheetName val="Indirect_MP4"/>
      <sheetName val="Direct_MP4"/>
      <sheetName val="Manpower_cost4"/>
      <sheetName val="INNER_TANK4"/>
      <sheetName val="Codes,___4"/>
      <sheetName val="INNER_TANK_SEISMIC4"/>
      <sheetName val="Utility_and_Fire_flange4"/>
      <sheetName val="bldg_list4"/>
      <sheetName val="Chiet_tinh_dz354"/>
      <sheetName val="3_공통공사대비4"/>
      <sheetName val="_TDIBM1_X೺_x04"/>
      <sheetName val="2__전력간선공사4"/>
      <sheetName val="Addendum_No_1_BILL_24"/>
      <sheetName val="[TDIBM1_X೺?ഈ?????G_MH_CAL4"/>
      <sheetName val="_TDIBM1_X೺?ഈ?????G_MH_CAL4"/>
      <sheetName val="갑지_1회4"/>
      <sheetName val="18_074"/>
      <sheetName val="갑지_2회4"/>
      <sheetName val="18_084"/>
      <sheetName val="갑지_3회4"/>
      <sheetName val="18_094"/>
      <sheetName val="갑지_4회4"/>
      <sheetName val="18_104"/>
      <sheetName val="갑지_5회4"/>
      <sheetName val="18_114"/>
      <sheetName val="갑지_6회4"/>
      <sheetName val="18_124"/>
      <sheetName val="갑지_7회4"/>
      <sheetName val="19_014"/>
      <sheetName val="갑지_8회4"/>
      <sheetName val="19_024"/>
      <sheetName val="갑지_9회4"/>
      <sheetName val="표지_9회4"/>
      <sheetName val="19_034"/>
      <sheetName val="갑지_10회4"/>
      <sheetName val="표지_10회4"/>
      <sheetName val="19_044"/>
      <sheetName val="갑지_11회4"/>
      <sheetName val="표지_11회4"/>
      <sheetName val="19_054"/>
      <sheetName val="갑지_12회4"/>
      <sheetName val="표지_12회4"/>
      <sheetName val="19_064"/>
      <sheetName val="갑지_13회4"/>
      <sheetName val="표지_13회4"/>
      <sheetName val="19_074"/>
      <sheetName val="갑지_14회4"/>
      <sheetName val="표지_14회4"/>
      <sheetName val="19_084"/>
      <sheetName val="갑지_15회4"/>
      <sheetName val="표지_15회4"/>
      <sheetName val="19_094"/>
      <sheetName val="D_5243-ARAMCO4"/>
      <sheetName val="D-4801_OXY4"/>
      <sheetName val="Capa_Ref_GMP3"/>
      <sheetName val="WEMS_export3"/>
      <sheetName val="입출재고현황_(2)3"/>
      <sheetName val="VS_P-Q3"/>
      <sheetName val="지분별_기성금3"/>
      <sheetName val="도배_및_수장3"/>
      <sheetName val="타설현황_및_이중관(03월)3"/>
      <sheetName val="급수급탕,난방_입상배관(03월)3"/>
      <sheetName val="급수급탕,난방_입상배관_보온(03월)3"/>
      <sheetName val="급수_입상배관_열선(03월)3"/>
      <sheetName val="슬라이딩형수납장_도어(03월)3"/>
      <sheetName val="세대발코니_입상(03월)3"/>
      <sheetName val="화장실_배기휀설치(03월)3"/>
      <sheetName val="화장실_방화댐퍼(03월)3"/>
      <sheetName val="주방_방화댐퍼(03월)3"/>
      <sheetName val="주방_정풍량_댐퍼_및_덕트_설치(03월)3"/>
      <sheetName val="_난방코일(03월)3"/>
      <sheetName val="소방입상배관_열선(03월)3"/>
      <sheetName val="상_하부후레임(03월)3"/>
      <sheetName val="건식PD_전면판(03월)3"/>
      <sheetName val="Currency_Rate3"/>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October_20203"/>
      <sheetName val="IRR_sponsor3"/>
      <sheetName val="EQ_USED_(CORRECTED)3"/>
      <sheetName val="Page_23"/>
      <sheetName val="4__Fuel_Gas_Consumption(2010293"/>
      <sheetName val="CT_Thang_Mo3"/>
      <sheetName val="CT__PL3"/>
      <sheetName val="Equipment_Cost3"/>
      <sheetName val="PAD_TR보호대기초3"/>
      <sheetName val="EQUIP_LIST3"/>
      <sheetName val="VAT_TU_DIEN3"/>
      <sheetName val="ANAL_BOW3"/>
      <sheetName val="Malaysia_incl__RET3"/>
      <sheetName val="Tag_Equip_Value3"/>
      <sheetName val="9__콘덴서3"/>
      <sheetName val="Hauptdaten"/>
      <sheetName val="A01"/>
      <sheetName val="A11"/>
      <sheetName val="A16"/>
      <sheetName val="A02"/>
      <sheetName val="A03"/>
      <sheetName val="A04"/>
      <sheetName val="A05"/>
      <sheetName val="A06"/>
      <sheetName val="A07"/>
      <sheetName val="A08a"/>
      <sheetName val="A08b"/>
      <sheetName val="график финансирования"/>
      <sheetName val="4-3 보온 기본물량집계"/>
      <sheetName val="물량"/>
      <sheetName val="WEIGHT LIST"/>
      <sheetName val="POL6차-PIPING"/>
      <sheetName val="산#2-1 (2)"/>
      <sheetName val="산#3-1"/>
      <sheetName val="98수문일위"/>
      <sheetName val="CPMS"/>
      <sheetName val="ASCEandUBC"/>
      <sheetName val="6호기"/>
      <sheetName val="계약변경요청서"/>
      <sheetName val="1062-X방향 "/>
      <sheetName val="FAB별"/>
      <sheetName val="rencst0599"/>
      <sheetName val="E&amp;D"/>
      <sheetName val="UR"/>
      <sheetName val="Unit Rate"/>
      <sheetName val="401_1"/>
      <sheetName val="401_2"/>
      <sheetName val="401_3"/>
      <sheetName val="401_4"/>
      <sheetName val="401_5"/>
      <sheetName val="401_7"/>
      <sheetName val="Cover Sheet"/>
      <sheetName val="Notes"/>
      <sheetName val="Rebar"/>
      <sheetName val="co-no.2"/>
      <sheetName val="DPKlah"/>
      <sheetName val="Position (to hide)"/>
      <sheetName val="wall"/>
      <sheetName val="Front"/>
      <sheetName val="7_2세부_부하계_x0000__x0000__x0005_"/>
      <sheetName val="_TDIBM1_X೺_x0000_ഈ_x0000__x0001"/>
      <sheetName val="[TDIBM1_X೺_x0000_ഈ_x0000__x0001"/>
      <sheetName val="_TDIBM1_X೺_x005f_x0000_ഈ_x005f1"/>
      <sheetName val="[TDIBM1_X೺_x0000_ഈ_x0000__x0002"/>
      <sheetName val="_TDIBM1_X೺_x0000_ഈ_x0000__x0002"/>
      <sheetName val="_TDIBM1_X೺_x005f_x0000_ഈ_x005f2"/>
      <sheetName val="_TDIBM1_X೺_x0000_ഈ_x0000__x0003"/>
      <sheetName val="[TDIBM1_X೺_x0000_ഈ_x0000__x0003"/>
      <sheetName val="_TDIBM1_X೺_x005f_x0000_ഈ_x005f3"/>
      <sheetName val="_TDIBM1_X೺_x0000_ഈ_2"/>
      <sheetName val="[TDIBM1_X೺_x005f_x0000_ഈ_x005f1"/>
      <sheetName val="_TDIBM1_X೺_x005f_x005f_x1"/>
      <sheetName val="[TDIBM1_X೺_x005f_x0000_ഈ_1"/>
      <sheetName val="분전반 견적서"/>
      <sheetName val="분전반 품셈"/>
      <sheetName val="조명시설"/>
      <sheetName val="부하계산서"/>
      <sheetName val="5.공종별예산내역서"/>
      <sheetName val="Graph"/>
      <sheetName val="Basis"/>
      <sheetName val="Z- GENERAL PRICE SUMMARY"/>
      <sheetName val="WITHOUT C&amp;I PROFIT (3)"/>
      <sheetName val="GRSummary"/>
      <sheetName val="alat"/>
      <sheetName val="점검구"/>
      <sheetName val="서랍"/>
      <sheetName val="수납장"/>
      <sheetName val="산출근거"/>
      <sheetName val="Arch"/>
      <sheetName val="Eq__Mobil_x0000__x0000__x0000__x0000__x0000__x0000_Ā_x0000_"/>
      <sheetName val="WMhrs"/>
      <sheetName val="Dsgn Reinforced Conc"/>
      <sheetName val="SOL区分"/>
      <sheetName val="MWBSpread"/>
      <sheetName val="INST"/>
      <sheetName val="Index"/>
      <sheetName val="C3.1"/>
      <sheetName val=" eng job"/>
      <sheetName val="CPX D(Q)1"/>
      <sheetName val="Page 1"/>
      <sheetName val="Active+Inactive"/>
      <sheetName val="Parameter"/>
      <sheetName val="TimeCalculator-NightShift"/>
      <sheetName val="PHASE I"/>
      <sheetName val="S-Curve (Hull)"/>
      <sheetName val="S-Curve (Topside)"/>
      <sheetName val="UP_an"/>
      <sheetName val="Embank"/>
      <sheetName val="BAG-III"/>
      <sheetName val="Analisa Harga Satuan"/>
      <sheetName val="Hit Vol Str Jambi"/>
      <sheetName val="Rekapitulasi"/>
      <sheetName val="Perhit.Alat"/>
      <sheetName val="PEF25_0I_mnhr"/>
      <sheetName val="Sat Bah &amp; Up"/>
      <sheetName val="4-Basic Price"/>
      <sheetName val="Rek.An"/>
      <sheetName val="5-ALAT(1)"/>
      <sheetName val="BoQ(APBN)"/>
      <sheetName val="Basic Price"/>
      <sheetName val="DKH"/>
      <sheetName val="Hrg.Sat"/>
      <sheetName val="Earthwork"/>
      <sheetName val="USGC"/>
      <sheetName val="_TDIBM1_X೺_x0000_ഈ_x005f1"/>
      <sheetName val="電源計画"/>
      <sheetName val="䐀꽗"/>
      <sheetName val="5"/>
      <sheetName val="30"/>
      <sheetName val="13"/>
      <sheetName val="28"/>
      <sheetName val="18"/>
      <sheetName val="16сд"/>
      <sheetName val="14"/>
      <sheetName val="㐀"/>
      <sheetName val="전긱"/>
      <sheetName val="Am. II OH&amp;P ICC"/>
      <sheetName val="Am III. Unit Prices Civil"/>
      <sheetName val="Am III.C Hourly Rates"/>
      <sheetName val="Datos"/>
      <sheetName val="OBRA_CIVIL"/>
      <sheetName val="Sheet376"/>
      <sheetName val="7_2세부_부하계"/>
      <sheetName val="Eq__Mobil"/>
      <sheetName val="공사원가"/>
    </sheetNames>
    <definedNames>
      <definedName name="[SettleOut Module].main"/>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sheetData sheetId="395"/>
      <sheetData sheetId="396"/>
      <sheetData sheetId="397"/>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refreshError="1"/>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refreshError="1"/>
      <sheetData sheetId="541"/>
      <sheetData sheetId="542" refreshError="1"/>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refreshError="1"/>
      <sheetData sheetId="624"/>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sheetData sheetId="769"/>
      <sheetData sheetId="770"/>
      <sheetData sheetId="77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sheetData sheetId="842"/>
      <sheetData sheetId="843"/>
      <sheetData sheetId="844"/>
      <sheetData sheetId="845"/>
      <sheetData sheetId="846"/>
      <sheetData sheetId="847"/>
      <sheetData sheetId="848"/>
      <sheetData sheetId="849"/>
      <sheetData sheetId="850"/>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refreshError="1"/>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refreshError="1"/>
      <sheetData sheetId="1265" refreshError="1"/>
      <sheetData sheetId="1266" refreshError="1"/>
      <sheetData sheetId="1267"/>
      <sheetData sheetId="1268"/>
      <sheetData sheetId="1269"/>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sheetData sheetId="1640"/>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refreshError="1"/>
      <sheetData sheetId="1697"/>
      <sheetData sheetId="1698" refreshError="1"/>
      <sheetData sheetId="1699" refreshError="1"/>
      <sheetData sheetId="1700"/>
      <sheetData sheetId="170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sheetData sheetId="1944"/>
      <sheetData sheetId="1945"/>
      <sheetData sheetId="1946"/>
      <sheetData sheetId="1947"/>
      <sheetData sheetId="1948"/>
      <sheetData sheetId="1949"/>
      <sheetData sheetId="1950"/>
      <sheetData sheetId="1951"/>
      <sheetData sheetId="1952"/>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refreshError="1"/>
      <sheetData sheetId="2211" refreshError="1"/>
      <sheetData sheetId="2212" refreshError="1"/>
      <sheetData sheetId="2213" refreshError="1"/>
      <sheetData sheetId="2214" refreshError="1"/>
      <sheetData sheetId="2215"/>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sheetData sheetId="2297"/>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sheetData sheetId="2652" refreshError="1"/>
      <sheetData sheetId="2653"/>
      <sheetData sheetId="2654" refreshError="1"/>
      <sheetData sheetId="2655" refreshError="1"/>
      <sheetData sheetId="2656" refreshError="1"/>
      <sheetData sheetId="2657" refreshError="1"/>
      <sheetData sheetId="2658" refreshError="1"/>
      <sheetData sheetId="2659" refreshError="1"/>
      <sheetData sheetId="2660" refreshError="1"/>
      <sheetData sheetId="2661"/>
      <sheetData sheetId="2662" refreshError="1"/>
      <sheetData sheetId="2663"/>
      <sheetData sheetId="2664"/>
      <sheetData sheetId="2665"/>
      <sheetData sheetId="2666" refreshError="1"/>
      <sheetData sheetId="2667" refreshError="1"/>
      <sheetData sheetId="2668"/>
      <sheetData sheetId="2669" refreshError="1"/>
      <sheetData sheetId="2670" refreshError="1"/>
      <sheetData sheetId="26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V Separator"/>
      <sheetName val="eq_data"/>
      <sheetName val="Cover"/>
      <sheetName val="Code"/>
      <sheetName val="h-013211-2"/>
      <sheetName val="INSTR"/>
      <sheetName val="DWTables"/>
      <sheetName val="PRC-SUM"/>
      <sheetName val="PRO_DCI"/>
      <sheetName val="INST_DCI"/>
      <sheetName val="HVAC_DCI"/>
      <sheetName val="PIPE_DCI"/>
      <sheetName val="sum3"/>
      <sheetName val="Sheet1"/>
      <sheetName val="Connections"/>
      <sheetName val="Sheet2"/>
      <sheetName val="Proj Cost Sumry"/>
      <sheetName val="L_V_Separator"/>
      <sheetName val="L_V_Separator1"/>
      <sheetName val="DRU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 val="DRUM"/>
      <sheetName val="Sheet1"/>
      <sheetName val="Sheet2"/>
      <sheetName val="Sheet3"/>
      <sheetName val="97 사업추정(WEKI)"/>
      <sheetName val="영업소실적"/>
    </sheetNames>
    <sheetDataSet>
      <sheetData sheetId="0"/>
      <sheetData sheetId="1" refreshError="1"/>
      <sheetData sheetId="2"/>
      <sheetData sheetId="3"/>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_DCI"/>
      <sheetName val="FF_DCI"/>
      <sheetName val="MECH_DCI"/>
      <sheetName val="HVAC_DCI"/>
      <sheetName val="PIPE_DCI"/>
      <sheetName val="INST_DCI"/>
      <sheetName val="CIVIL_DCI"/>
      <sheetName val="BLDG_DCI"/>
      <sheetName val="ELEC_DCI"/>
      <sheetName val="Testing"/>
      <sheetName val="DCI_010417_EL"/>
      <sheetName val="정부노임단가"/>
      <sheetName val="BQ"/>
      <sheetName val="본지점중"/>
      <sheetName val="Wkly04"/>
      <sheetName val="7.5.2 BOQ Summary "/>
      <sheetName val="공사비PK5월"/>
      <sheetName val="SE-611"/>
      <sheetName val="예산서"/>
      <sheetName val="TABLE"/>
      <sheetName val="Base_Data"/>
      <sheetName val="BB2현대건설견적"/>
      <sheetName val="BM"/>
      <sheetName val="건내용"/>
      <sheetName val="Sheet2"/>
      <sheetName val="DU&amp;B"/>
      <sheetName val="INSTR"/>
      <sheetName val="SOHAR(2nd)"/>
      <sheetName val="#REF"/>
      <sheetName val="회사99"/>
      <sheetName val="간접비내역-1"/>
      <sheetName val="MEAS"/>
      <sheetName val="mat list"/>
      <sheetName val="TIE-INS"/>
      <sheetName val="Material and Manpower data"/>
      <sheetName val="Pricing Summary"/>
      <sheetName val="영업소실적"/>
      <sheetName val="상반기손익차2총괄"/>
      <sheetName val="data_dci"/>
      <sheetName val="data_mci"/>
      <sheetName val="behind"/>
      <sheetName val="Main"/>
      <sheetName val="세금자료"/>
      <sheetName val="경제지표"/>
      <sheetName val="공통비"/>
      <sheetName val="fitting"/>
      <sheetName val="IMP(MAIN)"/>
      <sheetName val="IMP (REACTOR)"/>
      <sheetName val="경비2내역"/>
      <sheetName val="소업1교"/>
      <sheetName val="eq_data"/>
      <sheetName val="cable"/>
      <sheetName val="도"/>
      <sheetName val="ITB COST"/>
      <sheetName val="95삼성급(본사)"/>
      <sheetName val="BLDG_MCI"/>
      <sheetName val="working load at the btm ft."/>
      <sheetName val="stability check"/>
      <sheetName val="design criteria"/>
      <sheetName val="plan&amp;section of foundation"/>
      <sheetName val="산근"/>
      <sheetName val="갑지"/>
      <sheetName val="97 사업추정(WEKI)"/>
      <sheetName val="h-013211-2"/>
      <sheetName val="PumpSpec"/>
      <sheetName val="간접비(1)"/>
      <sheetName val="TABLE2-2 OSBL(total)"/>
      <sheetName val="IN"/>
    </sheetNames>
    <sheetDataSet>
      <sheetData sheetId="0"/>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013211-2"/>
      <sheetName val="h-013201-2"/>
      <sheetName val="h-113003-3"/>
      <sheetName val="h-213002-3"/>
      <sheetName val="h-13101-3"/>
      <sheetName val="h-013001-3"/>
      <sheetName val="013301-2"/>
      <sheetName val="h-013202-2"/>
      <sheetName val="Total"/>
      <sheetName val="PumpSpec"/>
      <sheetName val="Testing"/>
      <sheetName val="h_013211_2"/>
      <sheetName val="design criteria"/>
      <sheetName val="working load at the btm ft_"/>
      <sheetName val="plan_section of foundation"/>
      <sheetName val="member design"/>
      <sheetName val="soil bearing check"/>
      <sheetName val="TO  MEST"/>
      <sheetName val="TRANSPORT"/>
      <sheetName val="Est-Trench1"/>
      <sheetName val="PRO_DCI"/>
      <sheetName val="INST_DCI"/>
      <sheetName val="HVAC_DCI"/>
      <sheetName val="PIPE_DCI"/>
      <sheetName val="mhrrate"/>
      <sheetName val="Ind"/>
      <sheetName val="Proposal"/>
      <sheetName val="간접비내역-1"/>
      <sheetName val="AABS내역"/>
      <sheetName val="Main Code"/>
      <sheetName val="Sheet1"/>
      <sheetName val="직원동원SCH"/>
      <sheetName val="Sheet4"/>
      <sheetName val="집계표(OPTION)"/>
      <sheetName val="ELEC_DCI"/>
      <sheetName val="eq_data"/>
      <sheetName val="변수데이타"/>
      <sheetName val="C급보 "/>
      <sheetName val="Sheet2"/>
      <sheetName val="할증 "/>
      <sheetName val="CAT_5"/>
      <sheetName val="집계표"/>
      <sheetName val="BQ List"/>
      <sheetName val="INSTR"/>
      <sheetName val="정부노임단가"/>
      <sheetName val="PHALAIDUCT "/>
      <sheetName val="RENUN"/>
      <sheetName val="BM DATA SHEET"/>
      <sheetName val="개시대사 (2)"/>
      <sheetName val="공사내역"/>
      <sheetName val="설계조건"/>
      <sheetName val="단면검토"/>
      <sheetName val="2월가격"/>
      <sheetName val="사업계획"/>
      <sheetName val="TOEC"/>
      <sheetName val="Define"/>
      <sheetName val="DESIGN"/>
      <sheetName val="OCT.FDN"/>
      <sheetName val="INSPECTOR (EPC-1)"/>
      <sheetName val="analisa"/>
      <sheetName val="Pipe Classes"/>
      <sheetName val="SPEC"/>
      <sheetName val="영업소실적"/>
      <sheetName val="Basic"/>
      <sheetName val="견적기준"/>
      <sheetName val="DATA"/>
      <sheetName val="REINF."/>
      <sheetName val="LOADS"/>
      <sheetName val="CHECK1"/>
      <sheetName val="MAIN"/>
      <sheetName val="PRO_A"/>
      <sheetName val="PRO"/>
      <sheetName val="Cover"/>
      <sheetName val="Base_Data"/>
      <sheetName val="최민영집계25"/>
      <sheetName val="Rekap A"/>
      <sheetName val="piping"/>
      <sheetName val="투입실적"/>
      <sheetName val="VL"/>
      <sheetName val="Cash2"/>
      <sheetName val="Z"/>
      <sheetName val="일위대가표(DEEP)"/>
      <sheetName val="NEWDRAW"/>
      <sheetName val="3.현장배치"/>
      <sheetName val="상반기손익차2총괄"/>
      <sheetName val="연돌일위집계"/>
      <sheetName val="ACTDATA"/>
      <sheetName val="영업2"/>
      <sheetName val="Ox-Air"/>
      <sheetName val="인원현황"/>
      <sheetName val="131COMP"/>
      <sheetName val="ITstk"/>
      <sheetName val="BQ"/>
      <sheetName val="plan&amp;section of foundation"/>
      <sheetName val="수입"/>
      <sheetName val="Instruction"/>
      <sheetName val="U+SRU 5UG"/>
      <sheetName val="개시전표"/>
      <sheetName val="ECC Master Title"/>
      <sheetName val="SE-611"/>
      <sheetName val="인원동원계획"/>
      <sheetName val="생산계획"/>
      <sheetName val="95삼성급(본사)"/>
      <sheetName val="EQUIP"/>
      <sheetName val="BQMPALOC"/>
      <sheetName val="steam table"/>
      <sheetName val="갑지"/>
      <sheetName val="PUMP"/>
      <sheetName val="산근"/>
      <sheetName val="#REF"/>
      <sheetName val="PI"/>
      <sheetName val="PROCURE"/>
      <sheetName val="Seals"/>
      <sheetName val="4K - (6a) Non Manual Breakdown"/>
      <sheetName val="투입인력"/>
      <sheetName val="wagerate"/>
      <sheetName val="Macro"/>
      <sheetName val="Taux"/>
      <sheetName val="IT-BAT"/>
      <sheetName val="jobhist"/>
      <sheetName val="PipWT"/>
      <sheetName val="INPUT DATA"/>
      <sheetName val="Summary Sheets"/>
      <sheetName val="cal"/>
      <sheetName val="내역서"/>
      <sheetName val="7.6.3(B) UG Piping"/>
      <sheetName val="수량산출서"/>
      <sheetName val="BOQ"/>
      <sheetName val=" Sum"/>
      <sheetName val="LOOKUP"/>
      <sheetName val="ANALYSER"/>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말뚝물량"/>
      <sheetName val="8.현장관리비"/>
      <sheetName val="7.안전관리비"/>
      <sheetName val="노임단가"/>
      <sheetName val="w't table"/>
      <sheetName val="CondPol"/>
      <sheetName val="경제지표"/>
      <sheetName val="세금자료"/>
      <sheetName val="cable"/>
      <sheetName val="DESIGN(77C-102A)-2"/>
      <sheetName val="RFP007"/>
      <sheetName val="0.갑지"/>
      <sheetName val="제출sche(Basic)"/>
      <sheetName val="5"/>
      <sheetName val="Database"/>
      <sheetName val="Gia vat tu"/>
      <sheetName val="PDS U-1400"/>
      <sheetName val="Summary"/>
      <sheetName val="대치판정"/>
      <sheetName val="AILC004"/>
      <sheetName val="MR"/>
      <sheetName val="EQT-ESTN"/>
      <sheetName val="ZAR SAZ"/>
      <sheetName val="Unit 49_분개표"/>
      <sheetName val="Unit 76_분개표"/>
      <sheetName val="rates"/>
      <sheetName val="구조물철거타공정이월"/>
      <sheetName val="HVAC"/>
      <sheetName val="Lab-Rate"/>
      <sheetName val="SITE EST"/>
      <sheetName val="단중표"/>
      <sheetName val="TABLE2-2 OSBL-(SITE PREP)"/>
      <sheetName val="견적의뢰"/>
      <sheetName val="B"/>
      <sheetName val="TANK"/>
      <sheetName val="nde_request"/>
      <sheetName val="Piping(Methanol)"/>
      <sheetName val="예산M12A"/>
      <sheetName val="자동이름-삽입-시트"/>
      <sheetName val="Hangers"/>
      <sheetName val="Read Me"/>
      <sheetName val="Tb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INNER FULE"/>
      <sheetName val="적용할증"/>
      <sheetName val="연돌일위집계"/>
      <sheetName val="일위대가"/>
      <sheetName val="고소할증품"/>
      <sheetName val="특수비계공품"/>
      <sheetName val="수량산출서"/>
      <sheetName val="플랫폼집계"/>
      <sheetName val="플랫폼수량"/>
      <sheetName val="계단집계"/>
      <sheetName val="계단수량"/>
      <sheetName val="랜딩집계"/>
      <sheetName val="랜딩수량"/>
      <sheetName val="사다리집계"/>
      <sheetName val="사다리수량"/>
      <sheetName val="Sheet1"/>
      <sheetName val="연돌내역서"/>
      <sheetName val="연돌"/>
      <sheetName val="Sheet2"/>
      <sheetName val="Sheet3"/>
      <sheetName val="(76)배관총괄"/>
      <sheetName val="M2-1-1"/>
      <sheetName val="M2-1-2"/>
      <sheetName val="M2-1-3"/>
      <sheetName val="M2-1-4"/>
      <sheetName val="M2-1-5"/>
      <sheetName val="M2-1-6"/>
      <sheetName val="M2-1-7"/>
      <sheetName val="M2-1-8"/>
      <sheetName val="M2-1-9"/>
      <sheetName val="M2-1-10"/>
      <sheetName val="정산"/>
      <sheetName val="관리비"/>
      <sheetName val="기성공제"/>
      <sheetName val="실행내역"/>
      <sheetName val="1월보고(99종합)"/>
      <sheetName val="00년 1월"/>
      <sheetName val="00년 2월"/>
      <sheetName val="00년 3월"/>
      <sheetName val="00년 4월"/>
      <sheetName val="00년 5월"/>
      <sheetName val="00년상반기"/>
      <sheetName val="00년 7월"/>
      <sheetName val="00년 8월"/>
      <sheetName val="00년 9월"/>
      <sheetName val="00년10월"/>
      <sheetName val="12월가공서비스"/>
      <sheetName val="Sheet10"/>
      <sheetName val="Sheet11"/>
      <sheetName val="Sheet12"/>
      <sheetName val="Sheet13"/>
      <sheetName val="Sheet14"/>
      <sheetName val="Sheet15"/>
      <sheetName val="Sheet16"/>
      <sheetName val="그래프data"/>
      <sheetName val="정부노임단가"/>
      <sheetName val="갑지(추정)"/>
      <sheetName val="㽓다리수량"/>
      <sheetName val="실행(1)"/>
      <sheetName val="공문"/>
      <sheetName val="단가표"/>
      <sheetName val="설계예산서"/>
      <sheetName val="SG"/>
      <sheetName val="노원열병합  건축공사기성내역서"/>
      <sheetName val="01"/>
      <sheetName val="PIPE내역(FCN)"/>
      <sheetName val="목표세부명세"/>
      <sheetName val="금액내역서"/>
      <sheetName val="품셈"/>
      <sheetName val="DRUM"/>
      <sheetName val="배관(TDI ISBL)"/>
      <sheetName val="건축집계"/>
      <sheetName val="일위대가-목록"/>
      <sheetName val="TOWER 12TON"/>
      <sheetName val="TOWER 10TON"/>
      <sheetName val="CAT_5"/>
      <sheetName val="가시설흙막이"/>
      <sheetName val="직재"/>
      <sheetName val="결과조달"/>
      <sheetName val="3.공통공사대비"/>
      <sheetName val="0226"/>
      <sheetName val="실행"/>
      <sheetName val="당초"/>
      <sheetName val="PBS"/>
      <sheetName val="노임단가"/>
      <sheetName val="연돌내역일위"/>
      <sheetName val="1단계"/>
      <sheetName val="h-013211-2"/>
      <sheetName val="TDI ISBL"/>
      <sheetName val="청산공사"/>
      <sheetName val="예가표"/>
      <sheetName val="도"/>
      <sheetName val="견적"/>
      <sheetName val="#REF"/>
      <sheetName val="내"/>
      <sheetName val=" 견적서"/>
      <sheetName val="소비자가"/>
      <sheetName val="1ST"/>
      <sheetName val="단중"/>
      <sheetName val="품셈표"/>
      <sheetName val="기계설비"/>
      <sheetName val="공사내역"/>
      <sheetName val="D-3109"/>
      <sheetName val="misc"/>
      <sheetName val="부표총괄"/>
      <sheetName val="동축분 종합설계서"/>
      <sheetName val="TB-내역서"/>
      <sheetName val="Sheet5"/>
      <sheetName val="MINA BM"/>
      <sheetName val="INNER_FULE"/>
      <sheetName val="00년_1월"/>
      <sheetName val="00년_2월"/>
      <sheetName val="00년_3월"/>
      <sheetName val="00년_4월"/>
      <sheetName val="00년_5월"/>
      <sheetName val="00년_7월"/>
      <sheetName val="00년_8월"/>
      <sheetName val="00년_9월"/>
      <sheetName val="노원열병합__건축공사기성내역서"/>
      <sheetName val="배관(TDI_ISBL)"/>
      <sheetName val="TOWER_12TON"/>
      <sheetName val="TOWER_10TON"/>
      <sheetName val="동축분_종합설계서"/>
      <sheetName val="3_공통공사대비"/>
      <sheetName val="TDI_ISBL"/>
      <sheetName val="MINA_BM"/>
      <sheetName val="S003031"/>
      <sheetName val="유림골조"/>
      <sheetName val="IW-LIST"/>
      <sheetName val="안국연체"/>
      <sheetName val="현장경상비"/>
      <sheetName val="6호기"/>
      <sheetName val="PIPE"/>
      <sheetName val="FLANGE"/>
      <sheetName val="VALVE"/>
      <sheetName val="지급자재"/>
      <sheetName val="수주전망영업부"/>
      <sheetName val="전기일위대가"/>
      <sheetName val="C3"/>
      <sheetName val="기준"/>
      <sheetName val="APT"/>
      <sheetName val="수금 "/>
      <sheetName val="12월정산수금현황"/>
      <sheetName val="수정시산표"/>
      <sheetName val="B"/>
      <sheetName val="BACKDATA"/>
      <sheetName val="A"/>
      <sheetName val="외화"/>
      <sheetName val="2 카드채권(대출포함)"/>
      <sheetName val="자금동향"/>
      <sheetName val="Back data Table"/>
      <sheetName val="CONC SLAB"/>
      <sheetName val="Summary"/>
      <sheetName val="24V"/>
      <sheetName val="일위대가(여기까지)"/>
      <sheetName val="집계"/>
      <sheetName val="기본일위"/>
      <sheetName val="직노"/>
      <sheetName val="I一般比"/>
      <sheetName val="내역서2안"/>
      <sheetName val="설직재-1"/>
      <sheetName val="Sheet4"/>
      <sheetName val="내역서(총)"/>
      <sheetName val="세대내부"/>
      <sheetName val="조건표"/>
      <sheetName val="ELECTRIC"/>
      <sheetName val="CTEMCOST"/>
      <sheetName val="SCHEDULE"/>
      <sheetName val="ERECIN"/>
      <sheetName val="수입"/>
      <sheetName val="제직재"/>
      <sheetName val="설치공사"/>
      <sheetName val="CALCULATION"/>
      <sheetName val="설계예시"/>
      <sheetName val="INSTR"/>
      <sheetName val="전기"/>
      <sheetName val="건축(광주)"/>
      <sheetName val="일반부표"/>
      <sheetName val="집계표"/>
      <sheetName val="C-301E~305E"/>
      <sheetName val="노임"/>
      <sheetName val="기준표"/>
      <sheetName val="도면자료제출일정"/>
      <sheetName val="갑지"/>
      <sheetName val="입상내역"/>
      <sheetName val="수문일위1"/>
      <sheetName val="공사비증감"/>
      <sheetName val="월별cashflow"/>
      <sheetName val="사업검토"/>
      <sheetName val="월별경비집행"/>
      <sheetName val="trf(36%)"/>
      <sheetName val="견적조건"/>
      <sheetName val="NYS"/>
      <sheetName val="SOS_PLC &amp; Panel"/>
      <sheetName val="Supplement2"/>
      <sheetName val="수로단위수량"/>
      <sheetName val="설계조건"/>
      <sheetName val="건축-물가변동"/>
      <sheetName val="nde_request"/>
      <sheetName val="표지"/>
      <sheetName val="REFTABLE"/>
      <sheetName val="KMX(현대토목)"/>
      <sheetName val="PIPE(UG)내역"/>
      <sheetName val="일위대가(계측기설치)"/>
      <sheetName val="일위"/>
      <sheetName val="Y-WORK"/>
      <sheetName val="COVER-P"/>
      <sheetName val="금융비용"/>
      <sheetName val="카메라(TO양식변경)"/>
      <sheetName val="공통비총괄표"/>
      <sheetName val="매출"/>
      <sheetName val="1.설계기준"/>
      <sheetName val="0708"/>
      <sheetName val="Sheet9"/>
      <sheetName val="발전기"/>
      <sheetName val="간선"/>
      <sheetName val="전기자료"/>
      <sheetName val="INNER_FULE1"/>
      <sheetName val="00년_1월1"/>
      <sheetName val="00년_2월1"/>
      <sheetName val="00년_3월1"/>
      <sheetName val="00년_4월1"/>
      <sheetName val="00년_5월1"/>
      <sheetName val="00년_7월1"/>
      <sheetName val="00년_8월1"/>
      <sheetName val="00년_9월1"/>
      <sheetName val="노원열병합__건축공사기성내역서1"/>
      <sheetName val="배관(TDI_ISBL)1"/>
      <sheetName val="TOWER_12TON1"/>
      <sheetName val="TOWER_10TON1"/>
      <sheetName val="_견적서"/>
      <sheetName val="7.1유효폭"/>
      <sheetName val="현장관리비"/>
      <sheetName val="노임이"/>
      <sheetName val="골프장예산"/>
      <sheetName val="실행내역서 "/>
      <sheetName val="설계명세서"/>
      <sheetName val="IMPEADENCE MAP 취수장"/>
      <sheetName val="내역서"/>
      <sheetName val="앉음벽 (2)"/>
      <sheetName val="원가계산서(남측)"/>
      <sheetName val="MIBK원단위"/>
      <sheetName val="KUNGDEVI"/>
      <sheetName val="NAMES"/>
      <sheetName val="D-623D"/>
      <sheetName val="BQ"/>
      <sheetName val="TCF"/>
      <sheetName val="人力"/>
      <sheetName val="分析2-安装包"/>
      <sheetName val="할증 "/>
      <sheetName val="6PILE  (돌출)"/>
      <sheetName val="sum1 (2)"/>
      <sheetName val="5.소재"/>
      <sheetName val="LinerWt"/>
      <sheetName val="토공정보"/>
      <sheetName val="두앙"/>
      <sheetName val="BQMPALOC"/>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 Section Settle Out Condit"/>
    </sheetNames>
    <definedNames>
      <definedName name="[Etc code].BtnCancel_Click"/>
      <definedName name="[Etc code].BtnOK_Click"/>
      <definedName name="[Part Code].BtnCancel_Click"/>
      <definedName name="[Part Code].BtnOK_Click"/>
      <definedName name="[Section Code].BtnCancel_Click"/>
      <definedName name="[Section Code].BtnOK_Click"/>
      <definedName name="[Section Data Code].BtnCancel_Click"/>
      <definedName name="[Section Data Code].BtnOK_Click"/>
    </defined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013211-2"/>
      <sheetName val="h-013201-2"/>
      <sheetName val="h-113003-3"/>
      <sheetName val="h-213002-3"/>
      <sheetName val="h-13101-3"/>
      <sheetName val="h-013001-3"/>
      <sheetName val="013301-2"/>
      <sheetName val="h-013202-2"/>
      <sheetName val="Cover"/>
      <sheetName val="jobhist"/>
      <sheetName val="수입"/>
      <sheetName val="h_013211_2"/>
      <sheetName val="PipWT"/>
      <sheetName val="cal"/>
      <sheetName val="내역서"/>
      <sheetName val="INPUT DATA"/>
      <sheetName val="Summary Sheets"/>
      <sheetName val="eq_data"/>
      <sheetName val="7.6.3(B) UG Piping"/>
      <sheetName val="CAT_5"/>
      <sheetName val="INSTR"/>
      <sheetName val="ANALYSER"/>
      <sheetName val="#REF"/>
      <sheetName val="BOQ"/>
      <sheetName val="Sheet1"/>
      <sheetName val=" Sum"/>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상반기손익차2총괄"/>
      <sheetName val="IT-BAT"/>
      <sheetName val="노임단가"/>
      <sheetName val="최민영집계25"/>
      <sheetName val="말뚝물량"/>
      <sheetName val="BQ"/>
      <sheetName val="w't table"/>
      <sheetName val="8.현장관리비"/>
      <sheetName val="7.안전관리비"/>
      <sheetName val="CondPol"/>
      <sheetName val="Database"/>
      <sheetName val="Gia vat tu"/>
      <sheetName val="경제지표"/>
      <sheetName val="영업소실적"/>
      <sheetName val="DESIGN(77C-102A)-2"/>
      <sheetName val="ZAR SAZ"/>
      <sheetName val="AILC004"/>
      <sheetName val="세금자료"/>
      <sheetName val="cable"/>
      <sheetName val="RFP007"/>
      <sheetName val="0.갑지"/>
      <sheetName val="Summary"/>
      <sheetName val="대치판정"/>
      <sheetName val="LOOKUP"/>
      <sheetName val="수량산출서"/>
      <sheetName val="제출sche(Basic)"/>
      <sheetName val="PHALAIDUCT "/>
      <sheetName val="5"/>
      <sheetName val="PDS U-1400"/>
      <sheetName val="Sheet4"/>
      <sheetName val="MR"/>
      <sheetName val="EQT-ESTN"/>
      <sheetName val="Macro"/>
      <sheetName val="Taux"/>
      <sheetName val="Unit 49_분개표"/>
      <sheetName val="Unit 76_분개표"/>
      <sheetName val="공사비 내역 (가)"/>
      <sheetName val="rates"/>
      <sheetName val="구조물철거타공정이월"/>
      <sheetName val="요약배부"/>
      <sheetName val="주관사업"/>
      <sheetName val="HVAC"/>
      <sheetName val="정부노임단가"/>
      <sheetName val="내역"/>
      <sheetName val="DATE"/>
      <sheetName val="12CGOU"/>
      <sheetName val="X17-TOTAL"/>
      <sheetName val="간접비 총괄표"/>
      <sheetName val="FDM TOT"/>
      <sheetName val="VC2 8.98"/>
      <sheetName val="Factor"/>
      <sheetName val="물량집계(전기)"/>
      <sheetName val="물량집계(계장)"/>
      <sheetName val="TOTAL"/>
      <sheetName val="98TSON4A"/>
      <sheetName val="단중표-ST"/>
      <sheetName val="CIVIL WORK"/>
      <sheetName val="환율"/>
      <sheetName val="costing_CV"/>
      <sheetName val="PAINT"/>
      <sheetName val="공정계획(내부계획25%,내부w.f)"/>
      <sheetName val="PIPE"/>
      <sheetName val="DESIGN CRETERIA"/>
      <sheetName val="DESIGN CRITERIA"/>
      <sheetName val="COVERSHEET"/>
      <sheetName val="DESIGN_CRETERIA"/>
      <sheetName val="Graph (LGEN)"/>
      <sheetName val="out_prog"/>
      <sheetName val="선적schedule (2)"/>
      <sheetName val="조도계산서 (도서)"/>
      <sheetName val="인원계획"/>
      <sheetName val="Desal-E&amp;I"/>
      <sheetName val="UnitList"/>
      <sheetName val="Testing"/>
      <sheetName val="working load at the btm ft_"/>
      <sheetName val="plan_section of foundation"/>
      <sheetName val="member design"/>
      <sheetName val="soil bearing check"/>
      <sheetName val="TO  MEST"/>
      <sheetName val="PumpSpec"/>
      <sheetName val="TRANSPORT"/>
      <sheetName val="Est-Trench1"/>
      <sheetName val="PRO_DCI"/>
      <sheetName val="INST_DCI"/>
      <sheetName val="HVAC_DCI"/>
      <sheetName val="PIPE_DCI"/>
      <sheetName val="mhrrate"/>
      <sheetName val="Ind"/>
      <sheetName val="Proposal"/>
      <sheetName val="변수데이타"/>
      <sheetName val="C급보 "/>
      <sheetName val="집계표(OPTION)"/>
      <sheetName val="직원동원SCH"/>
      <sheetName val="AABS내역"/>
      <sheetName val="Main Code"/>
      <sheetName val="공사내역"/>
      <sheetName val="간접비내역-1"/>
      <sheetName val="ELEC_DCI"/>
      <sheetName val="집계표"/>
      <sheetName val="BQ List"/>
      <sheetName val="설계조건"/>
      <sheetName val="단면검토"/>
      <sheetName val="PI"/>
      <sheetName val="Staff,Labor Wage &amp; Salary"/>
      <sheetName val="실행(1)"/>
      <sheetName val="S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자가발전)"/>
      <sheetName val="갑지(임시동력)"/>
      <sheetName val="구조_건축"/>
      <sheetName val="기계"/>
      <sheetName val="배관"/>
      <sheetName val="계장"/>
      <sheetName val="전기"/>
      <sheetName val="도장"/>
      <sheetName val="Fire Proofing"/>
      <sheetName val="보온"/>
      <sheetName val="가설(자가발전)"/>
      <sheetName val="가설(임시동력)"/>
      <sheetName val="수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인원계획"/>
      <sheetName val="공사비_NDE"/>
      <sheetName val="POL6차-PIPING"/>
      <sheetName val="h-013211-2"/>
      <sheetName val="공사비 내역 (가)"/>
      <sheetName val="Sheet1"/>
      <sheetName val="INPUT DATA"/>
      <sheetName val="산근"/>
      <sheetName val="BOJUNGGM"/>
      <sheetName val="정부노임단가"/>
      <sheetName val="수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 val="eq_data"/>
      <sheetName val="Backdata"/>
      <sheetName val="SubCon"/>
      <sheetName val="요약배부"/>
      <sheetName val="주관사업"/>
      <sheetName val="IT-BA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삼성급(총괄)"/>
      <sheetName val="95삼성급(본사)"/>
      <sheetName val="95삼성급_본사_"/>
      <sheetName val="삼성초임"/>
      <sheetName val="B"/>
      <sheetName val="수입"/>
    </sheetNames>
    <sheetDataSet>
      <sheetData sheetId="0"/>
      <sheetData sheetId="1"/>
      <sheetData sheetId="2"/>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
      <sheetName val="t"/>
      <sheetName val="os"/>
      <sheetName val="Sheet1"/>
      <sheetName val="Sheet2"/>
      <sheetName val="INSTR"/>
      <sheetName val="Orbit"/>
      <sheetName val="Pag. 1"/>
      <sheetName val="Code"/>
      <sheetName val="IO Mod List (2)"/>
      <sheetName val="IO Mod List (1)"/>
      <sheetName val="080-HIS-159"/>
      <sheetName val="080-HIS-160"/>
      <sheetName val="080-HIS-161"/>
      <sheetName val="080-HIS-162"/>
      <sheetName val="080-HIS-257"/>
      <sheetName val="080-HIS-258"/>
      <sheetName val="080-HIS-259"/>
      <sheetName val="080-HIS-260"/>
      <sheetName val="080-HIS-261"/>
      <sheetName val="080-HIS-262"/>
      <sheetName val="080-HIS-263"/>
      <sheetName val="080-HIS-264"/>
      <sheetName val="080-DCS-101"/>
      <sheetName val="080-DCS-102"/>
      <sheetName val="080-DCS-103"/>
      <sheetName val="080-DCS-104"/>
      <sheetName val="080-DCS-201"/>
      <sheetName val="080-DCS-202"/>
      <sheetName val="080-DCS-203"/>
      <sheetName val="080-DCS-204"/>
      <sheetName val="080-DCS-205"/>
      <sheetName val="080-DCS-206"/>
      <sheetName val="080-DCS-207"/>
      <sheetName val="14962"/>
      <sheetName val="14963"/>
      <sheetName val="14923"/>
      <sheetName val="55010"/>
      <sheetName val="[Command not available][Command"/>
      <sheetName val="#REF!"/>
      <sheetName val="INST_DCI"/>
      <sheetName val="HVAC_DCI"/>
      <sheetName val="PIPE_DCI"/>
      <sheetName val="PRO_DCI"/>
      <sheetName val="7.6.3(B) UG Piping"/>
      <sheetName val="BQ"/>
      <sheetName val="Testing"/>
      <sheetName val="예산서"/>
      <sheetName val="REQDELTA"/>
      <sheetName val="Base_Data"/>
      <sheetName val="6.3.E.Insul (2)"/>
      <sheetName val="[Command_not_available][Command"/>
      <sheetName val="7_6_3(B)_UG_Piping"/>
      <sheetName val="PUMP SHT"/>
      <sheetName val="공사비 내역 (가)"/>
      <sheetName val="2.PPS SLV(320EP)"/>
      <sheetName val=""/>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refreshError="1"/>
      <sheetData sheetId="54" refreshError="1"/>
      <sheetData sheetId="55" refreshError="1"/>
      <sheetData sheetId="5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VP (1)"/>
      <sheetName val="LRVP (2)"/>
      <sheetName val="L V Separator"/>
    </sheetNames>
    <sheetDataSet>
      <sheetData sheetId="0"/>
      <sheetData sheetId="1"/>
      <sheetData sheetId="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공문1"/>
      <sheetName val="표지"/>
      <sheetName val="1총괄(上)"/>
      <sheetName val="1총괄(下)"/>
      <sheetName val="2손익"/>
      <sheetName val="3대차"/>
      <sheetName val="4법인세(上)"/>
      <sheetName val="4법인세(下)"/>
      <sheetName val="5잉여금"/>
      <sheetName val="6준비금"/>
      <sheetName val="6부가"/>
      <sheetName val="7여신"/>
      <sheetName val="8주평"/>
      <sheetName val="9확정실적"/>
      <sheetName val="9_1차이내역"/>
      <sheetName val="97 사업추정(WEKI)"/>
      <sheetName val="손익차총괄2"/>
      <sheetName val="상반기손익차2총괄"/>
      <sheetName val="P.M 별"/>
      <sheetName val="현금흐름표"/>
      <sheetName val="수입"/>
      <sheetName val="97_사업추정(WEKI)"/>
      <sheetName val="P_M_별"/>
      <sheetName val="환율"/>
      <sheetName val="#REF"/>
      <sheetName val="신대방33(적용)"/>
      <sheetName val="투입"/>
      <sheetName val="7. 매출 투입 취하"/>
      <sheetName val="BQMPALOC"/>
      <sheetName val="수주현황2월"/>
      <sheetName val="95WBS"/>
      <sheetName val="공통"/>
      <sheetName val="토목주소"/>
      <sheetName val="PRO_DCI"/>
      <sheetName val="INST_DCI"/>
      <sheetName val="HVAC_DCI"/>
      <sheetName val="PIPE_DCI"/>
      <sheetName val="경비"/>
      <sheetName val="h_013211_2"/>
      <sheetName val="SG"/>
      <sheetName val="주관사업"/>
      <sheetName val="alat"/>
      <sheetName val="Upah"/>
      <sheetName val="납부내역"/>
      <sheetName val="전기"/>
      <sheetName val="기기리스트"/>
      <sheetName val="집계표"/>
      <sheetName val="개시대사 (2)"/>
      <sheetName val="合成単価作成表-BLDG"/>
      <sheetName val="세금자료"/>
      <sheetName val="경제지표"/>
      <sheetName val="사업부배부A"/>
      <sheetName val="요약배부"/>
      <sheetName val="Cover"/>
      <sheetName val="영업소실적"/>
      <sheetName val="계측 내역서"/>
      <sheetName val="Sheet1"/>
      <sheetName val="LABTOTAL"/>
      <sheetName val="Sheet 1"/>
      <sheetName val="구의33고"/>
      <sheetName val="손익차9월2"/>
      <sheetName val="97_사업추정(WEKI)1"/>
      <sheetName val="P_M_별1"/>
      <sheetName val="7__매출_투입_취하"/>
      <sheetName val="개시대사_(2)"/>
      <sheetName val="예정(3)"/>
      <sheetName val="동원(3)"/>
      <sheetName val="INSTR"/>
      <sheetName val="인사자료총집계"/>
      <sheetName val="소화실적"/>
      <sheetName val="인상효1"/>
      <sheetName val="96결산"/>
      <sheetName val="준검 내역서"/>
      <sheetName val="교각계산"/>
      <sheetName val="기자재집계"/>
      <sheetName val="토목"/>
      <sheetName val="inter"/>
      <sheetName val="차수"/>
      <sheetName val="전체내역서"/>
      <sheetName val="공통부대비"/>
      <sheetName val="BQ"/>
      <sheetName val="PIPE"/>
      <sheetName val="교각1"/>
      <sheetName val="INPUT"/>
      <sheetName val="Regenerator  Concrete Structure"/>
      <sheetName val="일위대가(가설)"/>
      <sheetName val="D-623D"/>
      <sheetName val="member design"/>
      <sheetName val="design criteria"/>
      <sheetName val="working load at the btm ft."/>
      <sheetName val="plan&amp;section of foundation"/>
      <sheetName val="soil bearing check"/>
      <sheetName val="기둥(원형)"/>
      <sheetName val="찍기"/>
      <sheetName val="단면 (2)"/>
      <sheetName val="단가산출서"/>
      <sheetName val="97_사업추정(WEKI)2"/>
      <sheetName val="P_M_별2"/>
      <sheetName val="7__매출_투입_취하1"/>
      <sheetName val="개시대사_(2)1"/>
      <sheetName val="계측_내역서"/>
      <sheetName val="Sheet_1"/>
      <sheetName val="준검_내역서"/>
      <sheetName val="Regenerator__Concrete_Structure"/>
      <sheetName val="내역서(당초변경)"/>
      <sheetName val="비교1"/>
      <sheetName val="Asset9809CAK"/>
      <sheetName val="BREAKDOWN(철거설치)"/>
      <sheetName val="리비아견적작업"/>
      <sheetName val="뜃맟뭁돽띿맟?-BLDG"/>
      <sheetName val="BREAKDOWN(신규설치)"/>
      <sheetName val="SUMMARY_철거"/>
      <sheetName val="REDUCER"/>
      <sheetName val="BCPAB"/>
      <sheetName val="SPT vs PHI"/>
      <sheetName val="RFP007"/>
      <sheetName val="출자한도"/>
      <sheetName val="뜃맟뭁돽띿맟_-BLDG"/>
      <sheetName val="주차구획선수량"/>
      <sheetName val="날개벽"/>
      <sheetName val="개산견적원본"/>
      <sheetName val="기본자료"/>
      <sheetName val="ITB 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영업소실적"/>
      <sheetName val="손익차9월2"/>
    </sheetNames>
    <sheetDataSet>
      <sheetData sheetId="0"/>
      <sheetData sheetId="1" refreshError="1"/>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9-1차이내역"/>
    </sheetNames>
    <sheetDataSet>
      <sheetData sheetId="0"/>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상반기손익차2총괄"/>
    </sheetNames>
    <sheetDataSet>
      <sheetData sheetId="0"/>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수입"/>
      <sheetName val="INPUT DATA"/>
    </sheetNames>
    <sheetDataSet>
      <sheetData sheetId="0"/>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9901사업부배부"/>
      <sheetName val="Sheet1"/>
      <sheetName val="계정실적"/>
      <sheetName val="계정보고"/>
      <sheetName val="계정보고 (2)"/>
      <sheetName val="99년1월추정실적 (2)"/>
      <sheetName val="요약배부"/>
      <sheetName val="요약배부 (보고)"/>
      <sheetName val="요약배부 (보고) (2)"/>
      <sheetName val="12월계정별 (2)"/>
      <sheetName val="배부부별"/>
      <sheetName val="배부비목"/>
      <sheetName val="임대원가"/>
      <sheetName val="기타매출"/>
      <sheetName val="기타매출 (2)"/>
      <sheetName val="기타매출 (3)"/>
      <sheetName val="기타매출 (4)"/>
      <sheetName val="영업소실적"/>
      <sheetName val="새마을금고"/>
      <sheetName val="Module1"/>
      <sheetName val="참고인원"/>
      <sheetName val="주관사업"/>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
      <sheetName val="Main"/>
      <sheetName val="DCI"/>
      <sheetName val="Progress"/>
      <sheetName val="S-Curve"/>
      <sheetName val="Sum"/>
      <sheetName val="Sum_dci"/>
      <sheetName val="Sum_mci"/>
      <sheetName val="Sum_FT"/>
      <sheetName val="data_dci"/>
      <sheetName val="data_mci"/>
      <sheetName val="dci_sch"/>
      <sheetName val="dci_act"/>
      <sheetName val="mci_sch"/>
      <sheetName val="mci_act"/>
      <sheetName val="behind"/>
      <sheetName val="DATA"/>
      <sheetName val="영업소실적"/>
      <sheetName val="주관사업"/>
      <sheetName val="요약배부"/>
      <sheetName val="CalCu"/>
      <sheetName val="BQ List"/>
      <sheetName val="PipWT"/>
      <sheetName val="VLOOKUP"/>
      <sheetName val="cal-foamglass"/>
      <sheetName val="7.6.3(B) UG Pi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
      <sheetName val="7.6.1.A(INPUT)"/>
      <sheetName val="7.6.1.B(BREAKDN)"/>
      <sheetName val="7.6.1.C(SCOPE)"/>
      <sheetName val="7.6.1.D(TECH)"/>
      <sheetName val="7.6.1.E(ALLOW)"/>
      <sheetName val="7.6.2(SUMMARY)"/>
      <sheetName val="7.6.3.BOQ"/>
      <sheetName val="7.6.3(A) AG Piping"/>
      <sheetName val="7.6.3(A) AG Piping(증감)"/>
      <sheetName val="7.6.3(B) UG Piping"/>
      <sheetName val="7.6.3(B) UG Piping(증감)"/>
      <sheetName val="7.6.3 (C) Insulation"/>
      <sheetName val="7.6.3 (C) Insulation(증감)"/>
      <sheetName val="7.6.3 (D) Paint"/>
      <sheetName val="7.6.3 (E) PFP"/>
      <sheetName val="7.6.3(F) Pipe Support"/>
      <sheetName val="7.6.3 (G) Modification"/>
      <sheetName val="공사내역"/>
      <sheetName val="#REF"/>
      <sheetName val="공사비_NDE"/>
      <sheetName val="수입"/>
      <sheetName val="요약배부"/>
      <sheetName val="주관사업"/>
      <sheetName val="산출근거#2-3"/>
      <sheetName val="IMPEADENCE MAP 취수장"/>
      <sheetName val="연습"/>
      <sheetName val="eq_data"/>
      <sheetName val="표지_"/>
      <sheetName val="7_6_1_A(INPUT)"/>
      <sheetName val="7_6_1_B(BREAKDN)"/>
      <sheetName val="7_6_1_C(SCOPE)"/>
      <sheetName val="7_6_1_D(TECH)"/>
      <sheetName val="7_6_1_E(ALLOW)"/>
      <sheetName val="7_6_2(SUMMARY)"/>
      <sheetName val="7_6_3_BOQ"/>
      <sheetName val="7_6_3(A)_AG_Piping"/>
      <sheetName val="7_6_3(A)_AG_Piping(증감)"/>
      <sheetName val="7_6_3(B)_UG_Piping"/>
      <sheetName val="7_6_3(B)_UG_Piping(증감)"/>
      <sheetName val="7_6_3_(C)_Insulation"/>
      <sheetName val="7_6_3_(C)_Insulation(증감)"/>
      <sheetName val="7_6_3_(D)_Paint"/>
      <sheetName val="7_6_3_(E)_PFP"/>
      <sheetName val="7_6_3(F)_Pipe_Support"/>
      <sheetName val="7_6_3_(G)_Modification"/>
      <sheetName val="내역"/>
      <sheetName val="영업소실적"/>
      <sheetName val="choose"/>
      <sheetName val="DCS"/>
      <sheetName val="FWBS7000,8000"/>
      <sheetName val="ANALYSER"/>
      <sheetName val="사업부배부A"/>
      <sheetName val="EQUIPMENT -2"/>
      <sheetName val="Desal-E&amp;I"/>
      <sheetName val="BOQ for HRSG &amp; BOP-mech."/>
      <sheetName val="DATE"/>
      <sheetName val="97 사업추정(WEKI)"/>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4-3LEVEL-5 epic.4"/>
      <sheetName val="inter"/>
      <sheetName val="조건표"/>
      <sheetName val="data_dci"/>
      <sheetName val="data_mci"/>
      <sheetName val="behind"/>
      <sheetName val="Main"/>
      <sheetName val="POWER"/>
      <sheetName val="토목주소"/>
      <sheetName val="프랜트면허"/>
      <sheetName val="표지_1"/>
      <sheetName val="7_6_1_A(INPUT)1"/>
      <sheetName val="7_6_1_B(BREAKDN)1"/>
      <sheetName val="7_6_1_C(SCOPE)1"/>
      <sheetName val="7_6_1_D(TECH)1"/>
      <sheetName val="7_6_1_E(ALLOW)1"/>
      <sheetName val="7_6_2(SUMMARY)1"/>
      <sheetName val="7_6_3_BOQ1"/>
      <sheetName val="7_6_3(A)_AG_Piping1"/>
      <sheetName val="7_6_3(A)_AG_Piping(증감)1"/>
      <sheetName val="7_6_3(B)_UG_Piping1"/>
      <sheetName val="7_6_3(B)_UG_Piping(증감)1"/>
      <sheetName val="7_6_3_(C)_Insulation1"/>
      <sheetName val="7_6_3_(C)_Insulation(증감)1"/>
      <sheetName val="7_6_3_(D)_Paint1"/>
      <sheetName val="7_6_3_(E)_PFP1"/>
      <sheetName val="7_6_3(F)_Pipe_Support1"/>
      <sheetName val="7_6_3_(G)_Modification1"/>
      <sheetName val="IMPEADENCE_MAP_취수장"/>
      <sheetName val="EQUIPMENT_-2"/>
      <sheetName val="BOQ_for_HRSG_&amp;_BOP-mech_"/>
      <sheetName val="Flaer_Area"/>
      <sheetName val="97_사업추정(WEKI)"/>
      <sheetName val="4-3LEVEL-5_epic_4"/>
      <sheetName val="VA_code"/>
      <sheetName val="OCT"/>
      <sheetName val="간접비 총괄표"/>
      <sheetName val="환율change"/>
      <sheetName val="4.TANK Farm"/>
      <sheetName val="Sheet1"/>
      <sheetName val="C급보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월계정별"/>
      <sheetName val="VXXXX"/>
      <sheetName val="#REF"/>
      <sheetName val="영업소실적"/>
      <sheetName val="#REF!"/>
      <sheetName val="현황CODE"/>
      <sheetName val="손익현황"/>
      <sheetName val="VA_code"/>
      <sheetName val="data_dci"/>
      <sheetName val="data_mci"/>
      <sheetName val="behind"/>
      <sheetName val="Main"/>
      <sheetName val="2JEJO2"/>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
      <sheetName val="Main"/>
      <sheetName val="DCI"/>
      <sheetName val="Progress"/>
      <sheetName val="S-Curve"/>
      <sheetName val="Sum"/>
      <sheetName val="Sum_dci"/>
      <sheetName val="Sum_mci"/>
      <sheetName val="Sum_FT"/>
      <sheetName val="data_dci"/>
      <sheetName val="data_mci"/>
      <sheetName val="dci_sch"/>
      <sheetName val="dci_act"/>
      <sheetName val="mci_sch"/>
      <sheetName val="mci_act"/>
      <sheetName val="behind"/>
      <sheetName val="주관사업"/>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sheetData sheetId="15" refreshError="1"/>
      <sheetData sheetId="1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VA_code"/>
    </sheetNames>
    <sheetDataSet>
      <sheetData sheetId="0"/>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_code"/>
      <sheetName val="Sheet1"/>
      <sheetName val="Sheet1 (2)"/>
      <sheetName val="CAT_5"/>
      <sheetName val="Elec_BOQ"/>
      <sheetName val="95삼성급(본사)"/>
      <sheetName val="집계표"/>
      <sheetName val="개시대사 (2)"/>
      <sheetName val="95삼성급_본사_"/>
      <sheetName val="valve_code"/>
      <sheetName val="Titles"/>
      <sheetName val="Information"/>
      <sheetName val="LV CDB"/>
      <sheetName val="전차선로 물량표"/>
      <sheetName val="MixBed"/>
      <sheetName val="CondPol"/>
      <sheetName val="7.6.3(B) UG Piping"/>
      <sheetName val="B31.1"/>
      <sheetName val="PSIZE"/>
      <sheetName val="ASA"/>
      <sheetName val="MC-1"/>
      <sheetName val="교각1"/>
      <sheetName val="BQ"/>
      <sheetName val="Sheet1_(2)"/>
      <sheetName val="개시대사_(2)"/>
      <sheetName val="LV_CDB"/>
      <sheetName val="원가현황"/>
      <sheetName val="EQUIP-H"/>
      <sheetName val="경제성분석"/>
      <sheetName val="CB"/>
      <sheetName val="DATA"/>
      <sheetName val="단가 및 재료비"/>
      <sheetName val="data_dci"/>
      <sheetName val="data_mci"/>
      <sheetName val="behind"/>
      <sheetName val="Main"/>
      <sheetName val="eq_data"/>
      <sheetName val="작성기준"/>
      <sheetName val="내역"/>
      <sheetName val="´çÃÊ"/>
      <sheetName val="Pipe"/>
      <sheetName val="Valve"/>
      <sheetName val="Specialty Item"/>
      <sheetName val="영업소실적"/>
      <sheetName val="TDC_ADMIN"/>
      <sheetName val="Requisitions"/>
      <sheetName val="ICDS"/>
      <sheetName val="Sheet6"/>
      <sheetName val="XZLC004_PART2"/>
      <sheetName val="ABAD"/>
      <sheetName val="A1기성"/>
      <sheetName val="BGT"/>
      <sheetName val="CHAVOSH"/>
      <sheetName val="ZAR SAZ"/>
      <sheetName val="기계내역서"/>
      <sheetName val="I一般比"/>
      <sheetName val="N賃率-職"/>
      <sheetName val="요약배부"/>
      <sheetName val="주관사업"/>
      <sheetName val="Sum by Departments (3)"/>
      <sheetName val="Data Complete (2)"/>
      <sheetName val="Sheet1_(2)1"/>
      <sheetName val="개시대사_(2)1"/>
      <sheetName val="전차선로_물량표"/>
      <sheetName val="B31_1"/>
      <sheetName val="LV_CDB1"/>
      <sheetName val="7_6_3(B)_UG_Piping"/>
      <sheetName val="단가_및_재료비"/>
      <sheetName val="ZAR_SAZ"/>
      <sheetName val="Specialty_Item"/>
      <sheetName val="GTG TR"/>
      <sheetName val="내역서"/>
      <sheetName val="소일위대가코드표"/>
      <sheetName val="공사내역"/>
      <sheetName val="RENUN"/>
      <sheetName val="포장복구집계"/>
      <sheetName val="CAMP - CONSTRUCTION"/>
      <sheetName val="DRUM"/>
      <sheetName val="LEGEND"/>
      <sheetName val="PARAMETER"/>
      <sheetName val="간선계산"/>
      <sheetName val="공사비 내역 (가)"/>
      <sheetName val="상반기손익차2총괄"/>
      <sheetName val="Activity(new)"/>
      <sheetName val="jobhist"/>
      <sheetName val="공문"/>
      <sheetName val="TIE-IN"/>
      <sheetName val="수입"/>
      <sheetName val="Sheet5"/>
      <sheetName val="노임단가"/>
      <sheetName val="Sheet2"/>
      <sheetName val="Z"/>
      <sheetName val="choose"/>
      <sheetName val="Sheet1_(2)2"/>
      <sheetName val="개시대사_(2)2"/>
      <sheetName val="전차선로_물량표1"/>
      <sheetName val="B31_11"/>
      <sheetName val="LV_CDB2"/>
      <sheetName val="7_6_3(B)_UG_Piping1"/>
      <sheetName val="PRICE-COMP"/>
      <sheetName val="4.TANK Farm"/>
      <sheetName val="환율표"/>
      <sheetName val="EQUIPMENT"/>
      <sheetName val="Inst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5-보온(배관)_D"/>
      <sheetName val="BLDG_DCI"/>
      <sheetName val="BLDG_MCI"/>
      <sheetName val="9-1차이내역"/>
    </sheetNames>
    <sheetDataSet>
      <sheetData sheetId="0"/>
      <sheetData sheetId="1" refreshError="1"/>
      <sheetData sheetId="2" refreshError="1"/>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9_1차이내역"/>
      <sheetName val="9-1Â÷ÀÌ³»¿ª"/>
      <sheetName val="주관사업"/>
      <sheetName val="산출근거#2-3"/>
    </sheetNames>
    <sheetDataSet>
      <sheetData sheetId="0"/>
      <sheetData sheetId="1"/>
      <sheetData sheetId="2"/>
      <sheetData sheetId="3" refreshError="1"/>
      <sheetData sheetId="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_1000"/>
      <sheetName val="UNIT_2000"/>
      <sheetName val="UNIT_3000"/>
      <sheetName val="UNIT_4000"/>
      <sheetName val="UNIT_5000"/>
      <sheetName val="UNIT_6000"/>
      <sheetName val="UNIT_7000"/>
      <sheetName val="UNIT_OSBL"/>
      <sheetName val="CONTROL"/>
      <sheetName val="TDC_ADMIN"/>
      <sheetName val="Requisitions"/>
      <sheetName val="ICDS"/>
      <sheetName val="PRO_A"/>
      <sheetName val="MAIN"/>
      <sheetName val="PRO"/>
      <sheetName val="BLDG_DCI"/>
      <sheetName val="BLDG_MCI"/>
      <sheetName val="Units"/>
      <sheetName val="Instructions"/>
      <sheetName val="환율"/>
      <sheetName val="BATCH"/>
      <sheetName val="data_dci"/>
      <sheetName val="data_mci"/>
      <sheetName val="behind"/>
      <sheetName val="실행내역"/>
      <sheetName val="Connection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DG_DCI"/>
      <sheetName val="BLDG_MCI"/>
      <sheetName val="data_dci"/>
      <sheetName val="data_mci"/>
      <sheetName val="behind"/>
      <sheetName val="Main"/>
      <sheetName val="#REF!"/>
      <sheetName val="#REF"/>
      <sheetName val="9-1차이내역"/>
      <sheetName val="Cal"/>
      <sheetName val="집계표"/>
      <sheetName val="개시대사 (2)"/>
      <sheetName val="B31.1"/>
      <sheetName val="PSIZE"/>
      <sheetName val="VA_code"/>
      <sheetName val="BREAKDOWN"/>
      <sheetName val="Sheet5"/>
      <sheetName val="Data"/>
      <sheetName val="Calc"/>
      <sheetName val="Staff"/>
      <sheetName val="Regenerator  Concrete Structure"/>
      <sheetName val="LEGEND"/>
      <sheetName val="BLDG_0323"/>
      <sheetName val="본지점중"/>
      <sheetName val="기계내역서"/>
      <sheetName val="Base"/>
      <sheetName val="AILC004"/>
      <sheetName val="5-Digit"/>
      <sheetName val="95삼성급(본사)"/>
      <sheetName val="anls_alat"/>
      <sheetName val="계측 내역서"/>
      <sheetName val="7.6.3(B) UG Piping"/>
      <sheetName val="203 Eqpt r1"/>
      <sheetName val="교각1"/>
      <sheetName val="간선계산"/>
      <sheetName val="8-1차이내역"/>
      <sheetName val="개시대사_(2)"/>
      <sheetName val="B31_1"/>
      <sheetName val="Regenerator__Concrete_Structure"/>
      <sheetName val="수입"/>
      <sheetName val="C3"/>
      <sheetName val="EXCHANGE RATE"/>
      <sheetName val="Comparison_rA"/>
      <sheetName val="Sheet1"/>
      <sheetName val="CBE-VSL"/>
      <sheetName val="choose"/>
      <sheetName val="화성이화모듈공장"/>
      <sheetName val="원효펌프교체020812"/>
      <sheetName val="주관사업"/>
      <sheetName val="요약배부"/>
      <sheetName val="DWG DAT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BSD _2_"/>
      <sheetName val="Summary Sheets"/>
    </sheetNames>
    <sheetDataSet>
      <sheetData sheetId="0"/>
      <sheetData sheetId="1"/>
      <sheetData sheetId="2"/>
      <sheetData sheetId="3" refreshError="1"/>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영업소실적"/>
      <sheetName val="새마을금고"/>
      <sheetName val="Module1"/>
      <sheetName val="참고인원"/>
      <sheetName val="표지"/>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인원계획"/>
      <sheetName val="평균인원"/>
      <sheetName val="PRO_A"/>
      <sheetName val="MAIN"/>
      <sheetName val="P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Monitor"/>
      <sheetName val="Progress"/>
      <sheetName val="Progress Summary"/>
      <sheetName val="Drawing Status"/>
      <sheetName val="Procurement Status"/>
      <sheetName val="Progress_ACT"/>
      <sheetName val="MTO"/>
      <sheetName val="PRO_DCI"/>
      <sheetName val="FF_DCI"/>
      <sheetName val="MECH_DCI"/>
      <sheetName val="HVAC_DCI"/>
      <sheetName val="PIPE_DCI"/>
      <sheetName val="ELEC_DCI"/>
      <sheetName val="INST_DCI"/>
      <sheetName val="CIVIL_DCI"/>
      <sheetName val="BLDG_DCI"/>
      <sheetName val="MECH_MCI"/>
      <sheetName val="HVAC_MCI"/>
      <sheetName val="PIPING_MCI"/>
      <sheetName val="ELEC_MCI"/>
      <sheetName val="INST_MCI"/>
      <sheetName val="CIVIL_MCI"/>
      <sheetName val="BLDG_MCI"/>
      <sheetName val="DWG_A"/>
      <sheetName val="DWG"/>
      <sheetName val="PRO_A"/>
      <sheetName val="PRO"/>
      <sheetName val="Module1"/>
      <sheetName val="Module2"/>
      <sheetName val="Module3"/>
      <sheetName val="Module4"/>
      <sheetName val="data_dci"/>
      <sheetName val="data_mci"/>
      <sheetName val="작성기준"/>
      <sheetName val="PIPE"/>
      <sheetName val="BSD _2_"/>
      <sheetName val="집계표"/>
      <sheetName val="Summary Sheets"/>
      <sheetName val="15100"/>
      <sheetName val="BSD (2)"/>
      <sheetName val="VA_code"/>
      <sheetName val="BRICK"/>
      <sheetName val="LEGEND"/>
      <sheetName val="95삼성급(본사)"/>
      <sheetName val="RENUN"/>
      <sheetName val="FLANGE"/>
      <sheetName val="VALVE"/>
      <sheetName val="9-1차이내역"/>
      <sheetName val="ERECTION"/>
      <sheetName val="BREAKDOWN"/>
      <sheetName val="#REF"/>
      <sheetName val="eq_data"/>
      <sheetName val="SILICATE"/>
      <sheetName val="PAGE 2"/>
      <sheetName val="#3E1_GCR"/>
      <sheetName val="behind"/>
      <sheetName val="요약배부"/>
      <sheetName val="주관사업"/>
      <sheetName val="표지"/>
      <sheetName val="기둥(원형)"/>
      <sheetName val="COPING"/>
      <sheetName val="단가"/>
      <sheetName val="PBS"/>
      <sheetName val="BalanceSheet"/>
      <sheetName val="CashFlow"/>
      <sheetName val="Summary"/>
      <sheetName val="CAT_5"/>
      <sheetName val="남양시작동자105노65기1.3화1.2"/>
      <sheetName val="Progress_Summary"/>
      <sheetName val="Drawing_Status"/>
      <sheetName val="Procurement_Status"/>
      <sheetName val="BSD__2_"/>
      <sheetName val="Summary_Sheets"/>
      <sheetName val="BSD_(2)"/>
      <sheetName val="PAGE_2"/>
      <sheetName val="계산내역"/>
      <sheetName val="VLOOKUP"/>
      <sheetName val="cal-foamglass"/>
      <sheetName val="MonthlyProgress"/>
      <sheetName val="INSTR"/>
      <sheetName val="개시대사 (2)"/>
      <sheetName val="찍기"/>
      <sheetName val="대치판정"/>
      <sheetName val="TOEC"/>
      <sheetName val="인원계획"/>
      <sheetName val="guard(mac)"/>
      <sheetName val="h-013211-2"/>
      <sheetName val="AILC004"/>
      <sheetName val="Engrg Est"/>
      <sheetName val="계화배수(3대)"/>
      <sheetName val="수입"/>
      <sheetName val="직급별 신상명세"/>
      <sheetName val="main_db"/>
      <sheetName val="부서별 신상명세"/>
      <sheetName val="산근"/>
      <sheetName val="화성이화모듈공장"/>
      <sheetName val="CARBOLINE분석"/>
      <sheetName val="해외 연수비용 계산-삭제"/>
      <sheetName val="카메라"/>
      <sheetName val="해외 기술훈련비 (합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refreshError="1"/>
      <sheetData sheetId="72" refreshError="1"/>
      <sheetData sheetId="73" refreshError="1"/>
      <sheetData sheetId="74" refreshError="1"/>
      <sheetData sheetId="75" refreshError="1"/>
      <sheetData sheetId="76" refreshError="1"/>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PRO_A"/>
      <sheetName val="DWG"/>
      <sheetName val="ELEC_MCI"/>
      <sheetName val="MAIN"/>
      <sheetName val="INST_MCI"/>
      <sheetName val="MECH_MCI"/>
      <sheetName val="PRO"/>
      <sheetName val="cabl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VP (1)"/>
      <sheetName val="LRVP (2)"/>
      <sheetName val="sc0314 Index"/>
      <sheetName val="Page2"/>
      <sheetName val="eq_data"/>
      <sheetName val="주관사업"/>
      <sheetName val="요약배부"/>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영업소실적"/>
      <sheetName val="새마을금고"/>
      <sheetName val="Module1"/>
      <sheetName val="참고인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amp;WIRE"/>
      <sheetName val="FITTING"/>
      <sheetName val="PBS"/>
      <sheetName val="BULK"/>
      <sheetName val="LTG(PROCESS)"/>
      <sheetName val="LTG(CONTROLBLDG)"/>
      <sheetName val="PANELBOARD"/>
      <sheetName val="CONDUIT"/>
      <sheetName val="SHRINKABLE"/>
      <sheetName val="TERMINATIONKIT"/>
      <sheetName val="TB&amp;SPEAKER"/>
      <sheetName val="GND사급"/>
      <sheetName val="GND도급"/>
      <sheetName val="MCI"/>
      <sheetName val="#REF"/>
      <sheetName val="Sheet1"/>
      <sheetName val="Code"/>
      <sheetName val="Connections"/>
      <sheetName val="DWTables"/>
      <sheetName val="Y-MOV2011"/>
      <sheetName val="Corrib Haz"/>
      <sheetName val="Input"/>
      <sheetName val="Sheet2"/>
      <sheetName val="BQ List"/>
      <sheetName val="Proposal"/>
      <sheetName val="POWERBM"/>
      <sheetName val="환율"/>
      <sheetName val="Sheet5"/>
      <sheetName val="UXSLCNK4"/>
      <sheetName val="Dsndata"/>
      <sheetName val="StrucData"/>
      <sheetName val="부표총괄"/>
      <sheetName val="CommSpare"/>
      <sheetName val="eGAP Work Sht"/>
      <sheetName val="PRICE-COMP"/>
      <sheetName val="적용환율"/>
      <sheetName val="RFP002"/>
      <sheetName val="DGchitiet "/>
      <sheetName val="PBS?)."/>
      <sheetName val="주관사업"/>
      <sheetName val="요약배부"/>
      <sheetName val="FACTOR"/>
      <sheetName val="COA-17"/>
      <sheetName val="C-18"/>
      <sheetName val="ANALYSER"/>
      <sheetName val="FWBS7000,8000"/>
      <sheetName val="LABTOTAL"/>
      <sheetName val="BQ_List"/>
      <sheetName val="COMPARISON(TOTAL)"/>
      <sheetName val="COMPARISON(PKG1)"/>
      <sheetName val="COMPARISON(PKG2)"/>
      <sheetName val="COMPARISON(PKG3)"/>
      <sheetName val="BQ_List1"/>
      <sheetName val="7_3_2_D(BASE)_Sorting1"/>
      <sheetName val="7_3_2_E(OPTION)_Sorting1"/>
      <sheetName val="PRO_A"/>
      <sheetName val="MAIN"/>
      <sheetName val="PRO"/>
      <sheetName val="datalist"/>
      <sheetName val="spare(MCC)"/>
      <sheetName val="TECO"/>
      <sheetName val="작성기준"/>
      <sheetName val="CONTROL"/>
      <sheetName val="LV SWGR"/>
      <sheetName val="MV SWG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eq_data"/>
    </sheetNames>
    <sheetDataSet>
      <sheetData sheetId="0"/>
      <sheetData sheetId="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개시대사 (2)"/>
      <sheetName val="고자T-B"/>
      <sheetName val="환차,JJ비용 반영"/>
      <sheetName val="공사집계"/>
      <sheetName val="정산표14"/>
      <sheetName val="Sheet2"/>
      <sheetName val="고자현황"/>
      <sheetName val="상각현황"/>
      <sheetName val="개시최"/>
      <sheetName val="개시대사"/>
      <sheetName val="정산최"/>
      <sheetName val="정산표實"/>
      <sheetName val="data_dci"/>
      <sheetName val="data_mci"/>
      <sheetName val="behind"/>
      <sheetName val="Main"/>
      <sheetName val="본지점중"/>
      <sheetName val="fitting"/>
      <sheetName val="VLOOKUP"/>
      <sheetName val="cal-foamglass"/>
      <sheetName val="정산표"/>
      <sheetName val="ABAD"/>
      <sheetName val="A1기성"/>
      <sheetName val="BGT"/>
      <sheetName val="CHAVOSH"/>
      <sheetName val="ZAR SAZ"/>
      <sheetName val="#REF"/>
      <sheetName val="ARP2"/>
      <sheetName val="CHA REV"/>
      <sheetName val="FJK 0"/>
      <sheetName val="GAMMA 1"/>
      <sheetName val="RENUN"/>
      <sheetName val="개시전표"/>
      <sheetName val="h-013211-2"/>
      <sheetName val="97 사업추정(WEKI)"/>
      <sheetName val="공사비_N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97 사업추정_WEKI_"/>
      <sheetName val="9-1차이내역"/>
      <sheetName val="PumpSpec"/>
      <sheetName val="투찰가"/>
      <sheetName val="수량집계"/>
      <sheetName val="총괄집계표"/>
      <sheetName val="상반기손익차2총괄"/>
      <sheetName val="97SAUPCU"/>
      <sheetName val="RCF CLAIMED"/>
      <sheetName val="Expat Conditions"/>
      <sheetName val="eq_data"/>
      <sheetName val="수입"/>
      <sheetName val="손익차9월2"/>
      <sheetName val="시행예산"/>
      <sheetName val="단면가정"/>
      <sheetName val="fitting"/>
      <sheetName val="VENDOR LIST"/>
      <sheetName val="공통비"/>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 val="Sheet1"/>
      <sheetName val="Sheet2"/>
      <sheetName val="Sheet3"/>
      <sheetName val="상반기손익차2총괄"/>
      <sheetName val="SPEC-DT2"/>
      <sheetName val="DESCRIPTION"/>
      <sheetName val="우각부보강"/>
      <sheetName val="BM DATA SHEET"/>
      <sheetName val="PIPE"/>
      <sheetName val="FLANGE"/>
      <sheetName val="VALVE"/>
      <sheetName val="96.12"/>
      <sheetName val="Details"/>
      <sheetName val="NEWCPS"/>
      <sheetName val="97 사업추정(WEKI)"/>
      <sheetName val="IndectCostBreakdown"/>
      <sheetName val="PRO_A"/>
      <sheetName val="DWG"/>
      <sheetName val="MAIN"/>
      <sheetName val="PRO"/>
      <sheetName val="BQ"/>
      <sheetName val="h-013211-2"/>
      <sheetName val="주관사업"/>
      <sheetName val="ANALYSER"/>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013211-2"/>
      <sheetName val="h-013201-2"/>
      <sheetName val="h-113003-3"/>
      <sheetName val="h-213002-3"/>
      <sheetName val="h-13101-3"/>
      <sheetName val="h-013001-3"/>
      <sheetName val="013301-2"/>
      <sheetName val="h-013202-2"/>
      <sheetName val="PumpSpec"/>
      <sheetName val="steam table"/>
      <sheetName val="수량산출서"/>
      <sheetName val="97 사업추정(WEKI)"/>
      <sheetName val="본지점중"/>
      <sheetName val="eq_data"/>
      <sheetName val="견적의뢰"/>
      <sheetName val="수입"/>
      <sheetName val="PROCESS"/>
      <sheetName val="TOEC"/>
      <sheetName val="h_013211_2"/>
      <sheetName val="Expat Conditions"/>
      <sheetName val="공문"/>
      <sheetName val="REINF_"/>
      <sheetName val="SKETCH"/>
      <sheetName val="LOADS"/>
      <sheetName val="BQ(Piping)"/>
      <sheetName val="PipWT"/>
      <sheetName val="PHALAIDUCT dwg- h-013201-2"/>
      <sheetName val="Sheet1"/>
      <sheetName val="내역서"/>
      <sheetName val="details"/>
      <sheetName val="투입실적"/>
      <sheetName val="REINF."/>
      <sheetName val="소화실적"/>
      <sheetName val="M1"/>
      <sheetName val="BQ List"/>
      <sheetName val="CWP"/>
      <sheetName val="PIPE"/>
      <sheetName val="상반기손익차2총괄"/>
      <sheetName val="CHECK1"/>
      <sheetName val="Prefab"/>
      <sheetName val="new급여T(4을-운전)"/>
      <sheetName val="전기일위대가"/>
      <sheetName val="노임"/>
      <sheetName val="DATA"/>
      <sheetName val="CAT_5"/>
      <sheetName val="철수현황"/>
      <sheetName val="고자현황"/>
      <sheetName val="직원동원SCH"/>
      <sheetName val="Total"/>
      <sheetName val="Graph (LGEN)"/>
      <sheetName val="out_prog"/>
      <sheetName val="DCS_EDIT"/>
      <sheetName val="BM DATA SHEET"/>
      <sheetName val="fitting"/>
      <sheetName val="환율"/>
      <sheetName val="BLR 1"/>
      <sheetName val="GEN"/>
      <sheetName val="GAS"/>
      <sheetName val="DEAE"/>
      <sheetName val="BLR2"/>
      <sheetName val="BLR3"/>
      <sheetName val="BLR4"/>
      <sheetName val="BLR5"/>
      <sheetName val="DEM"/>
      <sheetName val="SAM"/>
      <sheetName val="CHEM"/>
      <sheetName val="COP"/>
      <sheetName val="현장지지물물량"/>
      <sheetName val="정부노임단가"/>
      <sheetName val="영업소실적"/>
      <sheetName val="경제지표"/>
      <sheetName val="PBS"/>
      <sheetName val="관세,통관수수료,운반비"/>
      <sheetName val="Ex-Rate"/>
      <sheetName val="DESCRIPTION"/>
      <sheetName val="CODE"/>
      <sheetName val="Sheet5"/>
      <sheetName val="dnc4"/>
      <sheetName val="IN"/>
      <sheetName val="CAPITULOS"/>
      <sheetName val=""/>
      <sheetName val="Quantity"/>
      <sheetName val="Sheet4"/>
      <sheetName val="General Data"/>
      <sheetName val="costing_CV"/>
      <sheetName val="costing_ESDV"/>
      <sheetName val="costing_FE"/>
      <sheetName val="costing_Misc"/>
      <sheetName val="costing_MOV"/>
      <sheetName val="costing_Press"/>
      <sheetName val="Elect (3)"/>
      <sheetName val="선적schedule (2)"/>
      <sheetName val="VA_code"/>
      <sheetName val="#REF"/>
      <sheetName val="터널조도"/>
      <sheetName val="PAGE 1"/>
      <sheetName val="plan&amp;section of foundation"/>
      <sheetName val="design criteria"/>
      <sheetName val="COVER"/>
      <sheetName val="DOWNLOAD"/>
      <sheetName val="PRO_DCI"/>
      <sheetName val="INST_DCI"/>
      <sheetName val="HVAC_DCI"/>
      <sheetName val="PIPE_DCI"/>
      <sheetName val="Price Comparison"/>
      <sheetName val="Y-WORK"/>
      <sheetName val="ITB COST"/>
      <sheetName val="LABTOTAL"/>
      <sheetName val="Contents"/>
      <sheetName val="Summary She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F_DCI"/>
      <sheetName val="MECH_DCI"/>
      <sheetName val="HVAC_DCI"/>
      <sheetName val="PIPE_DCI"/>
      <sheetName val="ELEC_DCI"/>
      <sheetName val="INST_DCI"/>
      <sheetName val="CIVIL_DCI"/>
      <sheetName val="BLDG_DCI"/>
      <sheetName val="BLDG_MCI"/>
      <sheetName val="97 사업추정(WEKI)"/>
      <sheetName val="설계조건"/>
      <sheetName val="BB2현대건설견적"/>
      <sheetName val="h_013211_2"/>
      <sheetName val="h-013211-2"/>
      <sheetName val="투입실적"/>
      <sheetName val="전력"/>
      <sheetName val="REINF."/>
      <sheetName val="LOADS"/>
      <sheetName val="crude.SLAB RE-bar"/>
      <sheetName val="CRUDE RE-bar"/>
      <sheetName val="견적의뢰"/>
      <sheetName val="Resource summary"/>
      <sheetName val="9-1차이내역"/>
      <sheetName val="상반기손익차2총괄"/>
      <sheetName val="ACTDATA"/>
      <sheetName val="수입"/>
      <sheetName val="labor"/>
      <sheetName val="환율"/>
      <sheetName val="Lookup"/>
      <sheetName val="일위대가"/>
      <sheetName val="LinerWt"/>
      <sheetName val="DCI_010419"/>
      <sheetName val="도"/>
      <sheetName val="area-table"/>
      <sheetName val="Thk-table"/>
      <sheetName val="전기일위대가"/>
      <sheetName val="Assumptions"/>
      <sheetName val="VESSEL Sh. 1"/>
      <sheetName val="CAT_5"/>
      <sheetName val="대비"/>
      <sheetName val="eq_data"/>
      <sheetName val="인원계획"/>
      <sheetName val="Cover"/>
      <sheetName val="세금자료"/>
      <sheetName val="경제지표"/>
      <sheetName val="LEGEND"/>
      <sheetName val="Data"/>
      <sheetName val="Estimate"/>
      <sheetName val="Major"/>
      <sheetName val="Sheet1"/>
      <sheetName val="PRO_A"/>
      <sheetName val="DWG"/>
      <sheetName val="ELEC_MCI"/>
      <sheetName val="MAIN"/>
      <sheetName val="INST_MCI"/>
      <sheetName val="MECH_MCI"/>
      <sheetName val="PRO"/>
      <sheetName val="VA_code"/>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Content"/>
      <sheetName val="7.5.1(A) Data"/>
      <sheetName val="7.5.1(B) BOQ Breakdown"/>
      <sheetName val="7.5.1(C) Scope"/>
      <sheetName val="7.5.1(D) Basis"/>
      <sheetName val="7.5.1(E) Allowance"/>
      <sheetName val="7.5.2 BOQ Summary"/>
      <sheetName val="7.5.3 BOQ"/>
      <sheetName val="A. Erec_BOQ(Shop)"/>
      <sheetName val="B. Erec_BOQ(Field)"/>
      <sheetName val="C. Surface_Protection"/>
      <sheetName val="A. Erec_BOQ(Shop) (2)"/>
      <sheetName val="B. Erec_BOQ(Field) (2)"/>
      <sheetName val="C. Surf_Protection"/>
      <sheetName val="Attachment #1"/>
      <sheetName val="Attachment #2"/>
      <sheetName val="LIST"/>
      <sheetName val="301"/>
      <sheetName val="302 C1"/>
      <sheetName val="302 C2"/>
      <sheetName val="302"/>
      <sheetName val="SUPPLY (2)"/>
      <sheetName val="RETURN (2)"/>
      <sheetName val="SUPPLY"/>
      <sheetName val="RETURN"/>
      <sheetName val="303"/>
      <sheetName val="303 (2)"/>
      <sheetName val="304"/>
      <sheetName val="305"/>
      <sheetName val="306"/>
      <sheetName val="307"/>
      <sheetName val="308"/>
      <sheetName val="308 (2)"/>
      <sheetName val="309"/>
      <sheetName val="309 (2)"/>
      <sheetName val="예산서"/>
      <sheetName val="Cover"/>
      <sheetName val="산출기준"/>
      <sheetName val="CABLE"/>
      <sheetName val="JUNCTION BOX"/>
      <sheetName val="TRAY"/>
      <sheetName val="PIPE"/>
      <sheetName val="PIPE FITTING"/>
      <sheetName val="TUBE"/>
      <sheetName val="TUBE FITTING"/>
      <sheetName val="CABLE GLAND"/>
      <sheetName val="VALVE"/>
      <sheetName val="MCT"/>
      <sheetName val="SUPPORT"/>
      <sheetName val="수입"/>
      <sheetName val="fdn_bm_pro"/>
      <sheetName val="P3"/>
      <sheetName val="Sheet1"/>
      <sheetName val="전기일위대가"/>
      <sheetName val="갑지(추정)"/>
      <sheetName val="CAT_5"/>
      <sheetName val="CONS. EQUIP.  "/>
      <sheetName val="투입실적"/>
      <sheetName val="A"/>
      <sheetName val="BLR 1"/>
      <sheetName val="GEN"/>
      <sheetName val="GAS"/>
      <sheetName val="DEAE"/>
      <sheetName val="BLR2"/>
      <sheetName val="BLR3"/>
      <sheetName val="BLR4"/>
      <sheetName val="BLR5"/>
      <sheetName val="DEM"/>
      <sheetName val="SAM"/>
      <sheetName val="CHEM"/>
      <sheetName val="COP"/>
      <sheetName val="TOEC"/>
      <sheetName val="T1"/>
      <sheetName val="일위대가"/>
      <sheetName val="VA_code"/>
      <sheetName val="가시설공"/>
      <sheetName val="REINF."/>
      <sheetName val="SKETCH"/>
      <sheetName val="LOADS"/>
      <sheetName val="CHECK1"/>
      <sheetName val="기별수량산출서"/>
      <sheetName val="출력X"/>
      <sheetName val="PRO_A"/>
      <sheetName val="DWG"/>
      <sheetName val="ELEC_MCI"/>
      <sheetName val="MAIN"/>
      <sheetName val="INST_MCI"/>
      <sheetName val="MECH_MCI"/>
      <sheetName val="PRO"/>
      <sheetName val="ELEC_DCI"/>
      <sheetName val="INST_DCI"/>
      <sheetName val="SPEC"/>
      <sheetName val="ACTDATA"/>
      <sheetName val="ITB COST"/>
      <sheetName val="97 사업추정(WEKI)"/>
      <sheetName val="건축"/>
      <sheetName val="PIP"/>
      <sheetName val="환율표"/>
      <sheetName val="90EL JACKET"/>
      <sheetName val="BAND(200)"/>
      <sheetName val="보온재"/>
      <sheetName val="FACTOR"/>
      <sheetName val="인건비"/>
      <sheetName val="보온 회사분"/>
      <sheetName val="7_5_1(A)_Data"/>
      <sheetName val="7_5_1(B)_BOQ_Breakdown"/>
      <sheetName val="7_5_1(C)_Scope"/>
      <sheetName val="7_5_1(D)_Basis"/>
      <sheetName val="7_5_1(E)_Allowance"/>
      <sheetName val="7_5_2_BOQ_Summary"/>
      <sheetName val="7_5_3_BOQ"/>
      <sheetName val="A__Erec_BOQ(Shop)"/>
      <sheetName val="B__Erec_BOQ(Field)"/>
      <sheetName val="C__Surface_Protection"/>
      <sheetName val="A__Erec_BOQ(Shop)_(2)"/>
      <sheetName val="B__Erec_BOQ(Field)_(2)"/>
      <sheetName val="C__Surf_Protection"/>
      <sheetName val="Attachment_#1"/>
      <sheetName val="Attachment_#2"/>
      <sheetName val="302_C1"/>
      <sheetName val="302_C2"/>
      <sheetName val="SUPPLY_(2)"/>
      <sheetName val="RETURN_(2)"/>
      <sheetName val="303_(2)"/>
      <sheetName val="308_(2)"/>
      <sheetName val="309_(2)"/>
      <sheetName val="JUNCTION_BOX"/>
      <sheetName val="PIPE_FITTING"/>
      <sheetName val="TUBE_FITTING"/>
      <sheetName val="CABLE_GLAND"/>
      <sheetName val="BLR_1"/>
      <sheetName val="CONS__EQUIP___"/>
      <sheetName val="REINF_"/>
      <sheetName val="토공"/>
      <sheetName val="TL,Termination"/>
      <sheetName val="Cable,Conduit"/>
      <sheetName val="WORK"/>
      <sheetName val="h-013211-2"/>
      <sheetName val="예산"/>
      <sheetName val="Cost control"/>
      <sheetName val="#REF"/>
      <sheetName val="부표총괄"/>
      <sheetName val="Elect"/>
      <sheetName val="FIRE FIGHTING"/>
      <sheetName val="소비자가"/>
      <sheetName val="을"/>
      <sheetName val="내역"/>
      <sheetName val="내역서"/>
      <sheetName val="Macro(전선)"/>
      <sheetName val="Tipo Terzi"/>
      <sheetName val="plan&amp;section of foundation"/>
      <sheetName val="design criteria"/>
      <sheetName val="주관사업"/>
      <sheetName val="요약배부"/>
      <sheetName val="9-1차이내역"/>
      <sheetName val="도"/>
      <sheetName val="CIVIL"/>
      <sheetName val="SHL"/>
      <sheetName val="Y-WORK"/>
      <sheetName val="DESCRIPTION"/>
      <sheetName val="BM DATA SHEET"/>
      <sheetName val="배관"/>
      <sheetName val="working load at the btm ft."/>
      <sheetName val="stability check"/>
      <sheetName val="BB2현대건설견적"/>
      <sheetName val="DATA"/>
      <sheetName val="PBS"/>
      <sheetName val="costing_CV"/>
      <sheetName val="costing_ESDV"/>
      <sheetName val="costing_FE"/>
      <sheetName val="costing_Misc"/>
      <sheetName val="costing_MOV"/>
      <sheetName val="costing_Press"/>
      <sheetName val="PRC-SUM"/>
      <sheetName val="Dati"/>
      <sheetName val="DN"/>
      <sheetName val="Fluidi"/>
      <sheetName val="Temperatura"/>
      <sheetName val="Mat Stelo"/>
      <sheetName val="N+"/>
      <sheetName val="CHK_OUT_BM_090914"/>
      <sheetName val="Unit SUM"/>
      <sheetName val="AILC004"/>
      <sheetName val="BREAKDOWN"/>
      <sheetName val="조경"/>
      <sheetName val="환율"/>
      <sheetName val="DWTables"/>
      <sheetName val="1.설계기준"/>
      <sheetName val="R2_0908"/>
      <sheetName val="BAP"/>
      <sheetName val="HRS"/>
      <sheetName val="방유제용량 계산서"/>
      <sheetName val="bill 2"/>
      <sheetName val="Resource"/>
      <sheetName val="95삼성급(본사)"/>
      <sheetName val="Break Dw"/>
      <sheetName val="TblPriceDB"/>
      <sheetName val="Total"/>
      <sheetName val="MOTOR"/>
      <sheetName val="Page2"/>
      <sheetName val="OUTER AREA(겹침없음)"/>
      <sheetName val="JACKET(50,50)"/>
      <sheetName val="FLANGE"/>
      <sheetName val="Tables"/>
      <sheetName val="dnc4"/>
      <sheetName val="DATA1"/>
      <sheetName val="Sheet2"/>
      <sheetName val="제품현황"/>
      <sheetName val="pile bearing capa &amp; arrenge"/>
      <sheetName val="design load"/>
      <sheetName val="oper_load"/>
      <sheetName val="evap"/>
      <sheetName val="Fab. Skid"/>
      <sheetName val="Material Specification"/>
      <sheetName val="special item 양진규 작성"/>
      <sheetName val="CODE"/>
      <sheetName val="정부노임단가"/>
      <sheetName val="인원계획"/>
      <sheetName val="lookup"/>
      <sheetName val="SILICATE"/>
      <sheetName val="CAMP OPERATING COST"/>
      <sheetName val="PERSONNEL SETUP"/>
      <sheetName val="LIST OF OFFICE EQUIPMENT"/>
      <sheetName val="STAFF&amp;INDIRECT SALARY - SUMMARY"/>
      <sheetName val="KOREAN STAFF SALARY_BREAKDOWN"/>
      <sheetName val="WELFARE COST - SITE"/>
      <sheetName val="표지 (2)"/>
      <sheetName val="자료"/>
      <sheetName val="Condition"/>
      <sheetName val="Sheet5"/>
      <sheetName val="ITB_COST"/>
      <sheetName val="Mat_Stelo"/>
      <sheetName val="Unit_SUM"/>
      <sheetName val="CAPVC"/>
      <sheetName val="CAL"/>
      <sheetName val="Sch.6"/>
      <sheetName val="세금자료"/>
      <sheetName val="경제지표"/>
      <sheetName val="대비내역"/>
      <sheetName val="Schedule(1)"/>
      <sheetName val="개시대사 (2)"/>
      <sheetName val="집계표"/>
      <sheetName val="A-4"/>
      <sheetName val="단가정보"/>
      <sheetName val="INPUT DATA"/>
      <sheetName val="CSTSUM"/>
      <sheetName val="UNSTEADY"/>
      <sheetName val="data_dci"/>
      <sheetName val="data_mci"/>
      <sheetName val="behind"/>
      <sheetName val="combi(wall)"/>
      <sheetName val="평3"/>
      <sheetName val="입고장부 (4)"/>
      <sheetName val="공통비"/>
      <sheetName val="FEUILLE INTERNE"/>
      <sheetName val="역T형"/>
      <sheetName val="IT-BAT"/>
      <sheetName val="sum"/>
      <sheetName val="sheeet2"/>
      <sheetName val="7_5_1(A)_Data1"/>
      <sheetName val="7_5_1(B)_BOQ_Breakdown1"/>
      <sheetName val="7_5_1(C)_Scope1"/>
      <sheetName val="7_5_1(D)_Basis1"/>
      <sheetName val="7_5_1(E)_Allowance1"/>
      <sheetName val="7_5_2_BOQ_Summary1"/>
      <sheetName val="7_5_3_BOQ1"/>
      <sheetName val="A__Erec_BOQ(Shop)1"/>
      <sheetName val="B__Erec_BOQ(Field)1"/>
      <sheetName val="C__Surface_Protection1"/>
      <sheetName val="A__Erec_BOQ(Shop)_(2)1"/>
      <sheetName val="B__Erec_BOQ(Field)_(2)1"/>
      <sheetName val="C__Surf_Protection1"/>
      <sheetName val="Attachment_#11"/>
      <sheetName val="Attachment_#21"/>
      <sheetName val="302_C11"/>
      <sheetName val="302_C21"/>
      <sheetName val="SUPPLY_(2)1"/>
      <sheetName val="RETURN_(2)1"/>
      <sheetName val="303_(2)1"/>
      <sheetName val="308_(2)1"/>
      <sheetName val="309_(2)1"/>
      <sheetName val="JUNCTION_BOX1"/>
      <sheetName val="PIPE_FITTING1"/>
      <sheetName val="TUBE_FITTING1"/>
      <sheetName val="CABLE_GLAND1"/>
      <sheetName val="CONS__EQUIP___1"/>
      <sheetName val="REINF_1"/>
      <sheetName val="BLR_11"/>
      <sheetName val="97_사업추정(WEKI)"/>
      <sheetName val="Cost_control"/>
      <sheetName val="90EL_JACKET"/>
      <sheetName val="보온_회사분"/>
      <sheetName val="FIRE_FIGHTING"/>
      <sheetName val="Tipo_Terzi"/>
      <sheetName val="plan&amp;section_of_foundation"/>
      <sheetName val="design_criteria"/>
      <sheetName val="BM_DATA_SHEET"/>
      <sheetName val="仪表分析表"/>
      <sheetName val="인원현황"/>
      <sheetName val="CAMP - CONSTRUCTION"/>
      <sheetName val="eq_data _x0000__x0000__x0000__x0000_"/>
      <sheetName val="IBL-C"/>
      <sheetName val="BLDG_MCI"/>
      <sheetName val="변수적용"/>
      <sheetName val="e4-6-%"/>
      <sheetName val="설계조건"/>
      <sheetName val="조명시설"/>
      <sheetName val="심사계산"/>
      <sheetName val="심사물량"/>
      <sheetName val="건축내역"/>
      <sheetName val="COMPARISON TABLE"/>
      <sheetName val="L V Separator"/>
      <sheetName val="EG-09"/>
      <sheetName val="총괄표양식"/>
      <sheetName val="차량운영비"/>
      <sheetName val="세부내역"/>
      <sheetName val="E_Rate PM"/>
      <sheetName val="Schedule 2 and 3"/>
      <sheetName val="갑지"/>
      <sheetName val="input"/>
      <sheetName val="CAL."/>
      <sheetName val="BOQ건축"/>
      <sheetName val="견적의뢰"/>
      <sheetName val="BSD (2)"/>
      <sheetName val="KLHT"/>
      <sheetName val="General"/>
      <sheetName val="Menus"/>
      <sheetName val="단가"/>
      <sheetName val="TRAY BM"/>
      <sheetName val="Set"/>
      <sheetName val="품셈1-17"/>
      <sheetName val="11.자재단가"/>
      <sheetName val="Imp-Data"/>
      <sheetName val="PROJECT"/>
      <sheetName val="1 OF 9"/>
      <sheetName val="품셈 "/>
      <sheetName val="PAINT"/>
      <sheetName val="방화도료"/>
      <sheetName val="Cover sheet"/>
      <sheetName val="원본"/>
      <sheetName val="EE-PROP"/>
      <sheetName val="LD-OVERALL"/>
      <sheetName val="BOQ"/>
      <sheetName val="7_5_1(A)_Data2"/>
      <sheetName val="7_5_1(B)_BOQ_Breakdown2"/>
      <sheetName val="7_5_1(C)_Scope2"/>
      <sheetName val="7_5_1(D)_Basis2"/>
      <sheetName val="7_5_1(E)_Allowance2"/>
      <sheetName val="7_5_2_BOQ_Summary2"/>
      <sheetName val="7_5_3_BOQ2"/>
      <sheetName val="A__Erec_BOQ(Shop)2"/>
      <sheetName val="B__Erec_BOQ(Field)2"/>
      <sheetName val="C__Surface_Protection2"/>
      <sheetName val="A__Erec_BOQ(Shop)_(2)2"/>
      <sheetName val="B__Erec_BOQ(Field)_(2)2"/>
      <sheetName val="C__Surf_Protection2"/>
      <sheetName val="Attachment_#12"/>
      <sheetName val="Attachment_#22"/>
      <sheetName val="302_C12"/>
      <sheetName val="302_C22"/>
      <sheetName val="SUPPLY_(2)2"/>
      <sheetName val="RETURN_(2)2"/>
      <sheetName val="303_(2)2"/>
      <sheetName val="308_(2)2"/>
      <sheetName val="309_(2)2"/>
      <sheetName val="JUNCTION_BOX2"/>
      <sheetName val="PIPE_FITTING2"/>
      <sheetName val="TUBE_FITTING2"/>
      <sheetName val="CABLE_GLAND2"/>
      <sheetName val="CONS__EQUIP___2"/>
      <sheetName val="BLR_12"/>
      <sheetName val="REINF_2"/>
      <sheetName val="ITB_COST1"/>
      <sheetName val="97_사업추정(WEKI)1"/>
      <sheetName val="Cost_control1"/>
      <sheetName val="90EL_JACKET1"/>
      <sheetName val="보온_회사분1"/>
      <sheetName val="FIRE_FIGHTING1"/>
      <sheetName val="NDOCBT"/>
      <sheetName val="Summary"/>
      <sheetName val="Definitions"/>
      <sheetName val="예산M11A"/>
      <sheetName val="기둥(원형)"/>
      <sheetName val="기계공사비집계(원안)"/>
      <sheetName val="10현장조직"/>
      <sheetName val="LABTOTAL"/>
      <sheetName val="산근"/>
      <sheetName val="을지"/>
      <sheetName val="Graph (LGEN)"/>
      <sheetName val="out_prog"/>
      <sheetName val="선적schedule (2)"/>
      <sheetName val="Sheet6"/>
      <sheetName val="실행내역"/>
      <sheetName val="Contents"/>
      <sheetName val="Summary Sheets"/>
      <sheetName val="Design"/>
      <sheetName val="RFP002"/>
      <sheetName val="대치판정"/>
      <sheetName val="가도공"/>
      <sheetName val="공사"/>
      <sheetName val="MyLists"/>
      <sheetName val="Sheet3"/>
      <sheetName val="영업2"/>
      <sheetName val="영업3"/>
      <sheetName val="Code_Magics"/>
      <sheetName val="Titel"/>
      <sheetName val="1_설계기준"/>
      <sheetName val="bill_2"/>
      <sheetName val="NAMES"/>
      <sheetName val="NPC500"/>
      <sheetName val="#3E1_GCR"/>
      <sheetName val="표지"/>
      <sheetName val="데이타"/>
      <sheetName val="11"/>
      <sheetName val="Sheet10"/>
      <sheetName val="plan&amp;section_of_foundation1"/>
      <sheetName val="design_criteria1"/>
      <sheetName val="Tipo_Terzi1"/>
      <sheetName val="BM_DATA_SHEET1"/>
      <sheetName val="Mat_Stelo1"/>
      <sheetName val="working_load_at_the_btm_ft_"/>
      <sheetName val="stability_check"/>
      <sheetName val="Unit_SUM1"/>
      <sheetName val="Break_Dw"/>
      <sheetName val="방유제용량_계산서"/>
      <sheetName val="INPUT_DATA"/>
      <sheetName val="special_item_양진규_작성"/>
      <sheetName val="OUTER_AREA(겹침없음)"/>
      <sheetName val="Material_Specification"/>
      <sheetName val="개시대사_(2)"/>
      <sheetName val="pile_bearing_capa_&amp;_arrenge"/>
      <sheetName val="design_load"/>
      <sheetName val="표지_(2)"/>
      <sheetName val="Sch_6"/>
      <sheetName val="Fab__Skid"/>
      <sheetName val="CAMP_OPERATING_COST"/>
      <sheetName val="PERSONNEL_SETUP"/>
      <sheetName val="LIST_OF_OFFICE_EQUIPMENT"/>
      <sheetName val="STAFF&amp;INDIRECT_SALARY_-_SUMMARY"/>
      <sheetName val="KOREAN_STAFF_SALARY_BREAKDOWN"/>
      <sheetName val="WELFARE_COST_-_SITE"/>
      <sheetName val="입고장부_(4)"/>
      <sheetName val="FEUILLE_INTERNE"/>
      <sheetName val="11_자재단가"/>
      <sheetName val="1_OF_9"/>
      <sheetName val="COMPARISON_TABLE"/>
      <sheetName val="L_V_Separator"/>
      <sheetName val="CAMP_-_CONSTRUCTION"/>
      <sheetName val="E_Rate_PM"/>
      <sheetName val="Schedule_2_and_3"/>
      <sheetName val="sc0314 Index"/>
      <sheetName val="종목코드"/>
      <sheetName val="COPING"/>
      <sheetName val="COA-17"/>
      <sheetName val="C-18"/>
      <sheetName val="작성기준"/>
      <sheetName val="SG"/>
      <sheetName val="Data_Vert"/>
      <sheetName val="Rebar"/>
      <sheetName val="Data_ST"/>
      <sheetName val="Load"/>
      <sheetName val="NC"/>
      <sheetName val="Resource summary"/>
      <sheetName val="TB-내역서"/>
      <sheetName val="new급여T(4을-운전)"/>
      <sheetName val="건축집계"/>
      <sheetName val="Diainch"/>
      <sheetName val="Source"/>
      <sheetName val="Preface"/>
      <sheetName val="급여일반"/>
      <sheetName val="Lists"/>
      <sheetName val="B"/>
      <sheetName val="INSTR"/>
      <sheetName val="공사비_NDE"/>
      <sheetName val="OUT"/>
      <sheetName val="영업소실적"/>
      <sheetName val="직원동원계획"/>
      <sheetName val="CONTROL-100"/>
      <sheetName val="General Data"/>
      <sheetName val="PRICE COMP"/>
      <sheetName val="본지점중"/>
      <sheetName val="A(Rev.3)"/>
      <sheetName val="static.cal"/>
      <sheetName val="crude.SLAB RE-bar"/>
      <sheetName val="ANX3A65"/>
      <sheetName val="BOQ0822"/>
      <sheetName val="7.6.3(B) UG Piping"/>
      <sheetName val="Lup"/>
      <sheetName val="Information"/>
      <sheetName val="WORKER"/>
      <sheetName val="PRICE LIST"/>
      <sheetName val="PipWT"/>
      <sheetName val="IBASE"/>
      <sheetName val="내역(한신APT)"/>
      <sheetName val="현황CODE"/>
      <sheetName val="손익현황"/>
      <sheetName val="BOM_DWG"/>
      <sheetName val="회사99"/>
      <sheetName val="laroux"/>
      <sheetName val="7.5.2 BOQ Summary "/>
      <sheetName val="Perfiles"/>
      <sheetName val="PumpSpec"/>
      <sheetName val="Rekap A"/>
      <sheetName val="RFP009"/>
      <sheetName val="RFP007"/>
      <sheetName val="NP"/>
      <sheetName val="견적기준"/>
      <sheetName val="OD5000"/>
      <sheetName val="upah"/>
      <sheetName val="bahan"/>
      <sheetName val="measure"/>
      <sheetName val="paint mat"/>
      <sheetName val="工완성공사율"/>
      <sheetName val="IN"/>
      <sheetName val="TTL"/>
      <sheetName val="VE Estimate"/>
      <sheetName val="CALCULATION"/>
      <sheetName val="COMPRESSOR"/>
      <sheetName val="D=700"/>
      <sheetName val="TABLE2-2 OSBL-(SITE PREP)"/>
      <sheetName val="Units"/>
      <sheetName val="Instructions"/>
      <sheetName val="OFFER RATE"/>
      <sheetName val="Job Data"/>
      <sheetName val="Piping Design Data"/>
      <sheetName val="BCPAB"/>
      <sheetName val="Summary 2002"/>
      <sheetName val="98TSON4A"/>
      <sheetName val="Feuil2"/>
      <sheetName val="노임"/>
      <sheetName val="총괄표"/>
      <sheetName val="ANALYSER"/>
      <sheetName val="ASME B 36.10 M"/>
      <sheetName val="일위대가표"/>
      <sheetName val="D-3"/>
      <sheetName val="w't table"/>
      <sheetName val="Tiburon"/>
      <sheetName val="차액보증"/>
      <sheetName val="말뚝지지력산정"/>
      <sheetName val="단중표"/>
      <sheetName val="choose"/>
      <sheetName val="당초"/>
      <sheetName val="eq_data _x005f_x0000__x005f_x0000__x005f_x0000__x"/>
      <sheetName val="cashflow"/>
      <sheetName val="Quotation"/>
      <sheetName val="Info"/>
      <sheetName val="SORTING"/>
      <sheetName val="배관물량 (STEEL)"/>
      <sheetName val="Sheet 1"/>
      <sheetName val="Offertemodel"/>
      <sheetName val="3.0 Overall Progress S-curve"/>
      <sheetName val="3-4 SPI"/>
      <sheetName val="VV-REV2"/>
      <sheetName val="-15.0"/>
      <sheetName val="부재치수입력"/>
      <sheetName val="BLDG_DCI"/>
      <sheetName val="BREAKDOWN(철거설치)"/>
      <sheetName val="맨홀수량산출"/>
      <sheetName val="단가비교"/>
      <sheetName val="Basic"/>
      <sheetName val="견적 집계"/>
      <sheetName val="PULLING SUPT등"/>
      <sheetName val="Sheet1 (2)"/>
      <sheetName val="SHIPPING"/>
      <sheetName val="DATE"/>
      <sheetName val="PAGE 1"/>
      <sheetName val="대공종"/>
      <sheetName val="_생산성_분석_체계_절차.xlsx"/>
      <sheetName val="Quantity"/>
      <sheetName val="General_Data"/>
      <sheetName val="PRICE_COMP"/>
      <sheetName val="A(Rev_3)"/>
      <sheetName val="단가비교(TOTAL)"/>
      <sheetName val="General_Data1"/>
      <sheetName val="PRICE_COMP1"/>
      <sheetName val="A(Rev_3)1"/>
      <sheetName val="pri-com"/>
      <sheetName val="기준"/>
      <sheetName val="BQ List"/>
      <sheetName val="노임단가"/>
      <sheetName val="SPEC-DT2"/>
      <sheetName val="북제주-표지"/>
      <sheetName val="Struct-Grass root"/>
      <sheetName val="미입고자재목록_설계1과"/>
      <sheetName val="PAGE 2"/>
      <sheetName val="CRUDE RE-bar"/>
      <sheetName val="database-emp"/>
      <sheetName val="평균환율-USD"/>
      <sheetName val="DUTCH CONE"/>
      <sheetName val="harga"/>
      <sheetName val="koef"/>
      <sheetName val="Resume"/>
      <sheetName val="연돌일위집계"/>
      <sheetName val="품셈"/>
      <sheetName val="Break Down"/>
      <sheetName val="BQ"/>
      <sheetName val="22-Plant"/>
      <sheetName val="Supervision List"/>
      <sheetName val="Equip_Pipe_Insulation"/>
      <sheetName val="BQ_Piping"/>
      <sheetName val="PROCURE"/>
      <sheetName val="labor"/>
      <sheetName val="_x0000_è"/>
      <sheetName val="BQLIST"/>
      <sheetName val="제출계산서"/>
      <sheetName val="품셈1-26"/>
      <sheetName val="LEGEND"/>
      <sheetName val="KP1590_E"/>
      <sheetName val="한계원가"/>
      <sheetName val="Page 10"/>
      <sheetName val="입력값"/>
      <sheetName val="요율"/>
      <sheetName val="C급보 "/>
      <sheetName val="Rectangular Beam"/>
      <sheetName val="현금"/>
      <sheetName val="자재군별"/>
      <sheetName val="재료내역"/>
      <sheetName val="간접비 총괄표"/>
      <sheetName val="Macro"/>
      <sheetName val="Taux"/>
      <sheetName val="Eng.hour_DB"/>
      <sheetName val="POWER"/>
      <sheetName val="SBR_CR"/>
      <sheetName val="ITEM"/>
      <sheetName val="COST UP"/>
      <sheetName val="DDC"/>
      <sheetName val="공수"/>
      <sheetName val="EXCHANGE_RATE"/>
      <sheetName val="Scaffold"/>
      <sheetName val="Access"/>
      <sheetName val="PAGE 3_GENERAL DETAILS"/>
      <sheetName val="Proposal"/>
      <sheetName val="적용 환율"/>
      <sheetName val="Assumptions"/>
      <sheetName val="TDC_ADMIN"/>
      <sheetName val="Requisitions"/>
      <sheetName val="ICDS"/>
      <sheetName val="CARBOLINE분석"/>
      <sheetName val="자재대"/>
      <sheetName val="eq_data _x0000__x0000__x0000__x"/>
      <sheetName val=""/>
      <sheetName val="나이대조표"/>
      <sheetName val="KP_List"/>
      <sheetName val="2.Calculation_1"/>
      <sheetName val="IBC(2006)DATA"/>
      <sheetName val="Elect (3)"/>
      <sheetName val="공사내역"/>
      <sheetName val="TIE-INS"/>
      <sheetName val="FLD"/>
      <sheetName val="norms"/>
      <sheetName val="HVAC"/>
      <sheetName val="八幡"/>
      <sheetName val="GM 000"/>
      <sheetName val="PRECAST lightconc-II"/>
      <sheetName val="csdim"/>
      <sheetName val="cdsload"/>
      <sheetName val="chsload"/>
      <sheetName val="CLAMP"/>
      <sheetName val="cvsload"/>
      <sheetName val="Cash2"/>
      <sheetName val="Z"/>
      <sheetName val="환산표"/>
      <sheetName val="Rev No"/>
      <sheetName val="COVER-P"/>
      <sheetName val="PUMP SHT"/>
      <sheetName val="FC-01"/>
      <sheetName val="FC-06"/>
      <sheetName val="El(Increased)"/>
      <sheetName val="MC-01"/>
      <sheetName val="Sal"/>
      <sheetName val="수량산출"/>
      <sheetName val="REG-BASIS"/>
      <sheetName val="TENDER PROG."/>
      <sheetName val="PROC.PROG"/>
      <sheetName val="DIAPHRAGM"/>
      <sheetName val="TG9504"/>
      <sheetName val="Block D"/>
      <sheetName val="PRICE-COMP"/>
      <sheetName val="Datasheet GLL double weir (1)"/>
      <sheetName val="단면가정"/>
      <sheetName val="Notes"/>
      <sheetName val="engg"/>
      <sheetName val=" "/>
      <sheetName val="간접비내역-1"/>
      <sheetName val="SALA-002"/>
      <sheetName val="eq_data _x005f_x0000__x00"/>
      <sheetName val="Table"/>
      <sheetName val="co-no.2"/>
      <sheetName val="물량집계(전기)"/>
      <sheetName val="물량집계(계장)"/>
      <sheetName val="bdown"/>
      <sheetName val="33628-Rev. A"/>
      <sheetName val="TYPE-B 평균H"/>
      <sheetName val="PSV"/>
      <sheetName val="명단"/>
      <sheetName val="EST-1"/>
      <sheetName val="6.공사비 내역 (가)"/>
      <sheetName val="Sheet2 (2)"/>
      <sheetName val="6호기"/>
      <sheetName val="Form A.1"/>
      <sheetName val="Form A.1.1"/>
      <sheetName val="BOM Indirect"/>
      <sheetName val="Form A.1.II.2"/>
      <sheetName val="노임이"/>
      <sheetName val="6.GSTG PIPING"/>
      <sheetName val="INDEX"/>
      <sheetName val="Sheet4"/>
      <sheetName val="NONS  2,189"/>
      <sheetName val="94D"/>
      <sheetName val="95D"/>
      <sheetName val="내역서 "/>
      <sheetName val="기초자료"/>
      <sheetName val="견적집계표"/>
      <sheetName val="P&amp;ID650"/>
      <sheetName val="Calculations"/>
      <sheetName val="대우단가(풍산)"/>
      <sheetName val="토공정보"/>
      <sheetName val="REF.ONLY"/>
      <sheetName val="LBR"/>
      <sheetName val="CONCRETE"/>
      <sheetName val="PRO_DCI"/>
      <sheetName val="HVAC_DCI"/>
      <sheetName val="PIPE_DCI"/>
      <sheetName val="BATCH"/>
      <sheetName val="RFP005"/>
      <sheetName val="RFP006"/>
      <sheetName val="CostDB"/>
      <sheetName val="FWBS7000,8000"/>
      <sheetName val="Reference Table"/>
      <sheetName val="Lookups"/>
      <sheetName val="CAL(1)."/>
      <sheetName val="Activity(new)"/>
      <sheetName val="7_5_1(A)_Data3"/>
      <sheetName val="7_5_1(B)_BOQ_Breakdown3"/>
      <sheetName val="7_5_1(C)_Scope3"/>
      <sheetName val="7_5_1(D)_Basis3"/>
      <sheetName val="7_5_1(E)_Allowance3"/>
      <sheetName val="7_5_2_BOQ_Summary3"/>
      <sheetName val="7_5_3_BOQ3"/>
      <sheetName val="A__Erec_BOQ(Shop)3"/>
      <sheetName val="B__Erec_BOQ(Field)3"/>
      <sheetName val="C__Surface_Protection3"/>
      <sheetName val="A__Erec_BOQ(Shop)_(2)3"/>
      <sheetName val="B__Erec_BOQ(Field)_(2)3"/>
      <sheetName val="C__Surf_Protection3"/>
      <sheetName val="Attachment_#13"/>
      <sheetName val="Attachment_#23"/>
      <sheetName val="302_C13"/>
      <sheetName val="302_C23"/>
      <sheetName val="SUPPLY_(2)3"/>
      <sheetName val="RETURN_(2)3"/>
      <sheetName val="303_(2)3"/>
      <sheetName val="308_(2)3"/>
      <sheetName val="309_(2)3"/>
      <sheetName val="JUNCTION_BOX3"/>
      <sheetName val="PIPE_FITTING3"/>
      <sheetName val="TUBE_FITTING3"/>
      <sheetName val="CABLE_GLAND3"/>
      <sheetName val="CONS__EQUIP___3"/>
      <sheetName val="BLR_13"/>
      <sheetName val="REINF_3"/>
      <sheetName val="ITB_COST2"/>
      <sheetName val="97_사업추정(WEKI)2"/>
      <sheetName val="90EL_JACKET2"/>
      <sheetName val="보온_회사분2"/>
      <sheetName val="Cost_control2"/>
      <sheetName val="FIRE_FIGHTING2"/>
      <sheetName val="Tipo_Terzi2"/>
      <sheetName val="plan&amp;section_of_foundation2"/>
      <sheetName val="design_criteria2"/>
      <sheetName val="BM_DATA_SHEET2"/>
      <sheetName val="working_load_at_the_btm_ft_1"/>
      <sheetName val="stability_check1"/>
      <sheetName val="Mat_Stelo2"/>
      <sheetName val="Unit_SUM2"/>
      <sheetName val="1_설계기준1"/>
      <sheetName val="OUTER_AREA(겹침없음)1"/>
      <sheetName val="bill_21"/>
      <sheetName val="표지_(2)1"/>
      <sheetName val="Break_Dw1"/>
      <sheetName val="방유제용량_계산서1"/>
      <sheetName val="Material_Specification1"/>
      <sheetName val="special_item_양진규_작성1"/>
      <sheetName val="Sch_61"/>
      <sheetName val="pile_bearing_capa_&amp;_arrenge1"/>
      <sheetName val="design_load1"/>
      <sheetName val="Fab__Skid1"/>
      <sheetName val="INPUT_DATA1"/>
      <sheetName val="CAMP_OPERATING_COST1"/>
      <sheetName val="PERSONNEL_SETUP1"/>
      <sheetName val="LIST_OF_OFFICE_EQUIPMENT1"/>
      <sheetName val="STAFF&amp;INDIRECT_SALARY_-_SUMMAR1"/>
      <sheetName val="KOREAN_STAFF_SALARY_BREAKDOWN1"/>
      <sheetName val="WELFARE_COST_-_SITE1"/>
      <sheetName val="개시대사_(2)1"/>
      <sheetName val="입고장부_(4)1"/>
      <sheetName val="FEUILLE_INTERNE1"/>
      <sheetName val="COMPARISON_TABLE1"/>
      <sheetName val="L_V_Separator1"/>
      <sheetName val="CAMP_-_CONSTRUCTION1"/>
      <sheetName val="E_Rate_PM1"/>
      <sheetName val="Schedule_2_and_31"/>
      <sheetName val="eq_data_"/>
      <sheetName val="Cover_sheet"/>
      <sheetName val="CAL_"/>
      <sheetName val="11_자재단가1"/>
      <sheetName val="1_OF_91"/>
      <sheetName val="BSD_(2)"/>
      <sheetName val="TRAY_BM"/>
      <sheetName val="Graph_(LGEN)"/>
      <sheetName val="선적schedule_(2)"/>
      <sheetName val="Summary_Sheets"/>
      <sheetName val="품셈_"/>
      <sheetName val="sc0314_Index"/>
      <sheetName val="Resource_summary"/>
      <sheetName val="w't_table"/>
      <sheetName val="eq_data__x005f_x0000__x005f_x0000__x005f_x0000__x"/>
      <sheetName val="static_cal"/>
      <sheetName val="crude_SLAB_RE-bar"/>
      <sheetName val="7_6_3(B)_UG_Piping"/>
      <sheetName val="PRICE_LIST"/>
      <sheetName val="7_5_2_BOQ_Summary_"/>
      <sheetName val="Rekap_A"/>
      <sheetName val="paint_mat"/>
      <sheetName val="VE_Estimate"/>
      <sheetName val="TABLE2-2_OSBL-(SITE_PREP)"/>
      <sheetName val="OFFER_RATE"/>
      <sheetName val="Job_Data"/>
      <sheetName val="Piping_Design_Data"/>
      <sheetName val="Summary_2002"/>
      <sheetName val="ASME_B_36_10_M"/>
      <sheetName val="3_0_Overall_Progress_S-curve"/>
      <sheetName val="3-4_SPI"/>
      <sheetName val="-15_0"/>
      <sheetName val="뜃맟뭁돽띿맟?-BLDG"/>
      <sheetName val="D-623D"/>
      <sheetName val="member design"/>
      <sheetName val="soil bearing check"/>
      <sheetName val="OCT.FDN"/>
      <sheetName val="PRI CIV"/>
      <sheetName val="FOR CIV"/>
      <sheetName val="SUB CIV"/>
      <sheetName val="ANA CIV"/>
      <sheetName val="AUX CIV"/>
      <sheetName val="hori. vessel(E-895)"/>
      <sheetName val="TS-TC"/>
      <sheetName val="DCS"/>
      <sheetName val="2.3"/>
      <sheetName val="Pipelines ASAB I-II Brownfield"/>
      <sheetName val="ORIGN"/>
      <sheetName val="P-Ph3-F-002"/>
      <sheetName val="전기"/>
      <sheetName val="200"/>
      <sheetName val="BM1"/>
      <sheetName val="REDUCER"/>
      <sheetName val="WE'T"/>
      <sheetName val="대기업"/>
      <sheetName val="각종자료"/>
      <sheetName val="견적"/>
      <sheetName val="S N"/>
      <sheetName val="Sheet_1"/>
      <sheetName val="배관물량_(STEEL)"/>
      <sheetName val="PAGE_2"/>
      <sheetName val="Struct-Grass_root"/>
      <sheetName val="General_Data2"/>
      <sheetName val="PRICE_COMP2"/>
      <sheetName val="A(Rev_3)2"/>
      <sheetName val="견적_집계"/>
      <sheetName val="PULLING_SUPT등"/>
      <sheetName val="Sheet1_(2)"/>
      <sheetName val="PAGE_1"/>
      <sheetName val="_생산성_분석_체계_절차_xlsx"/>
      <sheetName val="BQ_List"/>
      <sheetName val="Break_Down"/>
      <sheetName val="Supervision_List"/>
      <sheetName val="PREAM"/>
      <sheetName val="SUMMARY (0)"/>
      <sheetName val="PL-DATA"/>
      <sheetName val="FRP내역서"/>
      <sheetName val="7_5_1(A)_Data5"/>
      <sheetName val="7_5_1(B)_BOQ_Breakdown5"/>
      <sheetName val="7_5_1(C)_Scope5"/>
      <sheetName val="7_5_1(D)_Basis5"/>
      <sheetName val="7_5_1(E)_Allowance5"/>
      <sheetName val="7_5_2_BOQ_Summary5"/>
      <sheetName val="7_5_3_BOQ5"/>
      <sheetName val="A__Erec_BOQ(Shop)5"/>
      <sheetName val="B__Erec_BOQ(Field)5"/>
      <sheetName val="C__Surface_Protection5"/>
      <sheetName val="A__Erec_BOQ(Shop)_(2)5"/>
      <sheetName val="B__Erec_BOQ(Field)_(2)5"/>
      <sheetName val="C__Surf_Protection5"/>
      <sheetName val="Attachment_#15"/>
      <sheetName val="Attachment_#25"/>
      <sheetName val="302_C15"/>
      <sheetName val="302_C25"/>
      <sheetName val="SUPPLY_(2)5"/>
      <sheetName val="RETURN_(2)5"/>
      <sheetName val="303_(2)5"/>
      <sheetName val="308_(2)5"/>
      <sheetName val="309_(2)5"/>
      <sheetName val="JUNCTION_BOX5"/>
      <sheetName val="PIPE_FITTING5"/>
      <sheetName val="TUBE_FITTING5"/>
      <sheetName val="CABLE_GLAND5"/>
      <sheetName val="BLR_15"/>
      <sheetName val="CONS__EQUIP___5"/>
      <sheetName val="REINF_5"/>
      <sheetName val="ITB_COST4"/>
      <sheetName val="97_사업추정(WEKI)4"/>
      <sheetName val="FIRE_FIGHTING4"/>
      <sheetName val="Cost_control4"/>
      <sheetName val="90EL_JACKET4"/>
      <sheetName val="보온_회사분4"/>
      <sheetName val="plan&amp;section_of_foundation3"/>
      <sheetName val="design_criteria3"/>
      <sheetName val="BM_DATA_SHEET3"/>
      <sheetName val="Tipo_Terzi3"/>
      <sheetName val="Mat_Stelo3"/>
      <sheetName val="Sch_62"/>
      <sheetName val="bill_22"/>
      <sheetName val="1_설계기준2"/>
      <sheetName val="Unit_SUM3"/>
      <sheetName val="표지_(2)2"/>
      <sheetName val="Sheet_12"/>
      <sheetName val="배관물량_(STEEL)2"/>
      <sheetName val="working_load_at_the_btm_ft_2"/>
      <sheetName val="stability_check2"/>
      <sheetName val="Break_Dw2"/>
      <sheetName val="방유제용량_계산서2"/>
      <sheetName val="Material_Specification2"/>
      <sheetName val="special_item_양진규_작성2"/>
      <sheetName val="OUTER_AREA(겹침없음)2"/>
      <sheetName val="CAMP_OPERATING_COST2"/>
      <sheetName val="PERSONNEL_SETUP2"/>
      <sheetName val="LIST_OF_OFFICE_EQUIPMENT2"/>
      <sheetName val="STAFF&amp;INDIRECT_SALARY_-_SUMMAR2"/>
      <sheetName val="KOREAN_STAFF_SALARY_BREAKDOWN2"/>
      <sheetName val="WELFARE_COST_-_SITE2"/>
      <sheetName val="INPUT_DATA2"/>
      <sheetName val="개시대사_(2)2"/>
      <sheetName val="pile_bearing_capa_&amp;_arrenge2"/>
      <sheetName val="design_load2"/>
      <sheetName val="Fab__Skid2"/>
      <sheetName val="입고장부_(4)2"/>
      <sheetName val="FEUILLE_INTERNE2"/>
      <sheetName val="L_V_Separator2"/>
      <sheetName val="CAMP_-_CONSTRUCTION2"/>
      <sheetName val="E_Rate_PM2"/>
      <sheetName val="Schedule_2_and_32"/>
      <sheetName val="CAL_2"/>
      <sheetName val="COMPARISON_TABLE2"/>
      <sheetName val="3_0_Overall_Progress_S-curve2"/>
      <sheetName val="3-4_SPI2"/>
      <sheetName val="7_5_1(A)_Data4"/>
      <sheetName val="7_5_1(B)_BOQ_Breakdown4"/>
      <sheetName val="7_5_1(C)_Scope4"/>
      <sheetName val="7_5_1(D)_Basis4"/>
      <sheetName val="7_5_1(E)_Allowance4"/>
      <sheetName val="7_5_2_BOQ_Summary4"/>
      <sheetName val="7_5_3_BOQ4"/>
      <sheetName val="A__Erec_BOQ(Shop)4"/>
      <sheetName val="B__Erec_BOQ(Field)4"/>
      <sheetName val="C__Surface_Protection4"/>
      <sheetName val="A__Erec_BOQ(Shop)_(2)4"/>
      <sheetName val="B__Erec_BOQ(Field)_(2)4"/>
      <sheetName val="C__Surf_Protection4"/>
      <sheetName val="Attachment_#14"/>
      <sheetName val="Attachment_#24"/>
      <sheetName val="302_C14"/>
      <sheetName val="302_C24"/>
      <sheetName val="SUPPLY_(2)4"/>
      <sheetName val="RETURN_(2)4"/>
      <sheetName val="303_(2)4"/>
      <sheetName val="308_(2)4"/>
      <sheetName val="309_(2)4"/>
      <sheetName val="JUNCTION_BOX4"/>
      <sheetName val="PIPE_FITTING4"/>
      <sheetName val="TUBE_FITTING4"/>
      <sheetName val="CABLE_GLAND4"/>
      <sheetName val="BLR_14"/>
      <sheetName val="CONS__EQUIP___4"/>
      <sheetName val="REINF_4"/>
      <sheetName val="ITB_COST3"/>
      <sheetName val="97_사업추정(WEKI)3"/>
      <sheetName val="FIRE_FIGHTING3"/>
      <sheetName val="Cost_control3"/>
      <sheetName val="90EL_JACKET3"/>
      <sheetName val="보온_회사분3"/>
      <sheetName val="Sheet_11"/>
      <sheetName val="배관물량_(STEEL)1"/>
      <sheetName val="CAL_1"/>
      <sheetName val="3_0_Overall_Progress_S-curve1"/>
      <sheetName val="3-4_SPI1"/>
      <sheetName val="Loading Table"/>
      <sheetName val="공구"/>
      <sheetName val="PI"/>
      <sheetName val="input data-090908"/>
      <sheetName val="Expenses per Cost Code "/>
      <sheetName val="Vent Line size"/>
      <sheetName val="DOWNLOAD"/>
      <sheetName val="상반기손익차2총괄"/>
      <sheetName val="MH Estimation Guide"/>
      <sheetName val="CIV-DWG-ADA"/>
      <sheetName val="CIV-DOC-ADA"/>
      <sheetName val="공사비 내역 (가)"/>
      <sheetName val="STATIC"/>
      <sheetName val="diamètres"/>
      <sheetName val="설계예산서1"/>
      <sheetName val="내"/>
      <sheetName val="실행자재"/>
      <sheetName val="spinning1"/>
      <sheetName val="집계표(OPTION)"/>
      <sheetName val="HRG BHN"/>
      <sheetName val="LD-OVERA÷_x0000_"/>
      <sheetName val="LD-OVERA᯷㧓"/>
      <sheetName val="DIRECT-OFF"/>
      <sheetName val="PLAGCoct03"/>
      <sheetName val="表三甲"/>
      <sheetName val="调整"/>
      <sheetName val="Comp Rate "/>
      <sheetName val="4.1구조설계"/>
      <sheetName val="공문"/>
      <sheetName val="입사시직위"/>
      <sheetName val="MR"/>
      <sheetName val="COMB MNG&amp;STAFF (ALL)  (2)"/>
      <sheetName val="7.0 Crack Check"/>
      <sheetName val="축열조 기초"/>
      <sheetName val="REPORT"/>
      <sheetName val="Fill this out first..."/>
      <sheetName val="Fill this out first___"/>
      <sheetName val="MEASURE LIST"/>
      <sheetName val="Don gia"/>
      <sheetName val="공통가설"/>
      <sheetName val="Forecast Drivers"/>
      <sheetName val="Total_mem"/>
      <sheetName val="Log"/>
      <sheetName val="Section 1~4(1)"/>
      <sheetName val="Section 1~4 "/>
      <sheetName val="Section 5"/>
      <sheetName val="Section 5.2"/>
      <sheetName val="Section 5.3"/>
      <sheetName val="Section 6"/>
      <sheetName val="Section 6.2"/>
      <sheetName val="Attachment 1"/>
      <sheetName val="Attachmenet 2"/>
      <sheetName val="Moment_Con_Capa"/>
      <sheetName val="Moment"/>
      <sheetName val="Shear_Con_Capa"/>
      <sheetName val="Shear"/>
      <sheetName val="PUMP_SHT"/>
      <sheetName val="Elect_(3)"/>
      <sheetName val="C급보_"/>
      <sheetName val="Rev_No"/>
      <sheetName val="Page_10"/>
      <sheetName val="Rectangular_Beam"/>
      <sheetName val="COST_UP"/>
      <sheetName val="간접비_총괄표"/>
      <sheetName val="Eng_hour_DB"/>
      <sheetName val="CRUDE_RE-bar"/>
      <sheetName val="DUTCH_CONE"/>
      <sheetName val="eq_data__x"/>
      <sheetName val="_"/>
      <sheetName val="2_Calculation_1"/>
      <sheetName val="PAGE_3_GENERAL_DETAILS"/>
      <sheetName val="적용_환율"/>
      <sheetName val="GM_000"/>
      <sheetName val="PRECAST_lightconc-II"/>
      <sheetName val="TENDER_PROG_"/>
      <sheetName val="PROC_PROG"/>
      <sheetName val="Block_D"/>
      <sheetName val="Datasheet_GLL_double_weir_(1)"/>
      <sheetName val="eq_data__x005f_x0000__x00"/>
      <sheetName val="33628-Rev__A"/>
      <sheetName val="TYPE-B_평균H"/>
      <sheetName val="Sheet2_(2)"/>
      <sheetName val="6_공사비_내역_(가)"/>
      <sheetName val="기계공사비집계(珆꭭/"/>
      <sheetName val="FA"/>
      <sheetName val="Analisa HS"/>
      <sheetName val="Eng_Hrs"/>
      <sheetName val="NAME"/>
      <sheetName val="Coupling"/>
      <sheetName val="RAW MATERIALS "/>
      <sheetName val="COST-PERSON-J.O."/>
      <sheetName val="GT"/>
      <sheetName val="공량예산"/>
      <sheetName val="예산M6-B"/>
      <sheetName val="Tank"/>
      <sheetName val="Q5434 EQ LIST"/>
      <sheetName val="motor power"/>
      <sheetName val="Painting"/>
      <sheetName val="COST-EST LTI P5C"/>
      <sheetName val="기계시공"/>
      <sheetName val="SLEIPNER - ORMEN LANGE"/>
      <sheetName val="전기 BM_revA('090624).xls"/>
      <sheetName val="定额 (06)"/>
      <sheetName val="Data 1"/>
      <sheetName val="뜃맟뭁돽띿맟_-BLDG"/>
      <sheetName val="SUBCON"/>
      <sheetName val="4-3LEVEL-5 epic.4"/>
      <sheetName val="M_B"/>
      <sheetName val="01"/>
      <sheetName val="Unit Cost"/>
      <sheetName val="45,46"/>
      <sheetName val="COST-TZ"/>
      <sheetName val="Coeff."/>
      <sheetName val="대비"/>
      <sheetName val="TACE"/>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4.단락전류"/>
      <sheetName val="[fdn_bm_pro.xls]기계공사비집계(珆꭭/"/>
      <sheetName val="hvac내역서(제어동)"/>
      <sheetName val="Exchange rates"/>
      <sheetName val="P_x0007__x0000__x000e__x0000_"/>
      <sheetName val="96.12"/>
      <sheetName val="COST-SUM"/>
      <sheetName val="PAD-F"/>
      <sheetName val="LME"/>
      <sheetName val="Tie Beam GN"/>
      <sheetName val="PileCap"/>
      <sheetName val="06-Progress"/>
      <sheetName val="04-Safety"/>
      <sheetName val="BM"/>
      <sheetName val="현장배치"/>
      <sheetName val="system &amp; LOOK_UP_FUNC"/>
      <sheetName val="Base_Data"/>
      <sheetName val="Consumables"/>
      <sheetName val="LABT橿⿋_x0000__x0000_"/>
      <sheetName val="BID FORM"/>
      <sheetName val="Form of Bid"/>
      <sheetName val="건설성적"/>
      <sheetName val="삼성전기"/>
      <sheetName val="Grafenpa"/>
      <sheetName val="단가표"/>
      <sheetName val="노무비"/>
      <sheetName val="6-2차"/>
      <sheetName val="Code 02"/>
      <sheetName val="Code 03"/>
      <sheetName val="Code 04"/>
      <sheetName val="Code 05"/>
      <sheetName val="Code 06"/>
      <sheetName val="Code 07"/>
      <sheetName val="Code 09"/>
      <sheetName val="Code03"/>
      <sheetName val="5-Digit"/>
      <sheetName val="MixBed"/>
      <sheetName val="CondPol"/>
      <sheetName val="Inputs"/>
      <sheetName val="BD"/>
      <sheetName val="LAB"/>
      <sheetName val="4300 UTILITY BLDG (2)"/>
      <sheetName val="WT-LIST"/>
      <sheetName val="예가표"/>
      <sheetName val="자재단가"/>
      <sheetName val="Price Breakdown(Building)"/>
      <sheetName val="GM_0001"/>
      <sheetName val="PRECAST_lightconc-II1"/>
      <sheetName val="ECL"/>
      <sheetName val="가동비율"/>
      <sheetName val="INST LIST"/>
      <sheetName val="터널조도"/>
      <sheetName val="SUMMARY_(0)"/>
      <sheetName val="Thick"/>
      <sheetName val="기계공사비집계(᝔턀"/>
      <sheetName val="기계공사비집계(ࠀᝋ턀"/>
      <sheetName val="기계공사비집계("/>
      <sheetName val="기계공사비집계(﹗맕ԯ"/>
      <sheetName val="기계공사비집계(ၩ_x0000_堀"/>
      <sheetName val="P_x0007_"/>
      <sheetName val="기계공사비집계(թ_x0000_缀"/>
      <sheetName val="기계공사비집계(썩"/>
      <sheetName val="기계공사비집계(ၩ_x0000_렀"/>
      <sheetName val="기계공사비집계(౩⁯吀"/>
      <sheetName val="기계공사비집계(偩⑔鰀"/>
      <sheetName val="기계공사비집계(i_x0000_ꀀ"/>
      <sheetName val="기계공사비집계(桩♗洀"/>
      <sheetName val="MANPOWER DIRECT TRACKING"/>
      <sheetName val="Timescaled Data"/>
      <sheetName val="Home Office"/>
      <sheetName val="NPK_Gresik"/>
      <sheetName val="LOB"/>
      <sheetName val="Salary"/>
      <sheetName val="Rekapsub-total-ME"/>
      <sheetName val="Item Dominan"/>
      <sheetName val="7_5_1(A)_Data6"/>
      <sheetName val="7_5_1(B)_BOQ_Breakdown6"/>
      <sheetName val="7_5_1(C)_Scope6"/>
      <sheetName val="7_5_1(D)_Basis6"/>
      <sheetName val="7_5_1(E)_Allowance6"/>
      <sheetName val="7_5_2_BOQ_Summary6"/>
      <sheetName val="7_5_3_BOQ6"/>
      <sheetName val="A__Erec_BOQ(Shop)6"/>
      <sheetName val="B__Erec_BOQ(Field)6"/>
      <sheetName val="C__Surface_Protection6"/>
      <sheetName val="A__Erec_BOQ(Shop)_(2)6"/>
      <sheetName val="B__Erec_BOQ(Field)_(2)6"/>
      <sheetName val="C__Surf_Protection6"/>
      <sheetName val="Attachment_#16"/>
      <sheetName val="Attachment_#26"/>
      <sheetName val="302_C16"/>
      <sheetName val="302_C26"/>
      <sheetName val="SUPPLY_(2)6"/>
      <sheetName val="RETURN_(2)6"/>
      <sheetName val="303_(2)6"/>
      <sheetName val="308_(2)6"/>
      <sheetName val="309_(2)6"/>
      <sheetName val="JUNCTION_BOX6"/>
      <sheetName val="PIPE_FITTING6"/>
      <sheetName val="TUBE_FITTING6"/>
      <sheetName val="CABLE_GLAND6"/>
      <sheetName val="CONS__EQUIP___6"/>
      <sheetName val="BLR_16"/>
      <sheetName val="REINF_6"/>
      <sheetName val="ITB_COST5"/>
      <sheetName val="97_사업추정(WEKI)5"/>
      <sheetName val="Cost_control5"/>
      <sheetName val="90EL_JACKET5"/>
      <sheetName val="보온_회사분5"/>
      <sheetName val="FIRE_FIGHTING5"/>
      <sheetName val="Tipo_Terzi4"/>
      <sheetName val="plan&amp;section_of_foundation4"/>
      <sheetName val="design_criteria4"/>
      <sheetName val="BM_DATA_SHEET4"/>
      <sheetName val="Mat_Stelo4"/>
      <sheetName val="Unit_SUM4"/>
      <sheetName val="working_load_at_the_btm_ft_3"/>
      <sheetName val="stability_check3"/>
      <sheetName val="OUTER_AREA(겹침없음)3"/>
      <sheetName val="1_설계기준3"/>
      <sheetName val="bill_23"/>
      <sheetName val="표지_(2)3"/>
      <sheetName val="Break_Dw3"/>
      <sheetName val="방유제용량_계산서3"/>
      <sheetName val="Material_Specification3"/>
      <sheetName val="special_item_양진규_작성3"/>
      <sheetName val="Sch_63"/>
      <sheetName val="pile_bearing_capa_&amp;_arrenge3"/>
      <sheetName val="design_load3"/>
      <sheetName val="Fab__Skid3"/>
      <sheetName val="INPUT_DATA3"/>
      <sheetName val="CAMP_OPERATING_COST3"/>
      <sheetName val="PERSONNEL_SETUP3"/>
      <sheetName val="LIST_OF_OFFICE_EQUIPMENT3"/>
      <sheetName val="STAFF&amp;INDIRECT_SALARY_-_SUMMAR3"/>
      <sheetName val="KOREAN_STAFF_SALARY_BREAKDOWN3"/>
      <sheetName val="WELFARE_COST_-_SITE3"/>
      <sheetName val="개시대사_(2)3"/>
      <sheetName val="입고장부_(4)3"/>
      <sheetName val="FEUILLE_INTERNE3"/>
      <sheetName val="COMPARISON_TABLE3"/>
      <sheetName val="L_V_Separator3"/>
      <sheetName val="CAMP_-_CONSTRUCTION3"/>
      <sheetName val="E_Rate_PM3"/>
      <sheetName val="Schedule_2_and_33"/>
      <sheetName val="Cover_sheet1"/>
      <sheetName val="CAL_3"/>
      <sheetName val="Summary_Sheets1"/>
      <sheetName val="BSD_(2)1"/>
      <sheetName val="TRAY_BM1"/>
      <sheetName val="11_자재단가2"/>
      <sheetName val="1_OF_92"/>
      <sheetName val="품셈_1"/>
      <sheetName val="sc0314_Index1"/>
      <sheetName val="Graph_(LGEN)1"/>
      <sheetName val="선적schedule_(2)1"/>
      <sheetName val="Resource_summary1"/>
      <sheetName val="배관물량_(STEEL)3"/>
      <sheetName val="Sheet_13"/>
      <sheetName val="w't_table1"/>
      <sheetName val="eq_data__x005f_x0000__x005f_x0000__x005f_x0000__1"/>
      <sheetName val="Break_Down1"/>
      <sheetName val="Supervision_List1"/>
      <sheetName val="General_Data3"/>
      <sheetName val="PRICE_COMP3"/>
      <sheetName val="A(Rev_3)3"/>
      <sheetName val="static_cal1"/>
      <sheetName val="crude_SLAB_RE-bar1"/>
      <sheetName val="7_6_3(B)_UG_Piping1"/>
      <sheetName val="PRICE_LIST1"/>
      <sheetName val="7_5_2_BOQ_Summary_1"/>
      <sheetName val="Rekap_A1"/>
      <sheetName val="paint_mat1"/>
      <sheetName val="VE_Estimate1"/>
      <sheetName val="TABLE2-2_OSBL-(SITE_PREP)1"/>
      <sheetName val="OFFER_RATE1"/>
      <sheetName val="Job_Data1"/>
      <sheetName val="Piping_Design_Data1"/>
      <sheetName val="Summary_20021"/>
      <sheetName val="ASME_B_36_10_M1"/>
      <sheetName val="Struct-Grass_root1"/>
      <sheetName val="3_0_Overall_Progress_S-curve3"/>
      <sheetName val="3-4_SPI3"/>
      <sheetName val="-15_01"/>
      <sheetName val="견적_집계1"/>
      <sheetName val="PULLING_SUPT등1"/>
      <sheetName val="Sheet1_(2)1"/>
      <sheetName val="PAGE_11"/>
      <sheetName val="_생산성_분석_체계_절차_xlsx1"/>
      <sheetName val="BQ_List1"/>
      <sheetName val="PAGE_21"/>
      <sheetName val="Page_101"/>
      <sheetName val="C급보_1"/>
      <sheetName val="Rectangular_Beam1"/>
      <sheetName val="CRUDE_RE-bar1"/>
      <sheetName val="COST_UP1"/>
      <sheetName val="간접비_총괄표1"/>
      <sheetName val="Eng_hour_DB1"/>
      <sheetName val="DUTCH_CONE1"/>
      <sheetName val="2_Calculation_11"/>
      <sheetName val="PAGE_3_GENERAL_DETAILS1"/>
      <sheetName val="적용_환율1"/>
      <sheetName val="Elect_(3)1"/>
      <sheetName val="Rev_No1"/>
      <sheetName val="PUMP_SHT1"/>
      <sheetName val="Datasheet_GLL_double_weir_(1)1"/>
      <sheetName val="_1"/>
      <sheetName val="eq_data__x005f_x0000__x001"/>
      <sheetName val="TENDER_PROG_1"/>
      <sheetName val="PROC_PROG1"/>
      <sheetName val="Block_D1"/>
      <sheetName val="Sheet2_(2)1"/>
      <sheetName val="33628-Rev__A1"/>
      <sheetName val="TYPE-B_평균H1"/>
      <sheetName val="co-no_2"/>
      <sheetName val="6_공사비_내역_(가)1"/>
      <sheetName val="Form_A_1"/>
      <sheetName val="Form_A_1_1"/>
      <sheetName val="BOM_Indirect"/>
      <sheetName val="Form_A_1_II_2"/>
      <sheetName val="6_GSTG_PIPING"/>
      <sheetName val="NONS__2,189"/>
      <sheetName val="Reference_Table"/>
      <sheetName val="CAL(1)_"/>
      <sheetName val="member_design"/>
      <sheetName val="soil_bearing_check"/>
      <sheetName val="OCT_FDN"/>
      <sheetName val="PRI_CIV"/>
      <sheetName val="FOR_CIV"/>
      <sheetName val="SUB_CIV"/>
      <sheetName val="ANA_CIV"/>
      <sheetName val="AUX_CIV"/>
      <sheetName val="내역서_"/>
      <sheetName val="hori__vessel(E-895)"/>
      <sheetName val="2_3"/>
      <sheetName val="S_N"/>
      <sheetName val="REF_ONLY"/>
      <sheetName val="SUMMARY_(0)1"/>
      <sheetName val="Loading_Table"/>
      <sheetName val="Pipelines_ASAB_I-II_Brownfield"/>
      <sheetName val="Vent_Line_size"/>
      <sheetName val="4_1구조설계"/>
      <sheetName val="input_data-090908"/>
      <sheetName val="HRG_BHN"/>
      <sheetName val="MH_Estimation_Guide"/>
      <sheetName val="공사비_내역_(가)"/>
      <sheetName val="Comp_Rate_"/>
      <sheetName val="Expenses_per_Cost_Code_"/>
      <sheetName val="COMB_MNG&amp;STAFF_(ALL)__(2)"/>
      <sheetName val="Q5434_EQ_LIST"/>
      <sheetName val="motor_power"/>
      <sheetName val="Forecast_Drivers"/>
      <sheetName val="Fill_this_out_first___"/>
      <sheetName val="Fill_this_out_first___1"/>
      <sheetName val="7_0_Crack_Check"/>
      <sheetName val="축열조_기초"/>
      <sheetName val="Data_1"/>
      <sheetName val="Unit_Cost"/>
      <sheetName val="Section_1~4(1)"/>
      <sheetName val="Section_1~4_"/>
      <sheetName val="Section_5"/>
      <sheetName val="Section_5_2"/>
      <sheetName val="Section_5_3"/>
      <sheetName val="Section_6"/>
      <sheetName val="Section_6_2"/>
      <sheetName val="Attachment_1"/>
      <sheetName val="Attachmenet_2"/>
      <sheetName val="MEASURE_LIST"/>
      <sheetName val="Don_gia"/>
      <sheetName val="Analisa_HS"/>
      <sheetName val="COST-EST_LTI_P5C"/>
      <sheetName val="SLEIPNER_-_ORMEN_LANGE"/>
      <sheetName val="전기_BM_revA('090624)_xls"/>
      <sheetName val="定额_(06)"/>
      <sheetName val="Coeff_"/>
      <sheetName val="RAW_MATERIALS_"/>
      <sheetName val="COST-PERSON-J_O_"/>
      <sheetName val="4-3LEVEL-5_epic_4"/>
      <sheetName val="4_단락전류"/>
      <sheetName val="[fdn_bm_pro_xls]기계공사비집계(珆꭭/"/>
      <sheetName val="Exchange_rates"/>
      <sheetName val="P"/>
      <sheetName val="7_5_1(A)_Data7"/>
      <sheetName val="7_5_1(B)_BOQ_Breakdown7"/>
      <sheetName val="7_5_1(C)_Scope7"/>
      <sheetName val="7_5_1(D)_Basis7"/>
      <sheetName val="7_5_1(E)_Allowance7"/>
      <sheetName val="7_5_2_BOQ_Summary7"/>
      <sheetName val="7_5_3_BOQ7"/>
      <sheetName val="A__Erec_BOQ(Shop)7"/>
      <sheetName val="B__Erec_BOQ(Field)7"/>
      <sheetName val="C__Surface_Protection7"/>
      <sheetName val="A__Erec_BOQ(Shop)_(2)7"/>
      <sheetName val="B__Erec_BOQ(Field)_(2)7"/>
      <sheetName val="C__Surf_Protection7"/>
      <sheetName val="Attachment_#17"/>
      <sheetName val="Attachment_#27"/>
      <sheetName val="302_C17"/>
      <sheetName val="302_C27"/>
      <sheetName val="SUPPLY_(2)7"/>
      <sheetName val="RETURN_(2)7"/>
      <sheetName val="303_(2)7"/>
      <sheetName val="308_(2)7"/>
      <sheetName val="309_(2)7"/>
      <sheetName val="JUNCTION_BOX7"/>
      <sheetName val="PIPE_FITTING7"/>
      <sheetName val="TUBE_FITTING7"/>
      <sheetName val="CABLE_GLAND7"/>
      <sheetName val="CONS__EQUIP___7"/>
      <sheetName val="BLR_17"/>
      <sheetName val="REINF_7"/>
      <sheetName val="ITB_COST6"/>
      <sheetName val="97_사업추정(WEKI)6"/>
      <sheetName val="Cost_control6"/>
      <sheetName val="90EL_JACKET6"/>
      <sheetName val="보온_회사분6"/>
      <sheetName val="FIRE_FIGHTING6"/>
      <sheetName val="Tipo_Terzi5"/>
      <sheetName val="plan&amp;section_of_foundation5"/>
      <sheetName val="design_criteria5"/>
      <sheetName val="BM_DATA_SHEET5"/>
      <sheetName val="Mat_Stelo5"/>
      <sheetName val="Unit_SUM5"/>
      <sheetName val="working_load_at_the_btm_ft_4"/>
      <sheetName val="stability_check4"/>
      <sheetName val="OUTER_AREA(겹침없음)4"/>
      <sheetName val="1_설계기준4"/>
      <sheetName val="bill_24"/>
      <sheetName val="표지_(2)4"/>
      <sheetName val="Break_Dw4"/>
      <sheetName val="방유제용량_계산서4"/>
      <sheetName val="Material_Specification4"/>
      <sheetName val="special_item_양진규_작성4"/>
      <sheetName val="Sch_64"/>
      <sheetName val="pile_bearing_capa_&amp;_arrenge4"/>
      <sheetName val="design_load4"/>
      <sheetName val="Fab__Skid4"/>
      <sheetName val="INPUT_DATA4"/>
      <sheetName val="CAMP_OPERATING_COST4"/>
      <sheetName val="PERSONNEL_SETUP4"/>
      <sheetName val="LIST_OF_OFFICE_EQUIPMENT4"/>
      <sheetName val="STAFF&amp;INDIRECT_SALARY_-_SUMMAR4"/>
      <sheetName val="KOREAN_STAFF_SALARY_BREAKDOWN4"/>
      <sheetName val="WELFARE_COST_-_SITE4"/>
      <sheetName val="개시대사_(2)4"/>
      <sheetName val="입고장부_(4)4"/>
      <sheetName val="FEUILLE_INTERNE4"/>
      <sheetName val="COMPARISON_TABLE4"/>
      <sheetName val="L_V_Separator4"/>
      <sheetName val="CAMP_-_CONSTRUCTION4"/>
      <sheetName val="E_Rate_PM4"/>
      <sheetName val="Schedule_2_and_34"/>
      <sheetName val="Cover_sheet2"/>
      <sheetName val="CAL_4"/>
      <sheetName val="Summary_Sheets2"/>
      <sheetName val="BSD_(2)2"/>
      <sheetName val="TRAY_BM2"/>
      <sheetName val="11_자재단가3"/>
      <sheetName val="1_OF_93"/>
      <sheetName val="품셈_2"/>
      <sheetName val="sc0314_Index2"/>
      <sheetName val="Graph_(LGEN)2"/>
      <sheetName val="선적schedule_(2)2"/>
      <sheetName val="Resource_summary2"/>
      <sheetName val="배관물량_(STEEL)4"/>
      <sheetName val="Sheet_14"/>
      <sheetName val="w't_table2"/>
      <sheetName val="eq_data__x005f_x0000__x005f_x0000__x005f_x0000__2"/>
      <sheetName val="Break_Down2"/>
      <sheetName val="Supervision_List2"/>
      <sheetName val="General_Data4"/>
      <sheetName val="PRICE_COMP4"/>
      <sheetName val="A(Rev_3)4"/>
      <sheetName val="static_cal2"/>
      <sheetName val="crude_SLAB_RE-bar2"/>
      <sheetName val="7_6_3(B)_UG_Piping2"/>
      <sheetName val="PRICE_LIST2"/>
      <sheetName val="7_5_2_BOQ_Summary_2"/>
      <sheetName val="Rekap_A2"/>
      <sheetName val="paint_mat2"/>
      <sheetName val="VE_Estimate2"/>
      <sheetName val="TABLE2-2_OSBL-(SITE_PREP)2"/>
      <sheetName val="OFFER_RATE2"/>
      <sheetName val="Job_Data2"/>
      <sheetName val="Piping_Design_Data2"/>
      <sheetName val="Summary_20022"/>
      <sheetName val="ASME_B_36_10_M2"/>
      <sheetName val="Struct-Grass_root2"/>
      <sheetName val="3_0_Overall_Progress_S-curve4"/>
      <sheetName val="3-4_SPI4"/>
      <sheetName val="-15_02"/>
      <sheetName val="견적_집계2"/>
      <sheetName val="PULLING_SUPT등2"/>
      <sheetName val="Sheet1_(2)2"/>
      <sheetName val="PAGE_12"/>
      <sheetName val="_생산성_분석_체계_절차_xlsx2"/>
      <sheetName val="BQ_List2"/>
      <sheetName val="PAGE_22"/>
      <sheetName val="Page_102"/>
      <sheetName val="C급보_2"/>
      <sheetName val="Rectangular_Beam2"/>
      <sheetName val="CRUDE_RE-bar2"/>
      <sheetName val="COST_UP2"/>
      <sheetName val="간접비_총괄표2"/>
      <sheetName val="Eng_hour_DB2"/>
      <sheetName val="DUTCH_CONE2"/>
      <sheetName val="2_Calculation_12"/>
      <sheetName val="PAGE_3_GENERAL_DETAILS2"/>
      <sheetName val="적용_환율2"/>
      <sheetName val="Elect_(3)2"/>
      <sheetName val="GM_0002"/>
      <sheetName val="PRECAST_lightconc-II2"/>
      <sheetName val="Rev_No2"/>
      <sheetName val="PUMP_SHT2"/>
      <sheetName val="Datasheet_GLL_double_weir_(1)2"/>
      <sheetName val="_2"/>
      <sheetName val="eq_data__x005f_x0000__x002"/>
      <sheetName val="TENDER_PROG_2"/>
      <sheetName val="PROC_PROG2"/>
      <sheetName val="Block_D2"/>
      <sheetName val="Sheet2_(2)2"/>
      <sheetName val="33628-Rev__A2"/>
      <sheetName val="TYPE-B_평균H2"/>
      <sheetName val="co-no_21"/>
      <sheetName val="6_공사비_내역_(가)2"/>
      <sheetName val="Form_A_11"/>
      <sheetName val="Form_A_1_11"/>
      <sheetName val="BOM_Indirect1"/>
      <sheetName val="Form_A_1_II_21"/>
      <sheetName val="6_GSTG_PIPING1"/>
      <sheetName val="NONS__2,1891"/>
      <sheetName val="Reference_Table1"/>
      <sheetName val="CAL(1)_1"/>
      <sheetName val="member_design1"/>
      <sheetName val="soil_bearing_check1"/>
      <sheetName val="OCT_FDN1"/>
      <sheetName val="PRI_CIV1"/>
      <sheetName val="FOR_CIV1"/>
      <sheetName val="SUB_CIV1"/>
      <sheetName val="ANA_CIV1"/>
      <sheetName val="AUX_CIV1"/>
      <sheetName val="내역서_1"/>
      <sheetName val="hori__vessel(E-895)1"/>
      <sheetName val="2_31"/>
      <sheetName val="S_N1"/>
      <sheetName val="REF_ONLY1"/>
      <sheetName val="SUMMARY_(0)2"/>
      <sheetName val="Loading_Table1"/>
      <sheetName val="Pipelines_ASAB_I-II_Brownfield1"/>
      <sheetName val="Vent_Line_size1"/>
      <sheetName val="4_1구조설계1"/>
      <sheetName val="input_data-0909081"/>
      <sheetName val="HRG_BHN1"/>
      <sheetName val="MH_Estimation_Guide1"/>
      <sheetName val="공사비_내역_(가)1"/>
      <sheetName val="Comp_Rate_1"/>
      <sheetName val="Expenses_per_Cost_Code_1"/>
      <sheetName val="COMB_MNG&amp;STAFF_(ALL)__(2)1"/>
      <sheetName val="Q5434_EQ_LIST1"/>
      <sheetName val="motor_power1"/>
      <sheetName val="Forecast_Drivers1"/>
      <sheetName val="Fill_this_out_first___2"/>
      <sheetName val="Fill_this_out_first___3"/>
      <sheetName val="7_0_Crack_Check1"/>
      <sheetName val="축열조_기초1"/>
      <sheetName val="Data_11"/>
      <sheetName val="Unit_Cost1"/>
      <sheetName val="Section_1~4(1)1"/>
      <sheetName val="Section_1~4_1"/>
      <sheetName val="Section_51"/>
      <sheetName val="Section_5_21"/>
      <sheetName val="Section_5_31"/>
      <sheetName val="Section_61"/>
      <sheetName val="Section_6_21"/>
      <sheetName val="Attachment_11"/>
      <sheetName val="Attachmenet_21"/>
      <sheetName val="MEASURE_LIST1"/>
      <sheetName val="Don_gia1"/>
      <sheetName val="Analisa_HS1"/>
      <sheetName val="COST-EST_LTI_P5C1"/>
      <sheetName val="SLEIPNER_-_ORMEN_LANGE1"/>
      <sheetName val="전기_BM_revA('090624)_xls1"/>
      <sheetName val="定额_(06)1"/>
      <sheetName val="Coeff_1"/>
      <sheetName val="RAW_MATERIALS_1"/>
      <sheetName val="COST-PERSON-J_O_1"/>
      <sheetName val="4-3LEVEL-5_epic_41"/>
      <sheetName val="4_단락전류1"/>
      <sheetName val="[fdn_bm_pro_xls]기계공사비집계(珆꭭/1"/>
      <sheetName val="Exchange_rates1"/>
      <sheetName val="2-SITE "/>
      <sheetName val="등부표"/>
      <sheetName val="APP-9"/>
      <sheetName val="뜃맟뭁돽띿맟-BLDG"/>
      <sheetName val="기계공사비집계(珆꭭"/>
      <sheetName val="fdn_bm_pro.xls기계공사비집계(珆꭭"/>
      <sheetName val="PCC EAF"/>
      <sheetName val="PCC LF"/>
      <sheetName val="STD"/>
      <sheetName val="Indeks"/>
      <sheetName val="5-ALAT(1)"/>
      <sheetName val="4-Basic Price"/>
      <sheetName val="1-Rekap"/>
      <sheetName val="기계공사비집계(珆꭭_"/>
      <sheetName val="_fdn_bm_pro.xls_기계공사비집계(珆꭭_"/>
      <sheetName val="기계공사비집계(ၩ"/>
      <sheetName val="기계공사비집계(թ"/>
      <sheetName val="기계공사비집계(i"/>
      <sheetName val="eq_data ????"/>
      <sheetName val="?è"/>
      <sheetName val="Finish list"/>
      <sheetName val="Bldg정보"/>
      <sheetName val="sOURCES"/>
      <sheetName val="자재집계 &amp; 총괄표"/>
      <sheetName val="제직재"/>
      <sheetName val="설직재-1"/>
      <sheetName val="제-노임"/>
      <sheetName val="생산량"/>
      <sheetName val="Unit. Price"/>
      <sheetName val="Engrg Est"/>
      <sheetName val="7"/>
      <sheetName val="5_Peralatan"/>
      <sheetName val="Cover_Flex"/>
      <sheetName val="[fdn_bm_pro.xls]_fdn_bm_pro_x_2"/>
      <sheetName val="가설개략"/>
      <sheetName val="dlvoid"/>
      <sheetName val="Dati base"/>
      <sheetName val="US Inflation Factors"/>
      <sheetName val="Ratios"/>
      <sheetName val="Cover Page"/>
      <sheetName val="유림골조"/>
      <sheetName val="GASATAGG.XLS"/>
      <sheetName val="Informasi"/>
      <sheetName val="CBD"/>
      <sheetName val="BD-PP-OFF"/>
      <sheetName val="InsertListDrawing 1 "/>
      <sheetName val="M1"/>
      <sheetName val="SAT"/>
      <sheetName val="barTable"/>
      <sheetName val="Testing"/>
      <sheetName val="BILL Of QUANTITIES"/>
      <sheetName val="H.Satuan"/>
      <sheetName val="Div26 - Elect"/>
      <sheetName val="2.4.1 Elec_BOQ"/>
      <sheetName val="2.4.1 Inst_BOQ"/>
      <sheetName val="PTF Report"/>
      <sheetName val="page 142"/>
      <sheetName val="BEND LOSS"/>
      <sheetName val="Listenfelder"/>
      <sheetName val="6PILE  (돌출)"/>
      <sheetName val="Tie_Beam_GN"/>
      <sheetName val="system_&amp;_LOOK_UP_FUNC"/>
      <sheetName val="96_12"/>
      <sheetName val="tabulación final"/>
      <sheetName val="송강"/>
      <sheetName val="예정공정표 (2)"/>
      <sheetName val="選択リスト"/>
      <sheetName val="図面番号参照"/>
      <sheetName val="Sh_x0005__x0000__x0000_"/>
      <sheetName val="DTmpData"/>
      <sheetName val="Budget Weight Instructions A"/>
      <sheetName val="P-base-1"/>
      <sheetName val="E-base-1"/>
      <sheetName val="Forecast"/>
      <sheetName val="Basic data"/>
      <sheetName val="Isolasi Luar Dalam"/>
      <sheetName val="Isolasi Luar"/>
      <sheetName val="ADMIN TB-557066_00A"/>
      <sheetName val="LABORATORY TB-557091_00A"/>
      <sheetName val="OME5 TB-557088-001_00A"/>
      <sheetName val="OME4 TB-557087-001_00A"/>
      <sheetName val="OME3 TB-557086-001_00A"/>
      <sheetName val="CMB EMTS TB-557084_00A"/>
      <sheetName val="SLCB TB-557083-002_00B"/>
      <sheetName val="PIB9 TB-557082-003_00B"/>
      <sheetName val="PIB7 TB-557081-003_00B"/>
      <sheetName val="PIB6 TB-557080-003_00B"/>
      <sheetName val="PIB5 TB-557079-002_00B"/>
      <sheetName val="PIB4 TB-557078-002_00B"/>
      <sheetName val="PIB3 TB-557077-002_00B"/>
      <sheetName val="CCB TB-557075-001_00B"/>
      <sheetName val="CCB TB-557073-002_00B"/>
      <sheetName val="CCB TB-557072-001_00A"/>
      <sheetName val="CCB TB-557051_00B"/>
      <sheetName val="MASTER"/>
      <sheetName val="PDMP"/>
      <sheetName val="PCE"/>
      <sheetName val="PRODUK"/>
      <sheetName val="TOOL-ME"/>
      <sheetName val="Sh_x0005_"/>
      <sheetName val="NOC"/>
      <sheetName val="EMPLOYMENT CERTIFICATE"/>
      <sheetName val="Salary cer"/>
      <sheetName val="Master file"/>
      <sheetName val="AC"/>
      <sheetName val="암거공"/>
      <sheetName val="가수금대체"/>
      <sheetName val="손익예상"/>
      <sheetName val="working"/>
      <sheetName val="배관내역"/>
      <sheetName val="공정현황"/>
      <sheetName val="PPJan'06"/>
      <sheetName val="공사계획서"/>
      <sheetName val="품셈표"/>
      <sheetName val="Eq. Mobilization"/>
      <sheetName val="95WBS"/>
      <sheetName val="RDLEVLST"/>
      <sheetName val="Line dP"/>
      <sheetName val="Motor Table"/>
      <sheetName val="PkRp"/>
      <sheetName val="eq_data _x0000__x00"/>
      <sheetName val="DataFormat"/>
      <sheetName val="DataPrep"/>
      <sheetName val="77521"/>
      <sheetName val="Connections"/>
      <sheetName val="Calc"/>
      <sheetName val=" Input "/>
      <sheetName val="3514-HV-0201"/>
      <sheetName val="Table-1"/>
      <sheetName val="금융비용"/>
      <sheetName val="ELECTRIC"/>
      <sheetName val="CTEMCOST"/>
      <sheetName val="SCHEDULE"/>
      <sheetName val="chart"/>
      <sheetName val="Bend_fact "/>
      <sheetName val="Bend_fact_"/>
      <sheetName val="982-6B@"/>
      <sheetName val="간접비"/>
      <sheetName val="system_&amp;_LOOK_UP_FUNC1"/>
      <sheetName val="PROCESS"/>
      <sheetName val="E.1"/>
      <sheetName val="OD"/>
      <sheetName val="Estimate"/>
      <sheetName val="Unitwise breakup"/>
      <sheetName val="실행철강하도"/>
      <sheetName val="Droplist"/>
      <sheetName val="tunda2"/>
      <sheetName val="rekap.c"/>
      <sheetName val="HARGA MATERIAL"/>
      <sheetName val="H_param"/>
      <sheetName val="BQ Arsit"/>
      <sheetName val="An HarSatPek"/>
      <sheetName val="Sat Bah &amp; Up"/>
      <sheetName val="1.사업개요"/>
      <sheetName val="HT-INTROD"/>
      <sheetName val="Site Expenses"/>
      <sheetName val="Récapitulatif"/>
      <sheetName val="ABUT수량-A1"/>
      <sheetName val="steel-gr"/>
      <sheetName val="Cause&amp;Effects"/>
      <sheetName val="Paint - Mat Summ"/>
      <sheetName val="Paint_-_Mat_Summ"/>
      <sheetName val="Piling &amp; Tk Fdn"/>
      <sheetName val="Data Pembukaan_1.1"/>
      <sheetName val="특수선일위대가"/>
      <sheetName val="7_5_1(A)_Data8"/>
      <sheetName val="7_5_1(B)_BOQ_Breakdown8"/>
      <sheetName val="7_5_1(C)_Scope8"/>
      <sheetName val="7_5_1(D)_Basis8"/>
      <sheetName val="7_5_1(E)_Allowance8"/>
      <sheetName val="7_5_2_BOQ_Summary8"/>
      <sheetName val="7_5_3_BOQ8"/>
      <sheetName val="A__Erec_BOQ(Shop)8"/>
      <sheetName val="B__Erec_BOQ(Field)8"/>
      <sheetName val="C__Surface_Protection8"/>
      <sheetName val="A__Erec_BOQ(Shop)_(2)8"/>
      <sheetName val="B__Erec_BOQ(Field)_(2)8"/>
      <sheetName val="C__Surf_Protection8"/>
      <sheetName val="Attachment_#18"/>
      <sheetName val="Attachment_#28"/>
      <sheetName val="302_C18"/>
      <sheetName val="302_C28"/>
      <sheetName val="SUPPLY_(2)8"/>
      <sheetName val="RETURN_(2)8"/>
      <sheetName val="303_(2)8"/>
      <sheetName val="308_(2)8"/>
      <sheetName val="309_(2)8"/>
      <sheetName val="JUNCTION_BOX8"/>
      <sheetName val="PIPE_FITTING8"/>
      <sheetName val="TUBE_FITTING8"/>
      <sheetName val="CABLE_GLAND8"/>
      <sheetName val="CONS__EQUIP___8"/>
      <sheetName val="BLR_18"/>
      <sheetName val="REINF_8"/>
      <sheetName val="ITB_COST7"/>
      <sheetName val="97_사업추정(WEKI)7"/>
      <sheetName val="Cost_control7"/>
      <sheetName val="90EL_JACKET7"/>
      <sheetName val="보온_회사분7"/>
      <sheetName val="FIRE_FIGHTING7"/>
      <sheetName val="plan&amp;section_of_foundation6"/>
      <sheetName val="design_criteria6"/>
      <sheetName val="Sch_65"/>
      <sheetName val="bill_25"/>
      <sheetName val="Mat_Stelo6"/>
      <sheetName val="1_설계기준5"/>
      <sheetName val="Unit_SUM6"/>
      <sheetName val="표지_(2)5"/>
      <sheetName val="배관물량_(STEEL)5"/>
      <sheetName val="Sheet_15"/>
      <sheetName val="Tipo_Terzi6"/>
      <sheetName val="BM_DATA_SHEET6"/>
      <sheetName val="working_load_at_the_btm_ft_5"/>
      <sheetName val="stability_check5"/>
      <sheetName val="Break_Dw5"/>
      <sheetName val="방유제용량_계산서5"/>
      <sheetName val="Material_Specification5"/>
      <sheetName val="special_item_양진규_작성5"/>
      <sheetName val="OUTER_AREA(겹침없음)5"/>
      <sheetName val="CAMP_OPERATING_COST5"/>
      <sheetName val="PERSONNEL_SETUP5"/>
      <sheetName val="LIST_OF_OFFICE_EQUIPMENT5"/>
      <sheetName val="STAFF&amp;INDIRECT_SALARY_-_SUMMAR5"/>
      <sheetName val="KOREAN_STAFF_SALARY_BREAKDOWN5"/>
      <sheetName val="WELFARE_COST_-_SITE5"/>
      <sheetName val="INPUT_DATA5"/>
      <sheetName val="개시대사_(2)5"/>
      <sheetName val="pile_bearing_capa_&amp;_arrenge5"/>
      <sheetName val="design_load5"/>
      <sheetName val="Fab__Skid5"/>
      <sheetName val="입고장부_(4)5"/>
      <sheetName val="FEUILLE_INTERNE5"/>
      <sheetName val="L_V_Separator5"/>
      <sheetName val="CAMP_-_CONSTRUCTION5"/>
      <sheetName val="E_Rate_PM5"/>
      <sheetName val="Schedule_2_and_35"/>
      <sheetName val="CAL_5"/>
      <sheetName val="COMPARISON_TABLE5"/>
      <sheetName val="3_0_Overall_Progress_S-curve5"/>
      <sheetName val="3-4_SPI5"/>
      <sheetName val="BSD_(2)3"/>
      <sheetName val="TRAY_BM3"/>
      <sheetName val="Summary_Sheets3"/>
      <sheetName val="Cover_sheet3"/>
      <sheetName val="11_자재단가4"/>
      <sheetName val="1_OF_94"/>
      <sheetName val="품셈_3"/>
      <sheetName val="sc0314_Index3"/>
      <sheetName val="Graph_(LGEN)3"/>
      <sheetName val="선적schedule_(2)3"/>
      <sheetName val="Resource_summary3"/>
      <sheetName val="w't_table3"/>
      <sheetName val="Struct-Grass_root3"/>
      <sheetName val="PAGE_23"/>
      <sheetName val="7_5_2_BOQ_Summary_3"/>
      <sheetName val="Rekap_A3"/>
      <sheetName val="General_Data5"/>
      <sheetName val="PRICE_COMP5"/>
      <sheetName val="A(Rev_3)5"/>
      <sheetName val="static_cal3"/>
      <sheetName val="crude_SLAB_RE-bar3"/>
      <sheetName val="7_6_3(B)_UG_Piping3"/>
      <sheetName val="PRICE_LIST3"/>
      <sheetName val="paint_mat3"/>
      <sheetName val="VE_Estimate3"/>
      <sheetName val="TABLE2-2_OSBL-(SITE_PREP)3"/>
      <sheetName val="OFFER_RATE3"/>
      <sheetName val="Job_Data3"/>
      <sheetName val="Piping_Design_Data3"/>
      <sheetName val="Summary_20023"/>
      <sheetName val="ASME_B_36_10_M3"/>
      <sheetName val="eq_data__x005f_x0000__x005f_x0000__x005f_x0000__3"/>
      <sheetName val="-15_03"/>
      <sheetName val="견적_집계3"/>
      <sheetName val="PULLING_SUPT등3"/>
      <sheetName val="Sheet1_(2)3"/>
      <sheetName val="PAGE_13"/>
      <sheetName val="_생산성_분석_체계_절차_xlsx3"/>
      <sheetName val="BQ_List3"/>
      <sheetName val="Break_Down3"/>
      <sheetName val="Supervision_List3"/>
      <sheetName val="Page_103"/>
      <sheetName val="간접비_총괄표3"/>
      <sheetName val="CRUDE_RE-bar3"/>
      <sheetName val="Exchange_rates2"/>
      <sheetName val="Eng_hour_DB3"/>
      <sheetName val="COST_UP3"/>
      <sheetName val="DUTCH_CONE3"/>
      <sheetName val="C급보_3"/>
      <sheetName val="PAGE_3_GENERAL_DETAILS3"/>
      <sheetName val="적용_환율3"/>
      <sheetName val="Rectangular_Beam3"/>
      <sheetName val="GM_0003"/>
      <sheetName val="PRECAST_lightconc-II3"/>
      <sheetName val="Rev_No3"/>
      <sheetName val="PUMP_SHT3"/>
      <sheetName val="Elect_(3)3"/>
      <sheetName val="TENDER_PROG_3"/>
      <sheetName val="PROC_PROG3"/>
      <sheetName val="Block_D3"/>
      <sheetName val="2_Calculation_13"/>
      <sheetName val="Datasheet_GLL_double_weir_(1)3"/>
      <sheetName val="_3"/>
      <sheetName val="eq_data__x005f_x0000__x003"/>
      <sheetName val="co-no_22"/>
      <sheetName val="33628-Rev__A3"/>
      <sheetName val="TYPE-B_평균H3"/>
      <sheetName val="6_공사비_내역_(가)3"/>
      <sheetName val="Sheet2_(2)3"/>
      <sheetName val="Form_A_12"/>
      <sheetName val="Form_A_1_12"/>
      <sheetName val="BOM_Indirect2"/>
      <sheetName val="Form_A_1_II_22"/>
      <sheetName val="6_GSTG_PIPING2"/>
      <sheetName val="NONS__2,1892"/>
      <sheetName val="내역서_2"/>
      <sheetName val="Reference_Table2"/>
      <sheetName val="CAL(1)_2"/>
      <sheetName val="member_design2"/>
      <sheetName val="soil_bearing_check2"/>
      <sheetName val="OCT_FDN2"/>
      <sheetName val="PRI_CIV2"/>
      <sheetName val="FOR_CIV2"/>
      <sheetName val="SUB_CIV2"/>
      <sheetName val="ANA_CIV2"/>
      <sheetName val="AUX_CIV2"/>
      <sheetName val="hori__vessel(E-895)2"/>
      <sheetName val="2_32"/>
      <sheetName val="S_N2"/>
      <sheetName val="REF_ONLY2"/>
      <sheetName val="Loading_Table2"/>
      <sheetName val="SUMMARY_(0)3"/>
      <sheetName val="Vent_Line_size2"/>
      <sheetName val="Pipelines_ASAB_I-II_Brownfield2"/>
      <sheetName val="MEASURE_LIST2"/>
      <sheetName val="4_1구조설계2"/>
      <sheetName val="HRG_BHN2"/>
      <sheetName val="input_data-0909082"/>
      <sheetName val="MH_Estimation_Guide2"/>
      <sheetName val="공사비_내역_(가)2"/>
      <sheetName val="Don_gia2"/>
      <sheetName val="Comp_Rate_2"/>
      <sheetName val="Data_12"/>
      <sheetName val="Expenses_per_Cost_Code_2"/>
      <sheetName val="7_0_Crack_Check2"/>
      <sheetName val="축열조_기초2"/>
      <sheetName val="Fill_this_out_first___4"/>
      <sheetName val="Fill_this_out_first___5"/>
      <sheetName val="COMB_MNG&amp;STAFF_(ALL)__(2)2"/>
      <sheetName val="Forecast_Drivers2"/>
      <sheetName val="Q5434_EQ_LIST2"/>
      <sheetName val="motor_power2"/>
      <sheetName val="Unit_Cost2"/>
      <sheetName val="Section_1~4(1)2"/>
      <sheetName val="Section_1~4_2"/>
      <sheetName val="Section_52"/>
      <sheetName val="Section_5_22"/>
      <sheetName val="Section_5_32"/>
      <sheetName val="Section_62"/>
      <sheetName val="Section_6_22"/>
      <sheetName val="Attachment_12"/>
      <sheetName val="Attachmenet_22"/>
      <sheetName val="Analisa_HS2"/>
      <sheetName val="RAW_MATERIALS_2"/>
      <sheetName val="COST-PERSON-J_O_2"/>
      <sheetName val="COST-EST_LTI_P5C2"/>
      <sheetName val="SLEIPNER_-_ORMEN_LANGE2"/>
      <sheetName val="전기_BM_revA('090624)_xls2"/>
      <sheetName val="定额_(06)2"/>
      <sheetName val="Coeff_2"/>
      <sheetName val="4-3LEVEL-5_epic_42"/>
      <sheetName val="4_단락전류2"/>
      <sheetName val="[fdn_bm_pro_xls]기계공사비집계(珆꭭/2"/>
      <sheetName val="2-SITE_"/>
      <sheetName val="BID_FORM"/>
      <sheetName val="Form_of_Bid"/>
      <sheetName val="INST_LIST"/>
      <sheetName val="MANPOWER_DIRECT_TRACKING"/>
      <sheetName val="Timescaled_Data"/>
      <sheetName val="Home_Office"/>
      <sheetName val="Code_02"/>
      <sheetName val="Code_03"/>
      <sheetName val="Code_04"/>
      <sheetName val="Code_05"/>
      <sheetName val="Code_06"/>
      <sheetName val="Code_07"/>
      <sheetName val="Code_09"/>
      <sheetName val="4300_UTILITY_BLDG_(2)"/>
      <sheetName val="Price_Breakdown(Building)"/>
      <sheetName val="Item_Dominan"/>
      <sheetName val="Finish_list"/>
      <sheetName val="PCC_EAF"/>
      <sheetName val="PCC_LF"/>
      <sheetName val="4-Basic_Price"/>
      <sheetName val="_fdn_bm_pro_xls_기계공사비집계(珆꭭_"/>
      <sheetName val="eq_data_????"/>
      <sheetName val="Unit__Price"/>
      <sheetName val="Dati_base"/>
      <sheetName val="US_Inflation_Factors"/>
      <sheetName val="Cover_Page"/>
      <sheetName val="fdn_bm_pro_xls기계공사비집계(珆꭭"/>
      <sheetName val="Engrg_Est"/>
      <sheetName val="Cost"/>
      <sheetName val="KEYS"/>
      <sheetName val="[fdn_bm_pro.xls]_fdn_bm_pro_x_3"/>
      <sheetName val="[fdn_bm_pro.xls]_fdn_bm_pro_x_4"/>
      <sheetName val="[fdn_bm_pro.xls]_fdn_bm_pro_x_5"/>
      <sheetName val="_fdn_bm_pro_xls_기계공사비집계(珆꭭_1"/>
      <sheetName val="eq_data ____"/>
      <sheetName val="_è"/>
      <sheetName val="_fdn_bm_pro.xls__fdn_bm_pro_x_2"/>
      <sheetName val="Pipe ID"/>
      <sheetName val="Step"/>
      <sheetName val="database"/>
      <sheetName val="5-Peralatan"/>
      <sheetName val="XLR_NoRangeSheet"/>
      <sheetName val="Cost Data"/>
      <sheetName val="チューブ仕様"/>
      <sheetName val="Cutoff"/>
      <sheetName val="자재집계_&amp;_총괄표"/>
      <sheetName val="[fdn_bm_pro_xls]_fdn_bm_pro_x_2"/>
      <sheetName val="GASATAGG_XLS"/>
      <sheetName val="BEND_LOSS"/>
      <sheetName val="eq_data_1"/>
      <sheetName val="7_5_1(A)_Data9"/>
      <sheetName val="7_5_1(B)_BOQ_Breakdown9"/>
      <sheetName val="7_5_1(C)_Scope9"/>
      <sheetName val="7_5_1(D)_Basis9"/>
      <sheetName val="7_5_1(E)_Allowance9"/>
      <sheetName val="7_5_2_BOQ_Summary9"/>
      <sheetName val="7_5_3_BOQ9"/>
      <sheetName val="A__Erec_BOQ(Shop)9"/>
      <sheetName val="B__Erec_BOQ(Field)9"/>
      <sheetName val="C__Surface_Protection9"/>
      <sheetName val="A__Erec_BOQ(Shop)_(2)9"/>
      <sheetName val="B__Erec_BOQ(Field)_(2)9"/>
      <sheetName val="C__Surf_Protection9"/>
      <sheetName val="Attachment_#19"/>
      <sheetName val="Attachment_#29"/>
      <sheetName val="302_C19"/>
      <sheetName val="302_C29"/>
      <sheetName val="SUPPLY_(2)9"/>
      <sheetName val="RETURN_(2)9"/>
      <sheetName val="303_(2)9"/>
      <sheetName val="308_(2)9"/>
      <sheetName val="309_(2)9"/>
      <sheetName val="JUNCTION_BOX9"/>
      <sheetName val="PIPE_FITTING9"/>
      <sheetName val="TUBE_FITTING9"/>
      <sheetName val="CABLE_GLAND9"/>
      <sheetName val="CONS__EQUIP___9"/>
      <sheetName val="BLR_19"/>
      <sheetName val="REINF_9"/>
      <sheetName val="ITB_COST8"/>
      <sheetName val="97_사업추정(WEKI)8"/>
      <sheetName val="90EL_JACKET8"/>
      <sheetName val="보온_회사분8"/>
      <sheetName val="Cost_control8"/>
      <sheetName val="FIRE_FIGHTING8"/>
      <sheetName val="Tipo_Terzi7"/>
      <sheetName val="plan&amp;section_of_foundation7"/>
      <sheetName val="design_criteria7"/>
      <sheetName val="BM_DATA_SHEET7"/>
      <sheetName val="Mat_Stelo7"/>
      <sheetName val="Unit_SUM7"/>
      <sheetName val="1_설계기준6"/>
      <sheetName val="working_load_at_the_btm_ft_6"/>
      <sheetName val="stability_check6"/>
      <sheetName val="OUTER_AREA(겹침없음)6"/>
      <sheetName val="Material_Specification6"/>
      <sheetName val="special_item_양진규_작성6"/>
      <sheetName val="bill_26"/>
      <sheetName val="방유제용량_계산서6"/>
      <sheetName val="Break_Dw6"/>
      <sheetName val="표지_(2)6"/>
      <sheetName val="pile_bearing_capa_&amp;_arrenge6"/>
      <sheetName val="design_load6"/>
      <sheetName val="Fab__Skid6"/>
      <sheetName val="Sch_66"/>
      <sheetName val="INPUT_DATA6"/>
      <sheetName val="CAMP_OPERATING_COST6"/>
      <sheetName val="PERSONNEL_SETUP6"/>
      <sheetName val="LIST_OF_OFFICE_EQUIPMENT6"/>
      <sheetName val="STAFF&amp;INDIRECT_SALARY_-_SUMMAR6"/>
      <sheetName val="KOREAN_STAFF_SALARY_BREAKDOWN6"/>
      <sheetName val="WELFARE_COST_-_SITE6"/>
      <sheetName val="개시대사_(2)6"/>
      <sheetName val="입고장부_(4)6"/>
      <sheetName val="FEUILLE_INTERNE6"/>
      <sheetName val="COMPARISON_TABLE6"/>
      <sheetName val="L_V_Separator6"/>
      <sheetName val="CAMP_-_CONSTRUCTION6"/>
      <sheetName val="E_Rate_PM6"/>
      <sheetName val="Schedule_2_and_36"/>
      <sheetName val="CAL_6"/>
      <sheetName val="11_자재단가5"/>
      <sheetName val="1_OF_95"/>
      <sheetName val="Cover_sheet4"/>
      <sheetName val="BSD_(2)4"/>
      <sheetName val="TRAY_BM4"/>
      <sheetName val="Graph_(LGEN)4"/>
      <sheetName val="선적schedule_(2)4"/>
      <sheetName val="Summary_Sheets4"/>
      <sheetName val="품셈_4"/>
      <sheetName val="sc0314_Index4"/>
      <sheetName val="Resource_summary4"/>
      <sheetName val="배관물량_(STEEL)6"/>
      <sheetName val="Sheet_16"/>
      <sheetName val="w't_table4"/>
      <sheetName val="eq_data__x005f_x0000__x005f_x0000__x005f_x0000__4"/>
      <sheetName val="Struct-Grass_root4"/>
      <sheetName val="-15_04"/>
      <sheetName val="3_0_Overall_Progress_S-curve6"/>
      <sheetName val="3-4_SPI6"/>
      <sheetName val="General_Data6"/>
      <sheetName val="PRICE_COMP6"/>
      <sheetName val="A(Rev_3)6"/>
      <sheetName val="static_cal4"/>
      <sheetName val="crude_SLAB_RE-bar4"/>
      <sheetName val="7_6_3(B)_UG_Piping4"/>
      <sheetName val="PRICE_LIST4"/>
      <sheetName val="7_5_2_BOQ_Summary_4"/>
      <sheetName val="Rekap_A4"/>
      <sheetName val="paint_mat4"/>
      <sheetName val="VE_Estimate4"/>
      <sheetName val="TABLE2-2_OSBL-(SITE_PREP)4"/>
      <sheetName val="PAGE_24"/>
      <sheetName val="OFFER_RATE4"/>
      <sheetName val="Job_Data4"/>
      <sheetName val="Piping_Design_Data4"/>
      <sheetName val="Summary_20024"/>
      <sheetName val="ASME_B_36_10_M4"/>
      <sheetName val="Break_Down4"/>
      <sheetName val="Supervision_List4"/>
      <sheetName val="견적_집계4"/>
      <sheetName val="PULLING_SUPT등4"/>
      <sheetName val="Sheet1_(2)4"/>
      <sheetName val="PAGE_14"/>
      <sheetName val="_생산성_분석_체계_절차_xlsx4"/>
      <sheetName val="BQ_List4"/>
      <sheetName val="Page_104"/>
      <sheetName val="C급보_4"/>
      <sheetName val="Rectangular_Beam4"/>
      <sheetName val="간접비_총괄표4"/>
      <sheetName val="Eng_hour_DB4"/>
      <sheetName val="CRUDE_RE-bar4"/>
      <sheetName val="DUTCH_CONE4"/>
      <sheetName val="PAGE_3_GENERAL_DETAILS4"/>
      <sheetName val="적용_환율4"/>
      <sheetName val="GM_0004"/>
      <sheetName val="PRECAST_lightconc-II4"/>
      <sheetName val="Elect_(3)4"/>
      <sheetName val="Rev_No4"/>
      <sheetName val="COST_UP4"/>
      <sheetName val="PUMP_SHT4"/>
      <sheetName val="TENDER_PROG_4"/>
      <sheetName val="PROC_PROG4"/>
      <sheetName val="Block_D4"/>
      <sheetName val="2_Calculation_14"/>
      <sheetName val="Datasheet_GLL_double_weir_(1)4"/>
      <sheetName val="_4"/>
      <sheetName val="eq_data__x005f_x0000__x004"/>
      <sheetName val="33628-Rev__A4"/>
      <sheetName val="TYPE-B_평균H4"/>
      <sheetName val="6_공사비_내역_(가)4"/>
      <sheetName val="Sheet2_(2)4"/>
      <sheetName val="REF_ONLY3"/>
      <sheetName val="co-no_23"/>
      <sheetName val="Form_A_13"/>
      <sheetName val="Form_A_1_13"/>
      <sheetName val="BOM_Indirect3"/>
      <sheetName val="Form_A_1_II_23"/>
      <sheetName val="6_GSTG_PIPING3"/>
      <sheetName val="NONS__2,1893"/>
      <sheetName val="COMB_MNG&amp;STAFF_(ALL)__(2)3"/>
      <sheetName val="Reference_Table3"/>
      <sheetName val="CAL(1)_3"/>
      <sheetName val="member_design3"/>
      <sheetName val="soil_bearing_check3"/>
      <sheetName val="OCT_FDN3"/>
      <sheetName val="PRI_CIV3"/>
      <sheetName val="FOR_CIV3"/>
      <sheetName val="SUB_CIV3"/>
      <sheetName val="ANA_CIV3"/>
      <sheetName val="AUX_CIV3"/>
      <sheetName val="내역서_3"/>
      <sheetName val="hori__vessel(E-895)3"/>
      <sheetName val="2_33"/>
      <sheetName val="S_N3"/>
      <sheetName val="Loading_Table3"/>
      <sheetName val="SUMMARY_(0)4"/>
      <sheetName val="4_1구조설계3"/>
      <sheetName val="Pipelines_ASAB_I-II_Brownfield3"/>
      <sheetName val="MH_Estimation_Guide3"/>
      <sheetName val="공사비_내역_(가)3"/>
      <sheetName val="input_data-0909083"/>
      <sheetName val="HRG_BHN3"/>
      <sheetName val="Vent_Line_size3"/>
      <sheetName val="Expenses_per_Cost_Code_3"/>
      <sheetName val="Comp_Rate_3"/>
      <sheetName val="Analisa_HS3"/>
      <sheetName val="Section_1~4(1)3"/>
      <sheetName val="Section_1~4_3"/>
      <sheetName val="Section_53"/>
      <sheetName val="Section_5_23"/>
      <sheetName val="Section_5_33"/>
      <sheetName val="Section_63"/>
      <sheetName val="Section_6_23"/>
      <sheetName val="Attachment_13"/>
      <sheetName val="Attachmenet_23"/>
      <sheetName val="7_0_Crack_Check3"/>
      <sheetName val="축열조_기초3"/>
      <sheetName val="Fill_this_out_first___6"/>
      <sheetName val="Fill_this_out_first___7"/>
      <sheetName val="Forecast_Drivers3"/>
      <sheetName val="RAW_MATERIALS_3"/>
      <sheetName val="COST-PERSON-J_O_3"/>
      <sheetName val="MEASURE_LIST3"/>
      <sheetName val="Don_gia3"/>
      <sheetName val="COST-EST_LTI_P5C3"/>
      <sheetName val="SLEIPNER_-_ORMEN_LANGE3"/>
      <sheetName val="전기_BM_revA('090624)_xls3"/>
      <sheetName val="定额_(06)3"/>
      <sheetName val="Tie_Beam_GN1"/>
      <sheetName val="4_단락전류3"/>
      <sheetName val="Q5434_EQ_LIST3"/>
      <sheetName val="motor_power3"/>
      <sheetName val="Data_13"/>
      <sheetName val="4-3LEVEL-5_epic_43"/>
      <sheetName val="Unit_Cost3"/>
      <sheetName val="Coeff_3"/>
      <sheetName val="[fdn_bm_pro_xls]기계공사비집계(珆꭭/3"/>
      <sheetName val="96_121"/>
      <sheetName val="Exchange_rates3"/>
      <sheetName val="BID_FORM1"/>
      <sheetName val="Form_of_Bid1"/>
      <sheetName val="INST_LIST1"/>
      <sheetName val="Item_Dominan1"/>
      <sheetName val="Code_021"/>
      <sheetName val="Code_031"/>
      <sheetName val="Code_041"/>
      <sheetName val="Code_051"/>
      <sheetName val="Code_061"/>
      <sheetName val="Code_071"/>
      <sheetName val="Code_091"/>
      <sheetName val="4300_UTILITY_BLDG_(2)1"/>
      <sheetName val="Price_Breakdown(Building)1"/>
      <sheetName val="MANPOWER_DIRECT_TRACKING1"/>
      <sheetName val="Timescaled_Data1"/>
      <sheetName val="Home_Office1"/>
      <sheetName val="fdn_bm_pro_xls기계공사비집계(珆꭭1"/>
      <sheetName val="2-SITE_1"/>
      <sheetName val="eq_data_????1"/>
      <sheetName val="PCC_EAF1"/>
      <sheetName val="PCC_LF1"/>
      <sheetName val="4-Basic_Price1"/>
      <sheetName val="Finish_list1"/>
      <sheetName val="Dati_base1"/>
      <sheetName val="US_Inflation_Factors1"/>
      <sheetName val="Cover_Page1"/>
      <sheetName val="Unit__Price1"/>
      <sheetName val="자재집계_&amp;_총괄표1"/>
      <sheetName val="Engrg_Est1"/>
      <sheetName val="[fdn_bm_pro_xls]_fdn_bm_pro_x_1"/>
      <sheetName val="GASATAGG_XLS1"/>
      <sheetName val="BEND_LOSS1"/>
      <sheetName val="eq_data_2"/>
      <sheetName val="7_5_1(A)_Data10"/>
      <sheetName val="7_5_1(B)_BOQ_Breakdown10"/>
      <sheetName val="7_5_1(C)_Scope10"/>
      <sheetName val="7_5_1(D)_Basis10"/>
      <sheetName val="7_5_1(E)_Allowance10"/>
      <sheetName val="7_5_2_BOQ_Summary10"/>
      <sheetName val="7_5_3_BOQ10"/>
      <sheetName val="A__Erec_BOQ(Shop)10"/>
      <sheetName val="B__Erec_BOQ(Field)10"/>
      <sheetName val="C__Surface_Protection10"/>
      <sheetName val="A__Erec_BOQ(Shop)_(2)10"/>
      <sheetName val="B__Erec_BOQ(Field)_(2)10"/>
      <sheetName val="C__Surf_Protection10"/>
      <sheetName val="Attachment_#110"/>
      <sheetName val="Attachment_#210"/>
      <sheetName val="302_C110"/>
      <sheetName val="302_C210"/>
      <sheetName val="SUPPLY_(2)10"/>
      <sheetName val="RETURN_(2)10"/>
      <sheetName val="303_(2)10"/>
      <sheetName val="308_(2)10"/>
      <sheetName val="309_(2)10"/>
      <sheetName val="JUNCTION_BOX10"/>
      <sheetName val="PIPE_FITTING10"/>
      <sheetName val="TUBE_FITTING10"/>
      <sheetName val="CABLE_GLAND10"/>
      <sheetName val="CONS__EQUIP___10"/>
      <sheetName val="BLR_110"/>
      <sheetName val="REINF_10"/>
      <sheetName val="ITB_COST9"/>
      <sheetName val="97_사업추정(WEKI)9"/>
      <sheetName val="90EL_JACKET9"/>
      <sheetName val="보온_회사분9"/>
      <sheetName val="Cost_control9"/>
      <sheetName val="FIRE_FIGHTING9"/>
      <sheetName val="Tipo_Terzi8"/>
      <sheetName val="plan&amp;section_of_foundation8"/>
      <sheetName val="design_criteria8"/>
      <sheetName val="BM_DATA_SHEET8"/>
      <sheetName val="Mat_Stelo8"/>
      <sheetName val="Unit_SUM8"/>
      <sheetName val="1_설계기준7"/>
      <sheetName val="working_load_at_the_btm_ft_7"/>
      <sheetName val="stability_check7"/>
      <sheetName val="OUTER_AREA(겹침없음)7"/>
      <sheetName val="Material_Specification7"/>
      <sheetName val="special_item_양진규_작성7"/>
      <sheetName val="bill_27"/>
      <sheetName val="방유제용량_계산서7"/>
      <sheetName val="Break_Dw7"/>
      <sheetName val="표지_(2)7"/>
      <sheetName val="pile_bearing_capa_&amp;_arrenge7"/>
      <sheetName val="design_load7"/>
      <sheetName val="Fab__Skid7"/>
      <sheetName val="Sch_67"/>
      <sheetName val="INPUT_DATA7"/>
      <sheetName val="CAMP_OPERATING_COST7"/>
      <sheetName val="PERSONNEL_SETUP7"/>
      <sheetName val="LIST_OF_OFFICE_EQUIPMENT7"/>
      <sheetName val="STAFF&amp;INDIRECT_SALARY_-_SUMMAR7"/>
      <sheetName val="KOREAN_STAFF_SALARY_BREAKDOWN7"/>
      <sheetName val="WELFARE_COST_-_SITE7"/>
      <sheetName val="개시대사_(2)7"/>
      <sheetName val="입고장부_(4)7"/>
      <sheetName val="FEUILLE_INTERNE7"/>
      <sheetName val="COMPARISON_TABLE7"/>
      <sheetName val="L_V_Separator7"/>
      <sheetName val="CAMP_-_CONSTRUCTION7"/>
      <sheetName val="E_Rate_PM7"/>
      <sheetName val="Schedule_2_and_37"/>
      <sheetName val="CAL_7"/>
      <sheetName val="11_자재단가6"/>
      <sheetName val="1_OF_96"/>
      <sheetName val="Cover_sheet5"/>
      <sheetName val="BSD_(2)5"/>
      <sheetName val="TRAY_BM5"/>
      <sheetName val="Graph_(LGEN)5"/>
      <sheetName val="선적schedule_(2)5"/>
      <sheetName val="Summary_Sheets5"/>
      <sheetName val="품셈_5"/>
      <sheetName val="sc0314_Index5"/>
      <sheetName val="Resource_summary5"/>
      <sheetName val="배관물량_(STEEL)7"/>
      <sheetName val="Sheet_17"/>
      <sheetName val="w't_table5"/>
      <sheetName val="eq_data__x005f_x0000__x005f_x0000__x005f_x0000__5"/>
      <sheetName val="Struct-Grass_root5"/>
      <sheetName val="-15_05"/>
      <sheetName val="3_0_Overall_Progress_S-curve7"/>
      <sheetName val="3-4_SPI7"/>
      <sheetName val="General_Data7"/>
      <sheetName val="PRICE_COMP7"/>
      <sheetName val="A(Rev_3)7"/>
      <sheetName val="static_cal5"/>
      <sheetName val="crude_SLAB_RE-bar5"/>
      <sheetName val="7_6_3(B)_UG_Piping5"/>
      <sheetName val="PRICE_LIST5"/>
      <sheetName val="7_5_2_BOQ_Summary_5"/>
      <sheetName val="Rekap_A5"/>
      <sheetName val="paint_mat5"/>
      <sheetName val="VE_Estimate5"/>
      <sheetName val="TABLE2-2_OSBL-(SITE_PREP)5"/>
      <sheetName val="PAGE_25"/>
      <sheetName val="OFFER_RATE5"/>
      <sheetName val="Job_Data5"/>
      <sheetName val="Piping_Design_Data5"/>
      <sheetName val="Summary_20025"/>
      <sheetName val="ASME_B_36_10_M5"/>
      <sheetName val="Break_Down5"/>
      <sheetName val="Supervision_List5"/>
      <sheetName val="견적_집계5"/>
      <sheetName val="PULLING_SUPT등5"/>
      <sheetName val="Sheet1_(2)5"/>
      <sheetName val="PAGE_15"/>
      <sheetName val="_생산성_분석_체계_절차_xlsx5"/>
      <sheetName val="BQ_List5"/>
      <sheetName val="Page_105"/>
      <sheetName val="C급보_5"/>
      <sheetName val="Rectangular_Beam5"/>
      <sheetName val="간접비_총괄표5"/>
      <sheetName val="Eng_hour_DB5"/>
      <sheetName val="CRUDE_RE-bar5"/>
      <sheetName val="DUTCH_CONE5"/>
      <sheetName val="PAGE_3_GENERAL_DETAILS5"/>
      <sheetName val="적용_환율5"/>
      <sheetName val="GM_0005"/>
      <sheetName val="PRECAST_lightconc-II5"/>
      <sheetName val="Elect_(3)5"/>
      <sheetName val="Rev_No5"/>
      <sheetName val="COST_UP5"/>
      <sheetName val="PUMP_SHT5"/>
      <sheetName val="TENDER_PROG_5"/>
      <sheetName val="PROC_PROG5"/>
      <sheetName val="Block_D5"/>
      <sheetName val="2_Calculation_15"/>
      <sheetName val="Datasheet_GLL_double_weir_(1)5"/>
      <sheetName val="_5"/>
      <sheetName val="eq_data__x005f_x0000__x005"/>
      <sheetName val="33628-Rev__A5"/>
      <sheetName val="TYPE-B_평균H5"/>
      <sheetName val="6_공사비_내역_(가)5"/>
      <sheetName val="Sheet2_(2)5"/>
      <sheetName val="REF_ONLY4"/>
      <sheetName val="co-no_24"/>
      <sheetName val="Form_A_14"/>
      <sheetName val="Form_A_1_14"/>
      <sheetName val="BOM_Indirect4"/>
      <sheetName val="Form_A_1_II_24"/>
      <sheetName val="6_GSTG_PIPING4"/>
      <sheetName val="NONS__2,1894"/>
      <sheetName val="COMB_MNG&amp;STAFF_(ALL)__(2)4"/>
      <sheetName val="Reference_Table4"/>
      <sheetName val="CAL(1)_4"/>
      <sheetName val="member_design4"/>
      <sheetName val="soil_bearing_check4"/>
      <sheetName val="OCT_FDN4"/>
      <sheetName val="PRI_CIV4"/>
      <sheetName val="FOR_CIV4"/>
      <sheetName val="SUB_CIV4"/>
      <sheetName val="ANA_CIV4"/>
      <sheetName val="AUX_CIV4"/>
      <sheetName val="내역서_4"/>
      <sheetName val="hori__vessel(E-895)4"/>
      <sheetName val="2_34"/>
      <sheetName val="S_N4"/>
      <sheetName val="Loading_Table4"/>
      <sheetName val="SUMMARY_(0)5"/>
      <sheetName val="4_1구조설계4"/>
      <sheetName val="Pipelines_ASAB_I-II_Brownfield4"/>
      <sheetName val="MH_Estimation_Guide4"/>
      <sheetName val="공사비_내역_(가)4"/>
      <sheetName val="input_data-0909084"/>
      <sheetName val="HRG_BHN4"/>
      <sheetName val="Vent_Line_size4"/>
      <sheetName val="Expenses_per_Cost_Code_4"/>
      <sheetName val="Comp_Rate_4"/>
      <sheetName val="Analisa_HS4"/>
      <sheetName val="Section_1~4(1)4"/>
      <sheetName val="Section_1~4_4"/>
      <sheetName val="Section_54"/>
      <sheetName val="Section_5_24"/>
      <sheetName val="Section_5_34"/>
      <sheetName val="Section_64"/>
      <sheetName val="Section_6_24"/>
      <sheetName val="Attachment_14"/>
      <sheetName val="Attachmenet_24"/>
      <sheetName val="7_0_Crack_Check4"/>
      <sheetName val="축열조_기초4"/>
      <sheetName val="Fill_this_out_first___8"/>
      <sheetName val="Fill_this_out_first___9"/>
      <sheetName val="Forecast_Drivers4"/>
      <sheetName val="RAW_MATERIALS_4"/>
      <sheetName val="COST-PERSON-J_O_4"/>
      <sheetName val="MEASURE_LIST4"/>
      <sheetName val="Don_gia4"/>
      <sheetName val="COST-EST_LTI_P5C4"/>
      <sheetName val="SLEIPNER_-_ORMEN_LANGE4"/>
      <sheetName val="전기_BM_revA('090624)_xls4"/>
      <sheetName val="定额_(06)4"/>
      <sheetName val="Tie_Beam_GN2"/>
      <sheetName val="4_단락전류4"/>
      <sheetName val="system_&amp;_LOOK_UP_FUNC2"/>
      <sheetName val="Q5434_EQ_LIST4"/>
      <sheetName val="motor_power4"/>
      <sheetName val="Data_14"/>
      <sheetName val="4-3LEVEL-5_epic_44"/>
      <sheetName val="Unit_Cost4"/>
      <sheetName val="Coeff_4"/>
      <sheetName val="[fdn_bm_pro_xls]기계공사비집계(珆꭭/4"/>
      <sheetName val="96_122"/>
      <sheetName val="Exchange_rates4"/>
      <sheetName val="BID_FORM2"/>
      <sheetName val="Form_of_Bid2"/>
      <sheetName val="INST_LIST2"/>
      <sheetName val="Item_Dominan2"/>
      <sheetName val="Code_022"/>
      <sheetName val="Code_032"/>
      <sheetName val="Code_042"/>
      <sheetName val="Code_052"/>
      <sheetName val="Code_062"/>
      <sheetName val="Code_072"/>
      <sheetName val="Code_092"/>
      <sheetName val="4300_UTILITY_BLDG_(2)2"/>
      <sheetName val="Price_Breakdown(Building)2"/>
      <sheetName val="MANPOWER_DIRECT_TRACKING2"/>
      <sheetName val="Timescaled_Data2"/>
      <sheetName val="Home_Office2"/>
      <sheetName val="fdn_bm_pro_xls기계공사비집계(珆꭭2"/>
      <sheetName val="2-SITE_2"/>
      <sheetName val="eq_data_????2"/>
      <sheetName val="PCC_EAF2"/>
      <sheetName val="PCC_LF2"/>
      <sheetName val="4-Basic_Price2"/>
      <sheetName val="_fdn_bm_pro_xls_기계공사비집계(珆꭭_2"/>
      <sheetName val="Finish_list2"/>
      <sheetName val="Dati_base2"/>
      <sheetName val="US_Inflation_Factors2"/>
      <sheetName val="Cover_Page2"/>
      <sheetName val="Unit__Price2"/>
      <sheetName val="자재집계_&amp;_총괄표2"/>
      <sheetName val="Engrg_Est2"/>
      <sheetName val="[fdn_bm_pro_xls]_fdn_bm_pro_x_3"/>
      <sheetName val="GASATAGG_XLS2"/>
      <sheetName val="BEND_LOSS2"/>
      <sheetName val="eq_data_3"/>
      <sheetName val="7_5_1(A)_Data11"/>
      <sheetName val="7_5_1(B)_BOQ_Breakdown11"/>
      <sheetName val="7_5_1(C)_Scope11"/>
      <sheetName val="7_5_1(D)_Basis11"/>
      <sheetName val="7_5_1(E)_Allowance11"/>
      <sheetName val="7_5_2_BOQ_Summary11"/>
      <sheetName val="7_5_3_BOQ11"/>
      <sheetName val="A__Erec_BOQ(Shop)11"/>
      <sheetName val="B__Erec_BOQ(Field)11"/>
      <sheetName val="C__Surface_Protection11"/>
      <sheetName val="A__Erec_BOQ(Shop)_(2)11"/>
      <sheetName val="B__Erec_BOQ(Field)_(2)11"/>
      <sheetName val="C__Surf_Protection11"/>
      <sheetName val="Attachment_#111"/>
      <sheetName val="Attachment_#211"/>
      <sheetName val="302_C111"/>
      <sheetName val="302_C211"/>
      <sheetName val="SUPPLY_(2)11"/>
      <sheetName val="RETURN_(2)11"/>
      <sheetName val="303_(2)11"/>
      <sheetName val="308_(2)11"/>
      <sheetName val="309_(2)11"/>
      <sheetName val="JUNCTION_BOX11"/>
      <sheetName val="PIPE_FITTING11"/>
      <sheetName val="TUBE_FITTING11"/>
      <sheetName val="CABLE_GLAND11"/>
      <sheetName val="CONS__EQUIP___11"/>
      <sheetName val="BLR_111"/>
      <sheetName val="REINF_11"/>
      <sheetName val="ITB_COST10"/>
      <sheetName val="97_사업추정(WEKI)10"/>
      <sheetName val="90EL_JACKET10"/>
      <sheetName val="보온_회사분10"/>
      <sheetName val="Cost_control10"/>
      <sheetName val="FIRE_FIGHTING10"/>
      <sheetName val="Tipo_Terzi9"/>
      <sheetName val="plan&amp;section_of_foundation9"/>
      <sheetName val="design_criteria9"/>
      <sheetName val="BM_DATA_SHEET9"/>
      <sheetName val="Mat_Stelo9"/>
      <sheetName val="Unit_SUM9"/>
      <sheetName val="1_설계기준8"/>
      <sheetName val="working_load_at_the_btm_ft_8"/>
      <sheetName val="stability_check8"/>
      <sheetName val="OUTER_AREA(겹침없음)8"/>
      <sheetName val="Material_Specification8"/>
      <sheetName val="special_item_양진규_작성8"/>
      <sheetName val="bill_28"/>
      <sheetName val="방유제용량_계산서8"/>
      <sheetName val="Break_Dw8"/>
      <sheetName val="표지_(2)8"/>
      <sheetName val="pile_bearing_capa_&amp;_arrenge8"/>
      <sheetName val="design_load8"/>
      <sheetName val="Fab__Skid8"/>
      <sheetName val="Sch_68"/>
      <sheetName val="INPUT_DATA8"/>
      <sheetName val="CAMP_OPERATING_COST8"/>
      <sheetName val="PERSONNEL_SETUP8"/>
      <sheetName val="LIST_OF_OFFICE_EQUIPMENT8"/>
      <sheetName val="STAFF&amp;INDIRECT_SALARY_-_SUMMAR8"/>
      <sheetName val="KOREAN_STAFF_SALARY_BREAKDOWN8"/>
      <sheetName val="WELFARE_COST_-_SITE8"/>
      <sheetName val="개시대사_(2)8"/>
      <sheetName val="입고장부_(4)8"/>
      <sheetName val="FEUILLE_INTERNE8"/>
      <sheetName val="COMPARISON_TABLE8"/>
      <sheetName val="L_V_Separator8"/>
      <sheetName val="CAMP_-_CONSTRUCTION8"/>
      <sheetName val="E_Rate_PM8"/>
      <sheetName val="Schedule_2_and_38"/>
      <sheetName val="CAL_8"/>
      <sheetName val="11_자재단가7"/>
      <sheetName val="1_OF_97"/>
      <sheetName val="Cover_sheet6"/>
      <sheetName val="BSD_(2)6"/>
      <sheetName val="TRAY_BM6"/>
      <sheetName val="Graph_(LGEN)6"/>
      <sheetName val="선적schedule_(2)6"/>
      <sheetName val="Summary_Sheets6"/>
      <sheetName val="품셈_6"/>
      <sheetName val="sc0314_Index6"/>
      <sheetName val="Resource_summary6"/>
      <sheetName val="배관물량_(STEEL)8"/>
      <sheetName val="Sheet_18"/>
      <sheetName val="w't_table6"/>
      <sheetName val="eq_data__x005f_x0000__x005f_x0000__x005f_x0000__6"/>
      <sheetName val="Struct-Grass_root6"/>
      <sheetName val="-15_06"/>
      <sheetName val="3_0_Overall_Progress_S-curve8"/>
      <sheetName val="3-4_SPI8"/>
      <sheetName val="General_Data8"/>
      <sheetName val="PRICE_COMP8"/>
      <sheetName val="A(Rev_3)8"/>
      <sheetName val="static_cal6"/>
      <sheetName val="crude_SLAB_RE-bar6"/>
      <sheetName val="7_6_3(B)_UG_Piping6"/>
      <sheetName val="PRICE_LIST6"/>
      <sheetName val="7_5_2_BOQ_Summary_6"/>
      <sheetName val="Rekap_A6"/>
      <sheetName val="paint_mat6"/>
      <sheetName val="VE_Estimate6"/>
      <sheetName val="TABLE2-2_OSBL-(SITE_PREP)6"/>
      <sheetName val="PAGE_26"/>
      <sheetName val="OFFER_RATE6"/>
      <sheetName val="Job_Data6"/>
      <sheetName val="Piping_Design_Data6"/>
      <sheetName val="Summary_20026"/>
      <sheetName val="ASME_B_36_10_M6"/>
      <sheetName val="Break_Down6"/>
      <sheetName val="Supervision_List6"/>
      <sheetName val="견적_집계6"/>
      <sheetName val="PULLING_SUPT등6"/>
      <sheetName val="Sheet1_(2)6"/>
      <sheetName val="PAGE_16"/>
      <sheetName val="_생산성_분석_체계_절차_xlsx6"/>
      <sheetName val="BQ_List6"/>
      <sheetName val="Page_106"/>
      <sheetName val="C급보_6"/>
      <sheetName val="Rectangular_Beam6"/>
      <sheetName val="간접비_총괄표6"/>
      <sheetName val="Eng_hour_DB6"/>
      <sheetName val="CRUDE_RE-bar6"/>
      <sheetName val="DUTCH_CONE6"/>
      <sheetName val="PAGE_3_GENERAL_DETAILS6"/>
      <sheetName val="적용_환율6"/>
      <sheetName val="GM_0006"/>
      <sheetName val="PRECAST_lightconc-II6"/>
      <sheetName val="Elect_(3)6"/>
      <sheetName val="Rev_No6"/>
      <sheetName val="COST_UP6"/>
      <sheetName val="PUMP_SHT6"/>
      <sheetName val="TENDER_PROG_6"/>
      <sheetName val="PROC_PROG6"/>
      <sheetName val="Block_D6"/>
      <sheetName val="2_Calculation_16"/>
      <sheetName val="Datasheet_GLL_double_weir_(1)6"/>
      <sheetName val="_6"/>
      <sheetName val="eq_data__x005f_x0000__x006"/>
      <sheetName val="33628-Rev__A6"/>
      <sheetName val="TYPE-B_평균H6"/>
      <sheetName val="6_공사비_내역_(가)6"/>
      <sheetName val="Sheet2_(2)6"/>
      <sheetName val="REF_ONLY5"/>
      <sheetName val="co-no_25"/>
      <sheetName val="Form_A_15"/>
      <sheetName val="Form_A_1_15"/>
      <sheetName val="BOM_Indirect5"/>
      <sheetName val="Form_A_1_II_25"/>
      <sheetName val="6_GSTG_PIPING5"/>
      <sheetName val="NONS__2,1895"/>
      <sheetName val="COMB_MNG&amp;STAFF_(ALL)__(2)5"/>
      <sheetName val="Reference_Table5"/>
      <sheetName val="CAL(1)_5"/>
      <sheetName val="member_design5"/>
      <sheetName val="soil_bearing_check5"/>
      <sheetName val="OCT_FDN5"/>
      <sheetName val="PRI_CIV5"/>
      <sheetName val="FOR_CIV5"/>
      <sheetName val="SUB_CIV5"/>
      <sheetName val="ANA_CIV5"/>
      <sheetName val="AUX_CIV5"/>
      <sheetName val="내역서_5"/>
      <sheetName val="hori__vessel(E-895)5"/>
      <sheetName val="2_35"/>
      <sheetName val="S_N5"/>
      <sheetName val="Loading_Table5"/>
      <sheetName val="SUMMARY_(0)6"/>
      <sheetName val="4_1구조설계5"/>
      <sheetName val="Pipelines_ASAB_I-II_Brownfield5"/>
      <sheetName val="MH_Estimation_Guide5"/>
      <sheetName val="공사비_내역_(가)5"/>
      <sheetName val="input_data-0909085"/>
      <sheetName val="HRG_BHN5"/>
      <sheetName val="Vent_Line_size5"/>
      <sheetName val="Expenses_per_Cost_Code_5"/>
      <sheetName val="Comp_Rate_5"/>
      <sheetName val="Analisa_HS5"/>
      <sheetName val="Section_1~4(1)5"/>
      <sheetName val="Section_1~4_5"/>
      <sheetName val="Section_55"/>
      <sheetName val="Section_5_25"/>
      <sheetName val="Section_5_35"/>
      <sheetName val="Section_65"/>
      <sheetName val="Section_6_25"/>
      <sheetName val="Attachment_15"/>
      <sheetName val="Attachmenet_25"/>
      <sheetName val="7_0_Crack_Check5"/>
      <sheetName val="축열조_기초5"/>
      <sheetName val="Fill_this_out_first___10"/>
      <sheetName val="Fill_this_out_first___11"/>
      <sheetName val="Forecast_Drivers5"/>
      <sheetName val="RAW_MATERIALS_5"/>
      <sheetName val="COST-PERSON-J_O_5"/>
      <sheetName val="MEASURE_LIST5"/>
      <sheetName val="Don_gia5"/>
      <sheetName val="COST-EST_LTI_P5C5"/>
      <sheetName val="SLEIPNER_-_ORMEN_LANGE5"/>
      <sheetName val="전기_BM_revA('090624)_xls5"/>
      <sheetName val="定额_(06)5"/>
      <sheetName val="Tie_Beam_GN3"/>
      <sheetName val="4_단락전류5"/>
      <sheetName val="system_&amp;_LOOK_UP_FUNC3"/>
      <sheetName val="Q5434_EQ_LIST5"/>
      <sheetName val="motor_power5"/>
      <sheetName val="Data_15"/>
      <sheetName val="4-3LEVEL-5_epic_45"/>
      <sheetName val="Unit_Cost5"/>
      <sheetName val="Coeff_5"/>
      <sheetName val="[fdn_bm_pro_xls]기계공사비집계(珆꭭/5"/>
      <sheetName val="96_123"/>
      <sheetName val="Exchange_rates5"/>
      <sheetName val="BID_FORM3"/>
      <sheetName val="Form_of_Bid3"/>
      <sheetName val="INST_LIST3"/>
      <sheetName val="Item_Dominan3"/>
      <sheetName val="Code_023"/>
      <sheetName val="Code_033"/>
      <sheetName val="Code_043"/>
      <sheetName val="Code_053"/>
      <sheetName val="Code_063"/>
      <sheetName val="Code_073"/>
      <sheetName val="Code_093"/>
      <sheetName val="4300_UTILITY_BLDG_(2)3"/>
      <sheetName val="Price_Breakdown(Building)3"/>
      <sheetName val="MANPOWER_DIRECT_TRACKING3"/>
      <sheetName val="Timescaled_Data3"/>
      <sheetName val="Home_Office3"/>
      <sheetName val="fdn_bm_pro_xls기계공사비집계(珆꭭3"/>
      <sheetName val="2-SITE_3"/>
      <sheetName val="eq_data_????3"/>
      <sheetName val="PCC_EAF3"/>
      <sheetName val="PCC_LF3"/>
      <sheetName val="4-Basic_Price3"/>
      <sheetName val="_fdn_bm_pro_xls_기계공사비집계(珆꭭_3"/>
      <sheetName val="Finish_list3"/>
      <sheetName val="Dati_base3"/>
      <sheetName val="US_Inflation_Factors3"/>
      <sheetName val="Cover_Page3"/>
      <sheetName val="Unit__Price3"/>
      <sheetName val="자재집계_&amp;_총괄표3"/>
      <sheetName val="Engrg_Est3"/>
      <sheetName val="[fdn_bm_pro_xls]_fdn_bm_pro_x_4"/>
      <sheetName val="GASATAGG_XLS3"/>
      <sheetName val="BEND_LOSS3"/>
      <sheetName val="eq_data_4"/>
      <sheetName val="7_5_1(A)_Data12"/>
      <sheetName val="7_5_1(B)_BOQ_Breakdown12"/>
      <sheetName val="7_5_1(C)_Scope12"/>
      <sheetName val="7_5_1(D)_Basis12"/>
      <sheetName val="7_5_1(E)_Allowance12"/>
      <sheetName val="7_5_2_BOQ_Summary12"/>
      <sheetName val="7_5_3_BOQ12"/>
      <sheetName val="A__Erec_BOQ(Shop)12"/>
      <sheetName val="B__Erec_BOQ(Field)12"/>
      <sheetName val="C__Surface_Protection12"/>
      <sheetName val="A__Erec_BOQ(Shop)_(2)12"/>
      <sheetName val="B__Erec_BOQ(Field)_(2)12"/>
      <sheetName val="C__Surf_Protection12"/>
      <sheetName val="Attachment_#112"/>
      <sheetName val="Attachment_#212"/>
      <sheetName val="302_C112"/>
      <sheetName val="302_C212"/>
      <sheetName val="SUPPLY_(2)12"/>
      <sheetName val="RETURN_(2)12"/>
      <sheetName val="303_(2)12"/>
      <sheetName val="308_(2)12"/>
      <sheetName val="309_(2)12"/>
      <sheetName val="JUNCTION_BOX12"/>
      <sheetName val="PIPE_FITTING12"/>
      <sheetName val="TUBE_FITTING12"/>
      <sheetName val="CABLE_GLAND12"/>
      <sheetName val="CONS__EQUIP___12"/>
      <sheetName val="BLR_112"/>
      <sheetName val="REINF_12"/>
      <sheetName val="ITB_COST11"/>
      <sheetName val="97_사업추정(WEKI)11"/>
      <sheetName val="90EL_JACKET11"/>
      <sheetName val="보온_회사분11"/>
      <sheetName val="Cost_control11"/>
      <sheetName val="FIRE_FIGHTING11"/>
      <sheetName val="Tipo_Terzi10"/>
      <sheetName val="plan&amp;section_of_foundation10"/>
      <sheetName val="design_criteria10"/>
      <sheetName val="BM_DATA_SHEET10"/>
      <sheetName val="Mat_Stelo10"/>
      <sheetName val="Unit_SUM10"/>
      <sheetName val="1_설계기준9"/>
      <sheetName val="working_load_at_the_btm_ft_9"/>
      <sheetName val="stability_check9"/>
      <sheetName val="OUTER_AREA(겹침없음)9"/>
      <sheetName val="Material_Specification9"/>
      <sheetName val="special_item_양진규_작성9"/>
      <sheetName val="bill_29"/>
      <sheetName val="방유제용량_계산서9"/>
      <sheetName val="Break_Dw9"/>
      <sheetName val="표지_(2)9"/>
      <sheetName val="pile_bearing_capa_&amp;_arrenge9"/>
      <sheetName val="design_load9"/>
      <sheetName val="Fab__Skid9"/>
      <sheetName val="Sch_69"/>
      <sheetName val="INPUT_DATA9"/>
      <sheetName val="CAMP_OPERATING_COST9"/>
      <sheetName val="PERSONNEL_SETUP9"/>
      <sheetName val="LIST_OF_OFFICE_EQUIPMENT9"/>
      <sheetName val="STAFF&amp;INDIRECT_SALARY_-_SUMMAR9"/>
      <sheetName val="KOREAN_STAFF_SALARY_BREAKDOWN9"/>
      <sheetName val="WELFARE_COST_-_SITE9"/>
      <sheetName val="개시대사_(2)9"/>
      <sheetName val="입고장부_(4)9"/>
      <sheetName val="FEUILLE_INTERNE9"/>
      <sheetName val="COMPARISON_TABLE9"/>
      <sheetName val="L_V_Separator9"/>
      <sheetName val="CAMP_-_CONSTRUCTION9"/>
      <sheetName val="E_Rate_PM9"/>
      <sheetName val="Schedule_2_and_39"/>
      <sheetName val="CAL_9"/>
      <sheetName val="11_자재단가8"/>
      <sheetName val="1_OF_98"/>
      <sheetName val="Cover_sheet7"/>
      <sheetName val="BSD_(2)7"/>
      <sheetName val="TRAY_BM7"/>
      <sheetName val="Graph_(LGEN)7"/>
      <sheetName val="선적schedule_(2)7"/>
      <sheetName val="Summary_Sheets7"/>
      <sheetName val="품셈_7"/>
      <sheetName val="sc0314_Index7"/>
      <sheetName val="Resource_summary7"/>
      <sheetName val="배관물량_(STEEL)9"/>
      <sheetName val="Sheet_19"/>
      <sheetName val="w't_table7"/>
      <sheetName val="eq_data__x005f_x0000__x005f_x0000__x005f_x0000__7"/>
      <sheetName val="Struct-Grass_root7"/>
      <sheetName val="-15_07"/>
      <sheetName val="3_0_Overall_Progress_S-curve9"/>
      <sheetName val="3-4_SPI9"/>
      <sheetName val="General_Data9"/>
      <sheetName val="PRICE_COMP9"/>
      <sheetName val="A(Rev_3)9"/>
      <sheetName val="static_cal7"/>
      <sheetName val="crude_SLAB_RE-bar7"/>
      <sheetName val="7_6_3(B)_UG_Piping7"/>
      <sheetName val="PRICE_LIST7"/>
      <sheetName val="7_5_2_BOQ_Summary_7"/>
      <sheetName val="Rekap_A7"/>
      <sheetName val="paint_mat7"/>
      <sheetName val="VE_Estimate7"/>
      <sheetName val="TABLE2-2_OSBL-(SITE_PREP)7"/>
      <sheetName val="PAGE_27"/>
      <sheetName val="OFFER_RATE7"/>
      <sheetName val="Job_Data7"/>
      <sheetName val="Piping_Design_Data7"/>
      <sheetName val="Summary_20027"/>
      <sheetName val="ASME_B_36_10_M7"/>
      <sheetName val="Break_Down7"/>
      <sheetName val="Supervision_List7"/>
      <sheetName val="견적_집계7"/>
      <sheetName val="PULLING_SUPT등7"/>
      <sheetName val="Sheet1_(2)7"/>
      <sheetName val="PAGE_17"/>
      <sheetName val="_생산성_분석_체계_절차_xlsx7"/>
      <sheetName val="BQ_List7"/>
      <sheetName val="Page_107"/>
      <sheetName val="C급보_7"/>
      <sheetName val="Rectangular_Beam7"/>
      <sheetName val="간접비_총괄표7"/>
      <sheetName val="Eng_hour_DB7"/>
      <sheetName val="CRUDE_RE-bar7"/>
      <sheetName val="DUTCH_CONE7"/>
      <sheetName val="PAGE_3_GENERAL_DETAILS7"/>
      <sheetName val="적용_환율7"/>
      <sheetName val="GM_0007"/>
      <sheetName val="PRECAST_lightconc-II7"/>
      <sheetName val="Elect_(3)7"/>
      <sheetName val="Rev_No7"/>
      <sheetName val="COST_UP7"/>
      <sheetName val="PUMP_SHT7"/>
      <sheetName val="TENDER_PROG_7"/>
      <sheetName val="PROC_PROG7"/>
      <sheetName val="Block_D7"/>
      <sheetName val="2_Calculation_17"/>
      <sheetName val="Datasheet_GLL_double_weir_(1)7"/>
      <sheetName val="_7"/>
      <sheetName val="eq_data__x005f_x0000__x007"/>
      <sheetName val="33628-Rev__A7"/>
      <sheetName val="TYPE-B_평균H7"/>
      <sheetName val="6_공사비_내역_(가)7"/>
      <sheetName val="Sheet2_(2)7"/>
      <sheetName val="REF_ONLY6"/>
      <sheetName val="co-no_26"/>
      <sheetName val="Form_A_16"/>
      <sheetName val="Form_A_1_16"/>
      <sheetName val="BOM_Indirect6"/>
      <sheetName val="Form_A_1_II_26"/>
      <sheetName val="6_GSTG_PIPING6"/>
      <sheetName val="NONS__2,1896"/>
      <sheetName val="COMB_MNG&amp;STAFF_(ALL)__(2)6"/>
      <sheetName val="Reference_Table6"/>
      <sheetName val="CAL(1)_6"/>
      <sheetName val="member_design6"/>
      <sheetName val="soil_bearing_check6"/>
      <sheetName val="OCT_FDN6"/>
      <sheetName val="PRI_CIV6"/>
      <sheetName val="FOR_CIV6"/>
      <sheetName val="SUB_CIV6"/>
      <sheetName val="ANA_CIV6"/>
      <sheetName val="AUX_CIV6"/>
      <sheetName val="내역서_6"/>
      <sheetName val="hori__vessel(E-895)6"/>
      <sheetName val="2_36"/>
      <sheetName val="S_N6"/>
      <sheetName val="Loading_Table6"/>
      <sheetName val="SUMMARY_(0)7"/>
      <sheetName val="4_1구조설계6"/>
      <sheetName val="Pipelines_ASAB_I-II_Brownfield6"/>
      <sheetName val="MH_Estimation_Guide6"/>
      <sheetName val="공사비_내역_(가)6"/>
      <sheetName val="input_data-0909086"/>
      <sheetName val="HRG_BHN6"/>
      <sheetName val="Vent_Line_size6"/>
      <sheetName val="Expenses_per_Cost_Code_6"/>
      <sheetName val="Comp_Rate_6"/>
      <sheetName val="Analisa_HS6"/>
      <sheetName val="Section_1~4(1)6"/>
      <sheetName val="Section_1~4_6"/>
      <sheetName val="Section_56"/>
      <sheetName val="Section_5_26"/>
      <sheetName val="Section_5_36"/>
      <sheetName val="Section_66"/>
      <sheetName val="Section_6_26"/>
      <sheetName val="Attachment_16"/>
      <sheetName val="Attachmenet_26"/>
      <sheetName val="7_0_Crack_Check6"/>
      <sheetName val="축열조_기초6"/>
      <sheetName val="Fill_this_out_first___12"/>
      <sheetName val="Fill_this_out_first___13"/>
      <sheetName val="Forecast_Drivers6"/>
      <sheetName val="RAW_MATERIALS_6"/>
      <sheetName val="COST-PERSON-J_O_6"/>
      <sheetName val="MEASURE_LIST6"/>
      <sheetName val="Don_gia6"/>
      <sheetName val="COST-EST_LTI_P5C6"/>
      <sheetName val="SLEIPNER_-_ORMEN_LANGE6"/>
      <sheetName val="전기_BM_revA('090624)_xls6"/>
      <sheetName val="定额_(06)6"/>
      <sheetName val="Tie_Beam_GN4"/>
      <sheetName val="4_단락전류6"/>
      <sheetName val="system_&amp;_LOOK_UP_FUNC4"/>
      <sheetName val="Q5434_EQ_LIST6"/>
      <sheetName val="motor_power6"/>
      <sheetName val="Data_16"/>
      <sheetName val="4-3LEVEL-5_epic_46"/>
      <sheetName val="Unit_Cost6"/>
      <sheetName val="Coeff_6"/>
      <sheetName val="[fdn_bm_pro_xls]기계공사비집계(珆꭭/6"/>
      <sheetName val="96_124"/>
      <sheetName val="Exchange_rates6"/>
      <sheetName val="BID_FORM4"/>
      <sheetName val="Form_of_Bid4"/>
      <sheetName val="INST_LIST4"/>
      <sheetName val="Item_Dominan4"/>
      <sheetName val="Code_024"/>
      <sheetName val="Code_034"/>
      <sheetName val="Code_044"/>
      <sheetName val="Code_054"/>
      <sheetName val="Code_064"/>
      <sheetName val="Code_074"/>
      <sheetName val="Code_094"/>
      <sheetName val="4300_UTILITY_BLDG_(2)4"/>
      <sheetName val="Price_Breakdown(Building)4"/>
      <sheetName val="MANPOWER_DIRECT_TRACKING4"/>
      <sheetName val="Timescaled_Data4"/>
      <sheetName val="Home_Office4"/>
      <sheetName val="fdn_bm_pro_xls기계공사비집계(珆꭭4"/>
      <sheetName val="2-SITE_4"/>
      <sheetName val="eq_data_????4"/>
      <sheetName val="PCC_EAF4"/>
      <sheetName val="PCC_LF4"/>
      <sheetName val="4-Basic_Price4"/>
      <sheetName val="_fdn_bm_pro_xls_기계공사비집계(珆꭭_4"/>
      <sheetName val="Finish_list4"/>
      <sheetName val="Dati_base4"/>
      <sheetName val="US_Inflation_Factors4"/>
      <sheetName val="Cover_Page4"/>
      <sheetName val="Unit__Price4"/>
      <sheetName val="자재집계_&amp;_총괄표4"/>
      <sheetName val="Engrg_Est4"/>
      <sheetName val="[fdn_bm_pro_xls]_fdn_bm_pro_x_5"/>
      <sheetName val="GASATAGG_XLS4"/>
      <sheetName val="BEND_LOSS4"/>
      <sheetName val="eq_data_5"/>
      <sheetName val="7_5_1(A)_Data13"/>
      <sheetName val="7_5_1(B)_BOQ_Breakdown13"/>
      <sheetName val="7_5_1(C)_Scope13"/>
      <sheetName val="7_5_1(D)_Basis13"/>
      <sheetName val="7_5_1(E)_Allowance13"/>
      <sheetName val="7_5_2_BOQ_Summary13"/>
      <sheetName val="7_5_3_BOQ13"/>
      <sheetName val="A__Erec_BOQ(Shop)13"/>
      <sheetName val="B__Erec_BOQ(Field)13"/>
      <sheetName val="C__Surface_Protection13"/>
      <sheetName val="A__Erec_BOQ(Shop)_(2)13"/>
      <sheetName val="B__Erec_BOQ(Field)_(2)13"/>
      <sheetName val="C__Surf_Protection13"/>
      <sheetName val="Attachment_#113"/>
      <sheetName val="Attachment_#213"/>
      <sheetName val="302_C113"/>
      <sheetName val="302_C213"/>
      <sheetName val="SUPPLY_(2)13"/>
      <sheetName val="RETURN_(2)13"/>
      <sheetName val="303_(2)13"/>
      <sheetName val="308_(2)13"/>
      <sheetName val="309_(2)13"/>
      <sheetName val="JUNCTION_BOX13"/>
      <sheetName val="PIPE_FITTING13"/>
      <sheetName val="TUBE_FITTING13"/>
      <sheetName val="CABLE_GLAND13"/>
      <sheetName val="CONS__EQUIP___13"/>
      <sheetName val="BLR_113"/>
      <sheetName val="REINF_13"/>
      <sheetName val="ITB_COST12"/>
      <sheetName val="97_사업추정(WEKI)12"/>
      <sheetName val="90EL_JACKET12"/>
      <sheetName val="보온_회사분12"/>
      <sheetName val="Cost_control12"/>
      <sheetName val="FIRE_FIGHTING12"/>
      <sheetName val="Tipo_Terzi11"/>
      <sheetName val="plan&amp;section_of_foundation11"/>
      <sheetName val="design_criteria11"/>
      <sheetName val="BM_DATA_SHEET11"/>
      <sheetName val="Mat_Stelo11"/>
      <sheetName val="Unit_SUM11"/>
      <sheetName val="1_설계기준10"/>
      <sheetName val="working_load_at_the_btm_ft_10"/>
      <sheetName val="stability_check10"/>
      <sheetName val="OUTER_AREA(겹침없음)10"/>
      <sheetName val="Material_Specification10"/>
      <sheetName val="special_item_양진규_작성10"/>
      <sheetName val="bill_210"/>
      <sheetName val="방유제용량_계산서10"/>
      <sheetName val="Break_Dw10"/>
      <sheetName val="표지_(2)10"/>
      <sheetName val="pile_bearing_capa_&amp;_arrenge10"/>
      <sheetName val="design_load10"/>
      <sheetName val="Fab__Skid10"/>
      <sheetName val="Sch_610"/>
      <sheetName val="INPUT_DATA10"/>
      <sheetName val="CAMP_OPERATING_COST10"/>
      <sheetName val="PERSONNEL_SETUP10"/>
      <sheetName val="LIST_OF_OFFICE_EQUIPMENT10"/>
      <sheetName val="STAFF&amp;INDIRECT_SALARY_-_SUMMA10"/>
      <sheetName val="KOREAN_STAFF_SALARY_BREAKDOWN10"/>
      <sheetName val="WELFARE_COST_-_SITE10"/>
      <sheetName val="개시대사_(2)10"/>
      <sheetName val="입고장부_(4)10"/>
      <sheetName val="FEUILLE_INTERNE10"/>
      <sheetName val="COMPARISON_TABLE10"/>
      <sheetName val="L_V_Separator10"/>
      <sheetName val="CAMP_-_CONSTRUCTION10"/>
      <sheetName val="E_Rate_PM10"/>
      <sheetName val="Schedule_2_and_310"/>
      <sheetName val="CAL_10"/>
      <sheetName val="11_자재단가9"/>
      <sheetName val="1_OF_99"/>
      <sheetName val="Cover_sheet8"/>
      <sheetName val="BSD_(2)8"/>
      <sheetName val="TRAY_BM8"/>
      <sheetName val="Graph_(LGEN)8"/>
      <sheetName val="선적schedule_(2)8"/>
      <sheetName val="Summary_Sheets8"/>
      <sheetName val="품셈_8"/>
      <sheetName val="sc0314_Index8"/>
      <sheetName val="Resource_summary8"/>
      <sheetName val="배관물량_(STEEL)10"/>
      <sheetName val="Sheet_110"/>
      <sheetName val="w't_table8"/>
      <sheetName val="eq_data__x005f_x0000__x005f_x0000__x005f_x0000__8"/>
      <sheetName val="Struct-Grass_root8"/>
      <sheetName val="-15_08"/>
      <sheetName val="3_0_Overall_Progress_S-curve10"/>
      <sheetName val="3-4_SPI10"/>
      <sheetName val="General_Data10"/>
      <sheetName val="PRICE_COMP10"/>
      <sheetName val="A(Rev_3)10"/>
      <sheetName val="static_cal8"/>
      <sheetName val="crude_SLAB_RE-bar8"/>
      <sheetName val="7_6_3(B)_UG_Piping8"/>
      <sheetName val="PRICE_LIST8"/>
      <sheetName val="7_5_2_BOQ_Summary_8"/>
      <sheetName val="Rekap_A8"/>
      <sheetName val="paint_mat8"/>
      <sheetName val="VE_Estimate8"/>
      <sheetName val="TABLE2-2_OSBL-(SITE_PREP)8"/>
      <sheetName val="PAGE_28"/>
      <sheetName val="OFFER_RATE8"/>
      <sheetName val="Job_Data8"/>
      <sheetName val="Piping_Design_Data8"/>
      <sheetName val="Summary_20028"/>
      <sheetName val="ASME_B_36_10_M8"/>
      <sheetName val="Break_Down8"/>
      <sheetName val="Supervision_List8"/>
      <sheetName val="견적_집계8"/>
      <sheetName val="PULLING_SUPT등8"/>
      <sheetName val="Sheet1_(2)8"/>
      <sheetName val="PAGE_18"/>
      <sheetName val="_생산성_분석_체계_절차_xlsx8"/>
      <sheetName val="BQ_List8"/>
      <sheetName val="Page_108"/>
      <sheetName val="C급보_8"/>
      <sheetName val="Rectangular_Beam8"/>
      <sheetName val="간접비_총괄표8"/>
      <sheetName val="Eng_hour_DB8"/>
      <sheetName val="CRUDE_RE-bar8"/>
      <sheetName val="DUTCH_CONE8"/>
      <sheetName val="PAGE_3_GENERAL_DETAILS8"/>
      <sheetName val="적용_환율8"/>
      <sheetName val="GM_0008"/>
      <sheetName val="PRECAST_lightconc-II8"/>
      <sheetName val="Elect_(3)8"/>
      <sheetName val="Rev_No8"/>
      <sheetName val="COST_UP8"/>
      <sheetName val="PUMP_SHT8"/>
      <sheetName val="TENDER_PROG_8"/>
      <sheetName val="PROC_PROG8"/>
      <sheetName val="Block_D8"/>
      <sheetName val="2_Calculation_18"/>
      <sheetName val="Datasheet_GLL_double_weir_(1)8"/>
      <sheetName val="_8"/>
      <sheetName val="eq_data__x005f_x0000__x008"/>
      <sheetName val="33628-Rev__A8"/>
      <sheetName val="TYPE-B_평균H8"/>
      <sheetName val="6_공사비_내역_(가)8"/>
      <sheetName val="Sheet2_(2)8"/>
      <sheetName val="REF_ONLY7"/>
      <sheetName val="co-no_27"/>
      <sheetName val="Form_A_17"/>
      <sheetName val="Form_A_1_17"/>
      <sheetName val="BOM_Indirect7"/>
      <sheetName val="Form_A_1_II_27"/>
      <sheetName val="6_GSTG_PIPING7"/>
      <sheetName val="NONS__2,1897"/>
      <sheetName val="COMB_MNG&amp;STAFF_(ALL)__(2)7"/>
      <sheetName val="Reference_Table7"/>
      <sheetName val="CAL(1)_7"/>
      <sheetName val="member_design7"/>
      <sheetName val="soil_bearing_check7"/>
      <sheetName val="OCT_FDN7"/>
      <sheetName val="PRI_CIV7"/>
      <sheetName val="FOR_CIV7"/>
      <sheetName val="SUB_CIV7"/>
      <sheetName val="ANA_CIV7"/>
      <sheetName val="AUX_CIV7"/>
      <sheetName val="내역서_7"/>
      <sheetName val="hori__vessel(E-895)7"/>
      <sheetName val="2_37"/>
      <sheetName val="S_N7"/>
      <sheetName val="Loading_Table7"/>
      <sheetName val="SUMMARY_(0)8"/>
      <sheetName val="4_1구조설계7"/>
      <sheetName val="Pipelines_ASAB_I-II_Brownfield7"/>
      <sheetName val="MH_Estimation_Guide7"/>
      <sheetName val="공사비_내역_(가)7"/>
      <sheetName val="input_data-0909087"/>
      <sheetName val="HRG_BHN7"/>
      <sheetName val="Vent_Line_size7"/>
      <sheetName val="Expenses_per_Cost_Code_7"/>
      <sheetName val="Comp_Rate_7"/>
      <sheetName val="Analisa_HS7"/>
      <sheetName val="Section_1~4(1)7"/>
      <sheetName val="Section_1~4_7"/>
      <sheetName val="Section_57"/>
      <sheetName val="Section_5_27"/>
      <sheetName val="Section_5_37"/>
      <sheetName val="Section_67"/>
      <sheetName val="Section_6_27"/>
      <sheetName val="Attachment_17"/>
      <sheetName val="Attachmenet_27"/>
      <sheetName val="7_0_Crack_Check7"/>
      <sheetName val="축열조_기초7"/>
      <sheetName val="Fill_this_out_first___14"/>
      <sheetName val="Fill_this_out_first___15"/>
      <sheetName val="Forecast_Drivers7"/>
      <sheetName val="RAW_MATERIALS_7"/>
      <sheetName val="COST-PERSON-J_O_7"/>
      <sheetName val="MEASURE_LIST7"/>
      <sheetName val="Don_gia7"/>
      <sheetName val="COST-EST_LTI_P5C7"/>
      <sheetName val="SLEIPNER_-_ORMEN_LANGE7"/>
      <sheetName val="전기_BM_revA('090624)_xls7"/>
      <sheetName val="定额_(06)7"/>
      <sheetName val="Tie_Beam_GN5"/>
      <sheetName val="4_단락전류7"/>
      <sheetName val="system_&amp;_LOOK_UP_FUNC5"/>
      <sheetName val="Q5434_EQ_LIST7"/>
      <sheetName val="motor_power7"/>
      <sheetName val="Data_17"/>
      <sheetName val="4-3LEVEL-5_epic_47"/>
      <sheetName val="Unit_Cost7"/>
      <sheetName val="Coeff_7"/>
      <sheetName val="[fdn_bm_pro_xls]기계공사비집계(珆꭭/7"/>
      <sheetName val="96_125"/>
      <sheetName val="Exchange_rates7"/>
      <sheetName val="BID_FORM5"/>
      <sheetName val="Form_of_Bid5"/>
      <sheetName val="INST_LIST5"/>
      <sheetName val="Item_Dominan5"/>
      <sheetName val="Code_025"/>
      <sheetName val="Code_035"/>
      <sheetName val="Code_045"/>
      <sheetName val="Code_055"/>
      <sheetName val="Code_065"/>
      <sheetName val="Code_075"/>
      <sheetName val="Code_095"/>
      <sheetName val="4300_UTILITY_BLDG_(2)5"/>
      <sheetName val="Price_Breakdown(Building)5"/>
      <sheetName val="MANPOWER_DIRECT_TRACKING5"/>
      <sheetName val="Timescaled_Data5"/>
      <sheetName val="Home_Office5"/>
      <sheetName val="fdn_bm_pro_xls기계공사비집계(珆꭭5"/>
      <sheetName val="2-SITE_5"/>
      <sheetName val="eq_data_????5"/>
      <sheetName val="PCC_EAF5"/>
      <sheetName val="PCC_LF5"/>
      <sheetName val="4-Basic_Price5"/>
      <sheetName val="_fdn_bm_pro_xls_기계공사비집계(珆꭭_5"/>
      <sheetName val="Finish_list5"/>
      <sheetName val="Dati_base5"/>
      <sheetName val="US_Inflation_Factors5"/>
      <sheetName val="Cover_Page5"/>
      <sheetName val="Unit__Price5"/>
      <sheetName val="자재집계_&amp;_총괄표5"/>
      <sheetName val="Engrg_Est5"/>
      <sheetName val="[fdn_bm_pro_xls]_fdn_bm_pro_x_6"/>
      <sheetName val="GASATAGG_XLS5"/>
      <sheetName val="BEND_LOSS5"/>
      <sheetName val="eq_data_6"/>
      <sheetName val="7_5_1(A)_Data14"/>
      <sheetName val="7_5_1(B)_BOQ_Breakdown14"/>
      <sheetName val="7_5_1(C)_Scope14"/>
      <sheetName val="7_5_1(D)_Basis14"/>
      <sheetName val="7_5_1(E)_Allowance14"/>
      <sheetName val="7_5_2_BOQ_Summary14"/>
      <sheetName val="7_5_3_BOQ14"/>
      <sheetName val="A__Erec_BOQ(Shop)14"/>
      <sheetName val="B__Erec_BOQ(Field)14"/>
      <sheetName val="C__Surface_Protection14"/>
      <sheetName val="A__Erec_BOQ(Shop)_(2)14"/>
      <sheetName val="B__Erec_BOQ(Field)_(2)14"/>
      <sheetName val="C__Surf_Protection14"/>
      <sheetName val="Attachment_#114"/>
      <sheetName val="Attachment_#214"/>
      <sheetName val="302_C114"/>
      <sheetName val="302_C214"/>
      <sheetName val="SUPPLY_(2)14"/>
      <sheetName val="RETURN_(2)14"/>
      <sheetName val="303_(2)14"/>
      <sheetName val="308_(2)14"/>
      <sheetName val="309_(2)14"/>
      <sheetName val="JUNCTION_BOX14"/>
      <sheetName val="PIPE_FITTING14"/>
      <sheetName val="TUBE_FITTING14"/>
      <sheetName val="CABLE_GLAND14"/>
      <sheetName val="CONS__EQUIP___14"/>
      <sheetName val="BLR_114"/>
      <sheetName val="REINF_14"/>
      <sheetName val="ITB_COST13"/>
      <sheetName val="97_사업추정(WEKI)13"/>
      <sheetName val="90EL_JACKET13"/>
      <sheetName val="보온_회사분13"/>
      <sheetName val="Cost_control13"/>
      <sheetName val="FIRE_FIGHTING13"/>
      <sheetName val="Tipo_Terzi12"/>
      <sheetName val="plan&amp;section_of_foundation12"/>
      <sheetName val="design_criteria12"/>
      <sheetName val="BM_DATA_SHEET12"/>
      <sheetName val="Mat_Stelo12"/>
      <sheetName val="Unit_SUM12"/>
      <sheetName val="1_설계기준11"/>
      <sheetName val="working_load_at_the_btm_ft_11"/>
      <sheetName val="stability_check11"/>
      <sheetName val="OUTER_AREA(겹침없음)11"/>
      <sheetName val="Material_Specification11"/>
      <sheetName val="special_item_양진규_작성11"/>
      <sheetName val="bill_211"/>
      <sheetName val="방유제용량_계산서11"/>
      <sheetName val="Break_Dw11"/>
      <sheetName val="표지_(2)11"/>
      <sheetName val="pile_bearing_capa_&amp;_arrenge11"/>
      <sheetName val="design_load11"/>
      <sheetName val="Fab__Skid11"/>
      <sheetName val="Sch_611"/>
      <sheetName val="INPUT_DATA11"/>
      <sheetName val="CAMP_OPERATING_COST11"/>
      <sheetName val="PERSONNEL_SETUP11"/>
      <sheetName val="LIST_OF_OFFICE_EQUIPMENT11"/>
      <sheetName val="STAFF&amp;INDIRECT_SALARY_-_SUMMA11"/>
      <sheetName val="KOREAN_STAFF_SALARY_BREAKDOWN11"/>
      <sheetName val="WELFARE_COST_-_SITE11"/>
      <sheetName val="개시대사_(2)11"/>
      <sheetName val="입고장부_(4)11"/>
      <sheetName val="FEUILLE_INTERNE11"/>
      <sheetName val="COMPARISON_TABLE11"/>
      <sheetName val="L_V_Separator11"/>
      <sheetName val="CAMP_-_CONSTRUCTION11"/>
      <sheetName val="E_Rate_PM11"/>
      <sheetName val="Schedule_2_and_311"/>
      <sheetName val="CAL_11"/>
      <sheetName val="11_자재단가10"/>
      <sheetName val="1_OF_910"/>
      <sheetName val="Cover_sheet9"/>
      <sheetName val="BSD_(2)9"/>
      <sheetName val="TRAY_BM9"/>
      <sheetName val="Graph_(LGEN)9"/>
      <sheetName val="선적schedule_(2)9"/>
      <sheetName val="Summary_Sheets9"/>
      <sheetName val="품셈_9"/>
      <sheetName val="sc0314_Index9"/>
      <sheetName val="Resource_summary9"/>
      <sheetName val="배관물량_(STEEL)11"/>
      <sheetName val="Sheet_111"/>
      <sheetName val="w't_table9"/>
      <sheetName val="eq_data__x005f_x0000__x005f_x0000__x005f_x0000__9"/>
      <sheetName val="Struct-Grass_root9"/>
      <sheetName val="-15_09"/>
      <sheetName val="3_0_Overall_Progress_S-curve11"/>
      <sheetName val="3-4_SPI11"/>
      <sheetName val="General_Data11"/>
      <sheetName val="PRICE_COMP11"/>
      <sheetName val="A(Rev_3)11"/>
      <sheetName val="static_cal9"/>
      <sheetName val="crude_SLAB_RE-bar9"/>
      <sheetName val="7_6_3(B)_UG_Piping9"/>
      <sheetName val="PRICE_LIST9"/>
      <sheetName val="7_5_2_BOQ_Summary_9"/>
      <sheetName val="Rekap_A9"/>
      <sheetName val="paint_mat9"/>
      <sheetName val="VE_Estimate9"/>
      <sheetName val="TABLE2-2_OSBL-(SITE_PREP)9"/>
      <sheetName val="PAGE_29"/>
      <sheetName val="OFFER_RATE9"/>
      <sheetName val="Job_Data9"/>
      <sheetName val="Piping_Design_Data9"/>
      <sheetName val="Summary_20029"/>
      <sheetName val="ASME_B_36_10_M9"/>
      <sheetName val="Break_Down9"/>
      <sheetName val="Supervision_List9"/>
      <sheetName val="견적_집계9"/>
      <sheetName val="PULLING_SUPT등9"/>
      <sheetName val="Sheet1_(2)9"/>
      <sheetName val="PAGE_19"/>
      <sheetName val="_생산성_분석_체계_절차_xlsx9"/>
      <sheetName val="BQ_List9"/>
      <sheetName val="Page_109"/>
      <sheetName val="C급보_9"/>
      <sheetName val="Rectangular_Beam9"/>
      <sheetName val="간접비_총괄표9"/>
      <sheetName val="Eng_hour_DB9"/>
      <sheetName val="CRUDE_RE-bar9"/>
      <sheetName val="DUTCH_CONE9"/>
      <sheetName val="PAGE_3_GENERAL_DETAILS9"/>
      <sheetName val="적용_환율9"/>
      <sheetName val="GM_0009"/>
      <sheetName val="PRECAST_lightconc-II9"/>
      <sheetName val="Elect_(3)9"/>
      <sheetName val="Rev_No9"/>
      <sheetName val="COST_UP9"/>
      <sheetName val="PUMP_SHT9"/>
      <sheetName val="TENDER_PROG_9"/>
      <sheetName val="PROC_PROG9"/>
      <sheetName val="Block_D9"/>
      <sheetName val="2_Calculation_19"/>
      <sheetName val="Datasheet_GLL_double_weir_(1)9"/>
      <sheetName val="_9"/>
      <sheetName val="eq_data__x005f_x0000__x009"/>
      <sheetName val="33628-Rev__A9"/>
      <sheetName val="TYPE-B_평균H9"/>
      <sheetName val="6_공사비_내역_(가)9"/>
      <sheetName val="Sheet2_(2)9"/>
      <sheetName val="REF_ONLY8"/>
      <sheetName val="co-no_28"/>
      <sheetName val="Form_A_18"/>
      <sheetName val="Form_A_1_18"/>
      <sheetName val="BOM_Indirect8"/>
      <sheetName val="Form_A_1_II_28"/>
      <sheetName val="6_GSTG_PIPING8"/>
      <sheetName val="NONS__2,1898"/>
      <sheetName val="COMB_MNG&amp;STAFF_(ALL)__(2)8"/>
      <sheetName val="Reference_Table8"/>
      <sheetName val="CAL(1)_8"/>
      <sheetName val="member_design8"/>
      <sheetName val="soil_bearing_check8"/>
      <sheetName val="OCT_FDN8"/>
      <sheetName val="PRI_CIV8"/>
      <sheetName val="FOR_CIV8"/>
      <sheetName val="SUB_CIV8"/>
      <sheetName val="ANA_CIV8"/>
      <sheetName val="AUX_CIV8"/>
      <sheetName val="내역서_8"/>
      <sheetName val="hori__vessel(E-895)8"/>
      <sheetName val="2_38"/>
      <sheetName val="S_N8"/>
      <sheetName val="Loading_Table8"/>
      <sheetName val="SUMMARY_(0)9"/>
      <sheetName val="4_1구조설계8"/>
      <sheetName val="Pipelines_ASAB_I-II_Brownfield8"/>
      <sheetName val="MH_Estimation_Guide8"/>
      <sheetName val="공사비_내역_(가)8"/>
      <sheetName val="input_data-0909088"/>
      <sheetName val="HRG_BHN8"/>
      <sheetName val="Vent_Line_size8"/>
      <sheetName val="Expenses_per_Cost_Code_8"/>
      <sheetName val="Comp_Rate_8"/>
      <sheetName val="Analisa_HS8"/>
      <sheetName val="Section_1~4(1)8"/>
      <sheetName val="Section_1~4_8"/>
      <sheetName val="Section_58"/>
      <sheetName val="Section_5_28"/>
      <sheetName val="Section_5_38"/>
      <sheetName val="Section_68"/>
      <sheetName val="Section_6_28"/>
      <sheetName val="Attachment_18"/>
      <sheetName val="Attachmenet_28"/>
      <sheetName val="7_0_Crack_Check8"/>
      <sheetName val="축열조_기초8"/>
      <sheetName val="Fill_this_out_first___16"/>
      <sheetName val="Fill_this_out_first___17"/>
      <sheetName val="Forecast_Drivers8"/>
      <sheetName val="RAW_MATERIALS_8"/>
      <sheetName val="COST-PERSON-J_O_8"/>
      <sheetName val="MEASURE_LIST8"/>
      <sheetName val="Don_gia8"/>
      <sheetName val="COST-EST_LTI_P5C8"/>
      <sheetName val="SLEIPNER_-_ORMEN_LANGE8"/>
      <sheetName val="전기_BM_revA('090624)_xls8"/>
      <sheetName val="定额_(06)8"/>
      <sheetName val="Tie_Beam_GN6"/>
      <sheetName val="4_단락전류8"/>
      <sheetName val="system_&amp;_LOOK_UP_FUNC6"/>
      <sheetName val="Q5434_EQ_LIST8"/>
      <sheetName val="motor_power8"/>
      <sheetName val="Data_18"/>
      <sheetName val="4-3LEVEL-5_epic_48"/>
      <sheetName val="Unit_Cost8"/>
      <sheetName val="Coeff_8"/>
      <sheetName val="[fdn_bm_pro_xls]기계공사비집계(珆꭭/8"/>
      <sheetName val="96_126"/>
      <sheetName val="Exchange_rates8"/>
      <sheetName val="BID_FORM6"/>
      <sheetName val="Form_of_Bid6"/>
      <sheetName val="INST_LIST6"/>
      <sheetName val="Item_Dominan6"/>
      <sheetName val="Code_026"/>
      <sheetName val="Code_036"/>
      <sheetName val="Code_046"/>
      <sheetName val="Code_056"/>
      <sheetName val="Code_066"/>
      <sheetName val="Code_076"/>
      <sheetName val="Code_096"/>
      <sheetName val="4300_UTILITY_BLDG_(2)6"/>
      <sheetName val="Price_Breakdown(Building)6"/>
      <sheetName val="MANPOWER_DIRECT_TRACKING6"/>
      <sheetName val="Timescaled_Data6"/>
      <sheetName val="Home_Office6"/>
      <sheetName val="fdn_bm_pro_xls기계공사비집계(珆꭭6"/>
      <sheetName val="2-SITE_6"/>
      <sheetName val="eq_data_????6"/>
      <sheetName val="PCC_EAF6"/>
      <sheetName val="PCC_LF6"/>
      <sheetName val="4-Basic_Price6"/>
      <sheetName val="_fdn_bm_pro_xls_기계공사비집계(珆꭭_6"/>
      <sheetName val="Finish_list6"/>
      <sheetName val="Dati_base6"/>
      <sheetName val="US_Inflation_Factors6"/>
      <sheetName val="Cover_Page6"/>
      <sheetName val="Unit__Price6"/>
      <sheetName val="자재집계_&amp;_총괄표6"/>
      <sheetName val="Engrg_Est6"/>
      <sheetName val="[fdn_bm_pro_xls]_fdn_bm_pro_x_7"/>
      <sheetName val="GASATAGG_XLS6"/>
      <sheetName val="BEND_LOSS6"/>
      <sheetName val="eq_data_7"/>
      <sheetName val="PREMI"/>
      <sheetName val="직원동원SCH"/>
      <sheetName val="관람석제출"/>
      <sheetName val="GAJI"/>
      <sheetName val="Div26_-_Elect"/>
      <sheetName val="eq_data__x1"/>
      <sheetName val="2_4_1_Elec_BOQ"/>
      <sheetName val="2_4_1_Inst_BOQ"/>
      <sheetName val="PTF_Report"/>
      <sheetName val="InsertListDrawing_1_"/>
      <sheetName val="BILL_Of_QUANTITIES"/>
      <sheetName val="page_142"/>
      <sheetName val="H_Satuan"/>
      <sheetName val="6PILE__(돌출)"/>
      <sheetName val="tabulación_final"/>
      <sheetName val="예정공정표_(2)"/>
      <sheetName val="Sh"/>
      <sheetName val="ADMIN_TB-557066_00A"/>
      <sheetName val="LABORATORY_TB-557091_00A"/>
      <sheetName val="OME5_TB-557088-001_00A"/>
      <sheetName val="OME4_TB-557087-001_00A"/>
      <sheetName val="OME3_TB-557086-001_00A"/>
      <sheetName val="CMB_EMTS_TB-557084_00A"/>
      <sheetName val="SLCB_TB-557083-002_00B"/>
      <sheetName val="PIB9_TB-557082-003_00B"/>
      <sheetName val="PIB7_TB-557081-003_00B"/>
      <sheetName val="PIB6_TB-557080-003_00B"/>
      <sheetName val="PIB5_TB-557079-002_00B"/>
      <sheetName val="PIB4_TB-557078-002_00B"/>
      <sheetName val="PIB3_TB-557077-002_00B"/>
      <sheetName val="CCB_TB-557075-001_00B"/>
      <sheetName val="CCB_TB-557073-002_00B"/>
      <sheetName val="CCB_TB-557072-001_00A"/>
      <sheetName val="CCB_TB-557051_00B"/>
      <sheetName val="Budget_Weight_Instructions_A"/>
      <sheetName val="Basic_data"/>
      <sheetName val="Isolasi_Luar_Dalam"/>
      <sheetName val="Isolasi_Luar"/>
      <sheetName val="Sh"/>
      <sheetName val="EMPLOYMENT_CERTIFICATE"/>
      <sheetName val="Salary_cer"/>
      <sheetName val="Master_file"/>
      <sheetName val="eq_data _x005f_x005f_x005f_x0000__x005f_x005f_x00"/>
      <sheetName val="eq_data _x005f_x005f_x005f_x0000__x00"/>
      <sheetName val="eq_data__x005f_x005f_x005f_x0000__x005f_x005f_x00"/>
      <sheetName val="listes"/>
      <sheetName val="eq_data__x2"/>
      <sheetName val="page_1421"/>
      <sheetName val="InsertListDrawing_1_1"/>
      <sheetName val="BILL_Of_QUANTITIES1"/>
      <sheetName val="H_Satuan1"/>
      <sheetName val="Div26_-_Elect1"/>
      <sheetName val="2_4_1_Elec_BOQ1"/>
      <sheetName val="2_4_1_Inst_BOQ1"/>
      <sheetName val="PTF_Report1"/>
      <sheetName val="6PILE__(돌출)1"/>
      <sheetName val="tabulación_final1"/>
      <sheetName val="예정공정표_(2)1"/>
      <sheetName val="ADMIN_TB-557066_00A1"/>
      <sheetName val="LABORATORY_TB-557091_00A1"/>
      <sheetName val="OME5_TB-557088-001_00A1"/>
      <sheetName val="OME4_TB-557087-001_00A1"/>
      <sheetName val="OME3_TB-557086-001_00A1"/>
      <sheetName val="CMB_EMTS_TB-557084_00A1"/>
      <sheetName val="SLCB_TB-557083-002_00B1"/>
      <sheetName val="PIB9_TB-557082-003_00B1"/>
      <sheetName val="PIB7_TB-557081-003_00B1"/>
      <sheetName val="PIB6_TB-557080-003_00B1"/>
      <sheetName val="PIB5_TB-557079-002_00B1"/>
      <sheetName val="PIB4_TB-557078-002_00B1"/>
      <sheetName val="PIB3_TB-557077-002_00B1"/>
      <sheetName val="CCB_TB-557075-001_00B1"/>
      <sheetName val="CCB_TB-557073-002_00B1"/>
      <sheetName val="CCB_TB-557072-001_00A1"/>
      <sheetName val="CCB_TB-557051_00B1"/>
      <sheetName val="Budget_Weight_Instructions_A1"/>
      <sheetName val="Basic_data1"/>
      <sheetName val="Isolasi_Luar_Dalam1"/>
      <sheetName val="Isolasi_Luar1"/>
      <sheetName val="EMPLOYMENT_CERTIFICATE1"/>
      <sheetName val="Salary_cer1"/>
      <sheetName val="Master_file1"/>
      <sheetName val="eq_data__x3"/>
      <sheetName val="page_1422"/>
      <sheetName val="InsertListDrawing_1_2"/>
      <sheetName val="BILL_Of_QUANTITIES2"/>
      <sheetName val="H_Satuan2"/>
      <sheetName val="Div26_-_Elect2"/>
      <sheetName val="2_4_1_Elec_BOQ2"/>
      <sheetName val="2_4_1_Inst_BOQ2"/>
      <sheetName val="PTF_Report2"/>
      <sheetName val="6PILE__(돌출)2"/>
      <sheetName val="tabulación_final2"/>
      <sheetName val="예정공정표_(2)2"/>
      <sheetName val="ADMIN_TB-557066_00A2"/>
      <sheetName val="LABORATORY_TB-557091_00A2"/>
      <sheetName val="OME5_TB-557088-001_00A2"/>
      <sheetName val="OME4_TB-557087-001_00A2"/>
      <sheetName val="OME3_TB-557086-001_00A2"/>
      <sheetName val="CMB_EMTS_TB-557084_00A2"/>
      <sheetName val="SLCB_TB-557083-002_00B2"/>
      <sheetName val="PIB9_TB-557082-003_00B2"/>
      <sheetName val="PIB7_TB-557081-003_00B2"/>
      <sheetName val="PIB6_TB-557080-003_00B2"/>
      <sheetName val="PIB5_TB-557079-002_00B2"/>
      <sheetName val="PIB4_TB-557078-002_00B2"/>
      <sheetName val="PIB3_TB-557077-002_00B2"/>
      <sheetName val="CCB_TB-557075-001_00B2"/>
      <sheetName val="CCB_TB-557073-002_00B2"/>
      <sheetName val="CCB_TB-557072-001_00A2"/>
      <sheetName val="CCB_TB-557051_00B2"/>
      <sheetName val="Budget_Weight_Instructions_A2"/>
      <sheetName val="Basic_data2"/>
      <sheetName val="Isolasi_Luar_Dalam2"/>
      <sheetName val="Isolasi_Luar2"/>
      <sheetName val="EMPLOYMENT_CERTIFICATE2"/>
      <sheetName val="Salary_cer2"/>
      <sheetName val="Master_file2"/>
      <sheetName val="eq_data__x4"/>
      <sheetName val="page_1423"/>
      <sheetName val="InsertListDrawing_1_3"/>
      <sheetName val="BILL_Of_QUANTITIES3"/>
      <sheetName val="H_Satuan3"/>
      <sheetName val="Div26_-_Elect3"/>
      <sheetName val="2_4_1_Elec_BOQ3"/>
      <sheetName val="2_4_1_Inst_BOQ3"/>
      <sheetName val="PTF_Report3"/>
      <sheetName val="6PILE__(돌출)3"/>
      <sheetName val="tabulación_final3"/>
      <sheetName val="예정공정표_(2)3"/>
      <sheetName val="ADMIN_TB-557066_00A3"/>
      <sheetName val="LABORATORY_TB-557091_00A3"/>
      <sheetName val="OME5_TB-557088-001_00A3"/>
      <sheetName val="OME4_TB-557087-001_00A3"/>
      <sheetName val="OME3_TB-557086-001_00A3"/>
      <sheetName val="CMB_EMTS_TB-557084_00A3"/>
      <sheetName val="SLCB_TB-557083-002_00B3"/>
      <sheetName val="PIB9_TB-557082-003_00B3"/>
      <sheetName val="PIB7_TB-557081-003_00B3"/>
      <sheetName val="PIB6_TB-557080-003_00B3"/>
      <sheetName val="PIB5_TB-557079-002_00B3"/>
      <sheetName val="PIB4_TB-557078-002_00B3"/>
      <sheetName val="PIB3_TB-557077-002_00B3"/>
      <sheetName val="CCB_TB-557075-001_00B3"/>
      <sheetName val="CCB_TB-557073-002_00B3"/>
      <sheetName val="CCB_TB-557072-001_00A3"/>
      <sheetName val="CCB_TB-557051_00B3"/>
      <sheetName val="Budget_Weight_Instructions_A3"/>
      <sheetName val="Basic_data3"/>
      <sheetName val="Isolasi_Luar_Dalam3"/>
      <sheetName val="Isolasi_Luar3"/>
      <sheetName val="EMPLOYMENT_CERTIFICATE3"/>
      <sheetName val="Salary_cer3"/>
      <sheetName val="Master_file3"/>
      <sheetName val="eq_data__x5"/>
      <sheetName val="page_1424"/>
      <sheetName val="InsertListDrawing_1_4"/>
      <sheetName val="BILL_Of_QUANTITIES4"/>
      <sheetName val="H_Satuan4"/>
      <sheetName val="Div26_-_Elect4"/>
      <sheetName val="2_4_1_Elec_BOQ4"/>
      <sheetName val="2_4_1_Inst_BOQ4"/>
      <sheetName val="PTF_Report4"/>
      <sheetName val="6PILE__(돌출)4"/>
      <sheetName val="tabulación_final4"/>
      <sheetName val="예정공정표_(2)4"/>
      <sheetName val="ADMIN_TB-557066_00A4"/>
      <sheetName val="LABORATORY_TB-557091_00A4"/>
      <sheetName val="OME5_TB-557088-001_00A4"/>
      <sheetName val="OME4_TB-557087-001_00A4"/>
      <sheetName val="OME3_TB-557086-001_00A4"/>
      <sheetName val="CMB_EMTS_TB-557084_00A4"/>
      <sheetName val="SLCB_TB-557083-002_00B4"/>
      <sheetName val="PIB9_TB-557082-003_00B4"/>
      <sheetName val="PIB7_TB-557081-003_00B4"/>
      <sheetName val="PIB6_TB-557080-003_00B4"/>
      <sheetName val="PIB5_TB-557079-002_00B4"/>
      <sheetName val="PIB4_TB-557078-002_00B4"/>
      <sheetName val="PIB3_TB-557077-002_00B4"/>
      <sheetName val="CCB_TB-557075-001_00B4"/>
      <sheetName val="CCB_TB-557073-002_00B4"/>
      <sheetName val="CCB_TB-557072-001_00A4"/>
      <sheetName val="CCB_TB-557051_00B4"/>
      <sheetName val="Budget_Weight_Instructions_A4"/>
      <sheetName val="Basic_data4"/>
      <sheetName val="Isolasi_Luar_Dalam4"/>
      <sheetName val="Isolasi_Luar4"/>
      <sheetName val="EMPLOYMENT_CERTIFICATE4"/>
      <sheetName val="Salary_cer4"/>
      <sheetName val="Master_file4"/>
      <sheetName val="eq_data__x6"/>
      <sheetName val="page_1425"/>
      <sheetName val="InsertListDrawing_1_5"/>
      <sheetName val="BILL_Of_QUANTITIES5"/>
      <sheetName val="H_Satuan5"/>
      <sheetName val="Div26_-_Elect5"/>
      <sheetName val="2_4_1_Elec_BOQ5"/>
      <sheetName val="2_4_1_Inst_BOQ5"/>
      <sheetName val="PTF_Report5"/>
      <sheetName val="6PILE__(돌출)5"/>
      <sheetName val="tabulación_final5"/>
      <sheetName val="예정공정표_(2)5"/>
      <sheetName val="ADMIN_TB-557066_00A5"/>
      <sheetName val="LABORATORY_TB-557091_00A5"/>
      <sheetName val="OME5_TB-557088-001_00A5"/>
      <sheetName val="OME4_TB-557087-001_00A5"/>
      <sheetName val="OME3_TB-557086-001_00A5"/>
      <sheetName val="CMB_EMTS_TB-557084_00A5"/>
      <sheetName val="SLCB_TB-557083-002_00B5"/>
      <sheetName val="PIB9_TB-557082-003_00B5"/>
      <sheetName val="PIB7_TB-557081-003_00B5"/>
      <sheetName val="PIB6_TB-557080-003_00B5"/>
      <sheetName val="PIB5_TB-557079-002_00B5"/>
      <sheetName val="PIB4_TB-557078-002_00B5"/>
      <sheetName val="PIB3_TB-557077-002_00B5"/>
      <sheetName val="CCB_TB-557075-001_00B5"/>
      <sheetName val="CCB_TB-557073-002_00B5"/>
      <sheetName val="CCB_TB-557072-001_00A5"/>
      <sheetName val="CCB_TB-557051_00B5"/>
      <sheetName val="Budget_Weight_Instructions_A5"/>
      <sheetName val="Basic_data5"/>
      <sheetName val="Isolasi_Luar_Dalam5"/>
      <sheetName val="Isolasi_Luar5"/>
      <sheetName val="EMPLOYMENT_CERTIFICATE5"/>
      <sheetName val="Salary_cer5"/>
      <sheetName val="Master_file5"/>
      <sheetName val="COVER "/>
      <sheetName val="DTS schedule"/>
      <sheetName val="3.Procurement"/>
      <sheetName val="Prefab"/>
      <sheetName val="지수"/>
      <sheetName val="EQ USED (CORRECTED)"/>
      <sheetName val="설 계"/>
      <sheetName val="afis"/>
      <sheetName val="D&amp;W"/>
      <sheetName val="100"/>
      <sheetName val="104(1)a"/>
      <sheetName val="eq_data__x0000__x00"/>
      <sheetName val="CT-35"/>
      <sheetName val="CT-0.4KV"/>
      <sheetName val="[fdn_bm_pro.xls]_fdn_bm_pro_x_6"/>
      <sheetName val="[fdn_bm_pro.xls]_fdn_bm_pro_x_7"/>
      <sheetName val="[fdn_bm_pro.xls]_fdn_bm_pro_x_8"/>
      <sheetName val="eq_data_____"/>
      <sheetName val="_fdn_bm_pro_xls__fdn_bm_pro_x_2"/>
      <sheetName val="SYMBOL"/>
      <sheetName val="Spool Index"/>
      <sheetName val="Struktur Gas"/>
      <sheetName val="unitprice"/>
      <sheetName val="SEX"/>
      <sheetName val="CH"/>
      <sheetName val="AHS_Umum"/>
      <sheetName val="BILLING PROCESS"/>
      <sheetName val="Div2"/>
      <sheetName val="D7(1)"/>
      <sheetName val="Hardasar-PSJJ"/>
      <sheetName val="FORCE"/>
      <sheetName val="UPAH (2)"/>
      <sheetName val="Pekerjaan"/>
      <sheetName val="Analisa"/>
      <sheetName val="time"/>
      <sheetName val="PRIMARY LOAD"/>
      <sheetName val="DHS"/>
      <sheetName val="Anal"/>
      <sheetName val="RAB"/>
      <sheetName val="an-aspal"/>
      <sheetName val="REKAP"/>
      <sheetName val="부재력정리"/>
      <sheetName val="Rate"/>
      <sheetName val="pivot1"/>
      <sheetName val="ANALISA HARGA SATUAN"/>
      <sheetName val="Data-Pdk"/>
      <sheetName val="An-Lat"/>
      <sheetName val="dftr harga"/>
      <sheetName val="hrg. sat pek"/>
      <sheetName val="prhit tulangan"/>
      <sheetName val="Rekapitulasi"/>
      <sheetName val="vol pek"/>
      <sheetName val="Data-pendukung"/>
      <sheetName val="Anal-BM"/>
      <sheetName val="DRAIN DRUM PIT D-301"/>
      <sheetName val="hsd Alat"/>
      <sheetName val="urtek"/>
      <sheetName val="bill"/>
      <sheetName val="Daya"/>
      <sheetName val="10"/>
      <sheetName val="49일위"/>
      <sheetName val="22일위"/>
      <sheetName val="7_5_1(A)_Data15"/>
      <sheetName val="7_5_1(B)_BOQ_Breakdown15"/>
      <sheetName val="7_5_1(C)_Scope15"/>
      <sheetName val="7_5_1(D)_Basis15"/>
      <sheetName val="7_5_1(E)_Allowance15"/>
      <sheetName val="7_5_2_BOQ_Summary15"/>
      <sheetName val="7_5_3_BOQ15"/>
      <sheetName val="A__Erec_BOQ(Shop)15"/>
      <sheetName val="B__Erec_BOQ(Field)15"/>
      <sheetName val="C__Surface_Protection15"/>
      <sheetName val="A__Erec_BOQ(Shop)_(2)15"/>
      <sheetName val="B__Erec_BOQ(Field)_(2)15"/>
      <sheetName val="C__Surf_Protection15"/>
      <sheetName val="Attachment_#115"/>
      <sheetName val="Attachment_#215"/>
      <sheetName val="302_C115"/>
      <sheetName val="302_C215"/>
      <sheetName val="SUPPLY_(2)15"/>
      <sheetName val="RETURN_(2)15"/>
      <sheetName val="303_(2)15"/>
      <sheetName val="308_(2)15"/>
      <sheetName val="309_(2)15"/>
      <sheetName val="JUNCTION_BOX15"/>
      <sheetName val="PIPE_FITTING15"/>
      <sheetName val="TUBE_FITTING15"/>
      <sheetName val="CABLE_GLAND15"/>
      <sheetName val="CONS__EQUIP___15"/>
      <sheetName val="BLR_115"/>
      <sheetName val="REINF_15"/>
      <sheetName val="ITB_COST14"/>
      <sheetName val="97_사업추정(WEKI)14"/>
      <sheetName val="Cost_control14"/>
      <sheetName val="보온_회사분14"/>
      <sheetName val="90EL_JACKET14"/>
      <sheetName val="FIRE_FIGHTING14"/>
      <sheetName val="Tipo_Terzi13"/>
      <sheetName val="plan&amp;section_of_foundation13"/>
      <sheetName val="design_criteria13"/>
      <sheetName val="BM_DATA_SHEET13"/>
      <sheetName val="Mat_Stelo13"/>
      <sheetName val="Unit_SUM13"/>
      <sheetName val="working_load_at_the_btm_ft_12"/>
      <sheetName val="stability_check12"/>
      <sheetName val="OUTER_AREA(겹침없음)12"/>
      <sheetName val="1_설계기준12"/>
      <sheetName val="bill_212"/>
      <sheetName val="special_item_양진규_작성12"/>
      <sheetName val="Break_Dw12"/>
      <sheetName val="방유제용량_계산서12"/>
      <sheetName val="pile_bearing_capa_&amp;_arrenge12"/>
      <sheetName val="design_load12"/>
      <sheetName val="Fab__Skid12"/>
      <sheetName val="Material_Specification12"/>
      <sheetName val="개시대사_(2)12"/>
      <sheetName val="CAMP_OPERATING_COST12"/>
      <sheetName val="PERSONNEL_SETUP12"/>
      <sheetName val="LIST_OF_OFFICE_EQUIPMENT12"/>
      <sheetName val="STAFF&amp;INDIRECT_SALARY_-_SUMMA12"/>
      <sheetName val="KOREAN_STAFF_SALARY_BREAKDOWN12"/>
      <sheetName val="WELFARE_COST_-_SITE12"/>
      <sheetName val="Sch_612"/>
      <sheetName val="표지_(2)12"/>
      <sheetName val="INPUT_DATA12"/>
      <sheetName val="L_V_Separator12"/>
      <sheetName val="입고장부_(4)12"/>
      <sheetName val="FEUILLE_INTERNE12"/>
      <sheetName val="CAMP_-_CONSTRUCTION12"/>
      <sheetName val="E_Rate_PM12"/>
      <sheetName val="Schedule_2_and_312"/>
      <sheetName val="CAL_12"/>
      <sheetName val="BSD_(2)10"/>
      <sheetName val="TRAY_BM10"/>
      <sheetName val="COMPARISON_TABLE12"/>
      <sheetName val="Cover_sheet10"/>
      <sheetName val="11_자재단가11"/>
      <sheetName val="1_OF_911"/>
      <sheetName val="Graph_(LGEN)10"/>
      <sheetName val="선적schedule_(2)10"/>
      <sheetName val="Summary_Sheets10"/>
      <sheetName val="품셈_10"/>
      <sheetName val="sc0314_Index10"/>
      <sheetName val="Resource_summary10"/>
      <sheetName val="w't_table10"/>
      <sheetName val="eq_data__x005f_x0000__x005f_x0000__x005f_x0000_10"/>
      <sheetName val="General_Data12"/>
      <sheetName val="PRICE_COMP12"/>
      <sheetName val="A(Rev_3)12"/>
      <sheetName val="static_cal10"/>
      <sheetName val="crude_SLAB_RE-bar10"/>
      <sheetName val="7_6_3(B)_UG_Piping10"/>
      <sheetName val="PRICE_LIST10"/>
      <sheetName val="7_5_2_BOQ_Summary_10"/>
      <sheetName val="Rekap_A10"/>
      <sheetName val="paint_mat10"/>
      <sheetName val="VE_Estimate10"/>
      <sheetName val="TABLE2-2_OSBL-(SITE_PREP)10"/>
      <sheetName val="OFFER_RATE10"/>
      <sheetName val="Job_Data10"/>
      <sheetName val="Piping_Design_Data10"/>
      <sheetName val="Summary_200210"/>
      <sheetName val="ASME_B_36_10_M10"/>
      <sheetName val="배관물량_(STEEL)12"/>
      <sheetName val="Sheet_112"/>
      <sheetName val="3_0_Overall_Progress_S-curve12"/>
      <sheetName val="3-4_SPI12"/>
      <sheetName val="-15_010"/>
      <sheetName val="견적_집계10"/>
      <sheetName val="PULLING_SUPT등10"/>
      <sheetName val="Sheet1_(2)10"/>
      <sheetName val="PAGE_110"/>
      <sheetName val="_생산성_분석_체계_절차_xlsx10"/>
      <sheetName val="BQ_List10"/>
      <sheetName val="Struct-Grass_root10"/>
      <sheetName val="Break_Down10"/>
      <sheetName val="Supervision_List10"/>
      <sheetName val="PAGE_210"/>
      <sheetName val="Page_1010"/>
      <sheetName val="Tie_Beam_GN7"/>
      <sheetName val="system_&amp;_LOOK_UP_FUNC7"/>
      <sheetName val="96_127"/>
      <sheetName val="eq_data__x7"/>
      <sheetName val="page_1426"/>
      <sheetName val="InsertListDrawing_1_6"/>
      <sheetName val="BILL_Of_QUANTITIES6"/>
      <sheetName val="H_Satuan6"/>
      <sheetName val="Div26_-_Elect6"/>
      <sheetName val="2_4_1_Elec_BOQ6"/>
      <sheetName val="2_4_1_Inst_BOQ6"/>
      <sheetName val="PTF_Report6"/>
      <sheetName val="6PILE__(돌출)6"/>
      <sheetName val="tabulación_final6"/>
      <sheetName val="예정공정표_(2)6"/>
      <sheetName val="ADMIN_TB-557066_00A6"/>
      <sheetName val="LABORATORY_TB-557091_00A6"/>
      <sheetName val="OME5_TB-557088-001_00A6"/>
      <sheetName val="OME4_TB-557087-001_00A6"/>
      <sheetName val="OME3_TB-557086-001_00A6"/>
      <sheetName val="CMB_EMTS_TB-557084_00A6"/>
      <sheetName val="SLCB_TB-557083-002_00B6"/>
      <sheetName val="PIB9_TB-557082-003_00B6"/>
      <sheetName val="PIB7_TB-557081-003_00B6"/>
      <sheetName val="PIB6_TB-557080-003_00B6"/>
      <sheetName val="PIB5_TB-557079-002_00B6"/>
      <sheetName val="PIB4_TB-557078-002_00B6"/>
      <sheetName val="PIB3_TB-557077-002_00B6"/>
      <sheetName val="CCB_TB-557075-001_00B6"/>
      <sheetName val="CCB_TB-557073-002_00B6"/>
      <sheetName val="CCB_TB-557072-001_00A6"/>
      <sheetName val="CCB_TB-557051_00B6"/>
      <sheetName val="Budget_Weight_Instructions_A6"/>
      <sheetName val="Basic_data6"/>
      <sheetName val="Isolasi_Luar_Dalam6"/>
      <sheetName val="Isolasi_Luar6"/>
      <sheetName val="EMPLOYMENT_CERTIFICATE6"/>
      <sheetName val="Salary_cer6"/>
      <sheetName val="Master_file6"/>
      <sheetName val="7_5_1(A)_Data16"/>
      <sheetName val="7_5_1(B)_BOQ_Breakdown16"/>
      <sheetName val="7_5_1(C)_Scope16"/>
      <sheetName val="7_5_1(D)_Basis16"/>
      <sheetName val="7_5_1(E)_Allowance16"/>
      <sheetName val="7_5_2_BOQ_Summary16"/>
      <sheetName val="7_5_3_BOQ16"/>
      <sheetName val="A__Erec_BOQ(Shop)16"/>
      <sheetName val="B__Erec_BOQ(Field)16"/>
      <sheetName val="C__Surface_Protection16"/>
      <sheetName val="A__Erec_BOQ(Shop)_(2)16"/>
      <sheetName val="B__Erec_BOQ(Field)_(2)16"/>
      <sheetName val="C__Surf_Protection16"/>
      <sheetName val="Attachment_#116"/>
      <sheetName val="Attachment_#216"/>
      <sheetName val="302_C116"/>
      <sheetName val="302_C216"/>
      <sheetName val="SUPPLY_(2)16"/>
      <sheetName val="RETURN_(2)16"/>
      <sheetName val="303_(2)16"/>
      <sheetName val="308_(2)16"/>
      <sheetName val="309_(2)16"/>
      <sheetName val="JUNCTION_BOX16"/>
      <sheetName val="PIPE_FITTING16"/>
      <sheetName val="TUBE_FITTING16"/>
      <sheetName val="CABLE_GLAND16"/>
      <sheetName val="CONS__EQUIP___16"/>
      <sheetName val="BLR_116"/>
      <sheetName val="REINF_16"/>
      <sheetName val="ITB_COST15"/>
      <sheetName val="97_사업추정(WEKI)15"/>
      <sheetName val="Cost_control15"/>
      <sheetName val="보온_회사분15"/>
      <sheetName val="90EL_JACKET15"/>
      <sheetName val="FIRE_FIGHTING15"/>
      <sheetName val="Tipo_Terzi14"/>
      <sheetName val="plan&amp;section_of_foundation14"/>
      <sheetName val="design_criteria14"/>
      <sheetName val="BM_DATA_SHEET14"/>
      <sheetName val="Mat_Stelo14"/>
      <sheetName val="Unit_SUM14"/>
      <sheetName val="working_load_at_the_btm_ft_13"/>
      <sheetName val="stability_check13"/>
      <sheetName val="OUTER_AREA(겹침없음)13"/>
      <sheetName val="1_설계기준13"/>
      <sheetName val="bill_213"/>
      <sheetName val="special_item_양진규_작성13"/>
      <sheetName val="Break_Dw13"/>
      <sheetName val="방유제용량_계산서13"/>
      <sheetName val="pile_bearing_capa_&amp;_arrenge13"/>
      <sheetName val="design_load13"/>
      <sheetName val="Fab__Skid13"/>
      <sheetName val="Material_Specification13"/>
      <sheetName val="개시대사_(2)13"/>
      <sheetName val="CAMP_OPERATING_COST13"/>
      <sheetName val="PERSONNEL_SETUP13"/>
      <sheetName val="LIST_OF_OFFICE_EQUIPMENT13"/>
      <sheetName val="STAFF&amp;INDIRECT_SALARY_-_SUMMA13"/>
      <sheetName val="KOREAN_STAFF_SALARY_BREAKDOWN13"/>
      <sheetName val="WELFARE_COST_-_SITE13"/>
      <sheetName val="Sch_613"/>
      <sheetName val="표지_(2)13"/>
      <sheetName val="INPUT_DATA13"/>
      <sheetName val="L_V_Separator13"/>
      <sheetName val="입고장부_(4)13"/>
      <sheetName val="FEUILLE_INTERNE13"/>
      <sheetName val="CAMP_-_CONSTRUCTION13"/>
      <sheetName val="E_Rate_PM13"/>
      <sheetName val="Schedule_2_and_313"/>
      <sheetName val="CAL_13"/>
      <sheetName val="BSD_(2)11"/>
      <sheetName val="TRAY_BM11"/>
      <sheetName val="COMPARISON_TABLE13"/>
      <sheetName val="Cover_sheet11"/>
      <sheetName val="11_자재단가12"/>
      <sheetName val="1_OF_912"/>
      <sheetName val="Graph_(LGEN)11"/>
      <sheetName val="선적schedule_(2)11"/>
      <sheetName val="Summary_Sheets11"/>
      <sheetName val="품셈_11"/>
      <sheetName val="sc0314_Index11"/>
      <sheetName val="Resource_summary11"/>
      <sheetName val="w't_table11"/>
      <sheetName val="eq_data__x005f_x0000__x005f_x0000__x005f_x0000_11"/>
      <sheetName val="General_Data13"/>
      <sheetName val="PRICE_COMP13"/>
      <sheetName val="A(Rev_3)13"/>
      <sheetName val="static_cal11"/>
      <sheetName val="crude_SLAB_RE-bar11"/>
      <sheetName val="7_6_3(B)_UG_Piping11"/>
      <sheetName val="PRICE_LIST11"/>
      <sheetName val="7_5_2_BOQ_Summary_11"/>
      <sheetName val="Rekap_A11"/>
      <sheetName val="paint_mat11"/>
      <sheetName val="VE_Estimate11"/>
      <sheetName val="TABLE2-2_OSBL-(SITE_PREP)11"/>
      <sheetName val="OFFER_RATE11"/>
      <sheetName val="Job_Data11"/>
      <sheetName val="Piping_Design_Data11"/>
      <sheetName val="Summary_200211"/>
      <sheetName val="ASME_B_36_10_M11"/>
      <sheetName val="배관물량_(STEEL)13"/>
      <sheetName val="Sheet_113"/>
      <sheetName val="3_0_Overall_Progress_S-curve13"/>
      <sheetName val="3-4_SPI13"/>
      <sheetName val="-15_011"/>
      <sheetName val="견적_집계11"/>
      <sheetName val="PULLING_SUPT등11"/>
      <sheetName val="Sheet1_(2)11"/>
      <sheetName val="PAGE_111"/>
      <sheetName val="_생산성_분석_체계_절차_xlsx11"/>
      <sheetName val="BQ_List11"/>
      <sheetName val="Struct-Grass_root11"/>
      <sheetName val="Break_Down11"/>
      <sheetName val="Supervision_List11"/>
      <sheetName val="PAGE_211"/>
      <sheetName val="Page_1011"/>
      <sheetName val="간접비_총괄표10"/>
      <sheetName val="Eng_hour_DB10"/>
      <sheetName val="COST_UP10"/>
      <sheetName val="CRUDE_RE-bar10"/>
      <sheetName val="DUTCH_CONE10"/>
      <sheetName val="C급보_10"/>
      <sheetName val="PAGE_3_GENERAL_DETAILS10"/>
      <sheetName val="적용_환율10"/>
      <sheetName val="Rectangular_Beam10"/>
      <sheetName val="GM_00010"/>
      <sheetName val="PRECAST_lightconc-II10"/>
      <sheetName val="Rev_No10"/>
      <sheetName val="PUMP_SHT10"/>
      <sheetName val="Elect_(3)10"/>
      <sheetName val="TENDER_PROG_10"/>
      <sheetName val="PROC_PROG10"/>
      <sheetName val="2_Calculation_110"/>
      <sheetName val="Block_D10"/>
      <sheetName val="_10"/>
      <sheetName val="Datasheet_GLL_double_weir_(1)10"/>
      <sheetName val="eq_data__x005f_x0000__x0010"/>
      <sheetName val="33628-Rev__A10"/>
      <sheetName val="TYPE-B_평균H10"/>
      <sheetName val="Sheet2_(2)10"/>
      <sheetName val="6_공사비_내역_(가)10"/>
      <sheetName val="co-no_29"/>
      <sheetName val="Form_A_19"/>
      <sheetName val="Form_A_1_19"/>
      <sheetName val="BOM_Indirect9"/>
      <sheetName val="Form_A_1_II_29"/>
      <sheetName val="6_GSTG_PIPING9"/>
      <sheetName val="NONS__2,1899"/>
      <sheetName val="Reference_Table9"/>
      <sheetName val="CAL(1)_9"/>
      <sheetName val="member_design9"/>
      <sheetName val="soil_bearing_check9"/>
      <sheetName val="OCT_FDN9"/>
      <sheetName val="PRI_CIV9"/>
      <sheetName val="FOR_CIV9"/>
      <sheetName val="SUB_CIV9"/>
      <sheetName val="ANA_CIV9"/>
      <sheetName val="AUX_CIV9"/>
      <sheetName val="내역서_9"/>
      <sheetName val="hori__vessel(E-895)9"/>
      <sheetName val="2_39"/>
      <sheetName val="S_N9"/>
      <sheetName val="REF_ONLY9"/>
      <sheetName val="Loading_Table9"/>
      <sheetName val="SUMMARY_(0)10"/>
      <sheetName val="Vent_Line_size9"/>
      <sheetName val="Pipelines_ASAB_I-II_Brownfield9"/>
      <sheetName val="4_1구조설계9"/>
      <sheetName val="MH_Estimation_Guide9"/>
      <sheetName val="공사비_내역_(가)9"/>
      <sheetName val="input_data-0909089"/>
      <sheetName val="HRG_BHN9"/>
      <sheetName val="Fill_this_out_first___18"/>
      <sheetName val="Fill_this_out_first___19"/>
      <sheetName val="Expenses_per_Cost_Code_9"/>
      <sheetName val="Comp_Rate_9"/>
      <sheetName val="7_0_Crack_Check9"/>
      <sheetName val="축열조_기초9"/>
      <sheetName val="COMB_MNG&amp;STAFF_(ALL)__(2)9"/>
      <sheetName val="Q5434_EQ_LIST9"/>
      <sheetName val="motor_power9"/>
      <sheetName val="MEASURE_LIST9"/>
      <sheetName val="Don_gia9"/>
      <sheetName val="Section_1~4(1)9"/>
      <sheetName val="Section_1~4_9"/>
      <sheetName val="Section_59"/>
      <sheetName val="Section_5_29"/>
      <sheetName val="Section_5_39"/>
      <sheetName val="Section_69"/>
      <sheetName val="Section_6_29"/>
      <sheetName val="Attachment_19"/>
      <sheetName val="Attachmenet_29"/>
      <sheetName val="Forecast_Drivers9"/>
      <sheetName val="Data_19"/>
      <sheetName val="Unit_Cost9"/>
      <sheetName val="4-3LEVEL-5_epic_49"/>
      <sheetName val="Exchange_rates9"/>
      <sheetName val="Analisa_HS9"/>
      <sheetName val="COST-EST_LTI_P5C9"/>
      <sheetName val="SLEIPNER_-_ORMEN_LANGE9"/>
      <sheetName val="전기_BM_revA('090624)_xls9"/>
      <sheetName val="定额_(06)9"/>
      <sheetName val="Coeff_9"/>
      <sheetName val="RAW_MATERIALS_9"/>
      <sheetName val="COST-PERSON-J_O_9"/>
      <sheetName val="4_단락전류9"/>
      <sheetName val="[fdn_bm_pro_xls]기계공사비집계(珆꭭/9"/>
      <sheetName val="Tie_Beam_GN8"/>
      <sheetName val="system_&amp;_LOOK_UP_FUNC8"/>
      <sheetName val="96_128"/>
      <sheetName val="BID_FORM7"/>
      <sheetName val="Form_of_Bid7"/>
      <sheetName val="INST_LIST7"/>
      <sheetName val="Item_Dominan7"/>
      <sheetName val="2-SITE_7"/>
      <sheetName val="Finish_list7"/>
      <sheetName val="MANPOWER_DIRECT_TRACKING7"/>
      <sheetName val="Timescaled_Data7"/>
      <sheetName val="Home_Office7"/>
      <sheetName val="Code_027"/>
      <sheetName val="Code_037"/>
      <sheetName val="Code_047"/>
      <sheetName val="Code_057"/>
      <sheetName val="Code_067"/>
      <sheetName val="Code_077"/>
      <sheetName val="Code_097"/>
      <sheetName val="4300_UTILITY_BLDG_(2)7"/>
      <sheetName val="Price_Breakdown(Building)7"/>
      <sheetName val="Dati_base7"/>
      <sheetName val="US_Inflation_Factors7"/>
      <sheetName val="Cover_Page7"/>
      <sheetName val="PCC_EAF7"/>
      <sheetName val="PCC_LF7"/>
      <sheetName val="4-Basic_Price7"/>
      <sheetName val="_fdn_bm_pro_xls_기계공사비집계(珆꭭_7"/>
      <sheetName val="eq_data_????7"/>
      <sheetName val="Unit__Price7"/>
      <sheetName val="자재집계_&amp;_총괄표7"/>
      <sheetName val="[fdn_bm_pro_xls]_fdn_bm_pro_x_8"/>
      <sheetName val="Engrg_Est7"/>
      <sheetName val="eq_data_8"/>
      <sheetName val="eq_data__x8"/>
      <sheetName val="fdn_bm_pro_xls기계공사비집계(珆꭭7"/>
      <sheetName val="GASATAGG_XLS7"/>
      <sheetName val="page_1427"/>
      <sheetName val="InsertListDrawing_1_7"/>
      <sheetName val="BILL_Of_QUANTITIES7"/>
      <sheetName val="H_Satuan7"/>
      <sheetName val="Div26_-_Elect7"/>
      <sheetName val="2_4_1_Elec_BOQ7"/>
      <sheetName val="2_4_1_Inst_BOQ7"/>
      <sheetName val="PTF_Report7"/>
      <sheetName val="BEND_LOSS7"/>
      <sheetName val="6PILE__(돌출)7"/>
      <sheetName val="tabulación_final7"/>
      <sheetName val="예정공정표_(2)7"/>
      <sheetName val="ADMIN_TB-557066_00A7"/>
      <sheetName val="LABORATORY_TB-557091_00A7"/>
      <sheetName val="OME5_TB-557088-001_00A7"/>
      <sheetName val="OME4_TB-557087-001_00A7"/>
      <sheetName val="OME3_TB-557086-001_00A7"/>
      <sheetName val="CMB_EMTS_TB-557084_00A7"/>
      <sheetName val="SLCB_TB-557083-002_00B7"/>
      <sheetName val="PIB9_TB-557082-003_00B7"/>
      <sheetName val="PIB7_TB-557081-003_00B7"/>
      <sheetName val="PIB6_TB-557080-003_00B7"/>
      <sheetName val="PIB5_TB-557079-002_00B7"/>
      <sheetName val="PIB4_TB-557078-002_00B7"/>
      <sheetName val="PIB3_TB-557077-002_00B7"/>
      <sheetName val="CCB_TB-557075-001_00B7"/>
      <sheetName val="CCB_TB-557073-002_00B7"/>
      <sheetName val="CCB_TB-557072-001_00A7"/>
      <sheetName val="CCB_TB-557051_00B7"/>
      <sheetName val="Budget_Weight_Instructions_A7"/>
      <sheetName val="Basic_data7"/>
      <sheetName val="Isolasi_Luar_Dalam7"/>
      <sheetName val="Isolasi_Luar7"/>
      <sheetName val="EMPLOYMENT_CERTIFICATE7"/>
      <sheetName val="Salary_cer7"/>
      <sheetName val="Master_file7"/>
      <sheetName val="7_5_1(A)_Data17"/>
      <sheetName val="7_5_1(B)_BOQ_Breakdown17"/>
      <sheetName val="7_5_1(C)_Scope17"/>
      <sheetName val="7_5_1(D)_Basis17"/>
      <sheetName val="7_5_1(E)_Allowance17"/>
      <sheetName val="7_5_2_BOQ_Summary17"/>
      <sheetName val="7_5_3_BOQ17"/>
      <sheetName val="A__Erec_BOQ(Shop)17"/>
      <sheetName val="B__Erec_BOQ(Field)17"/>
      <sheetName val="C__Surface_Protection17"/>
      <sheetName val="A__Erec_BOQ(Shop)_(2)17"/>
      <sheetName val="B__Erec_BOQ(Field)_(2)17"/>
      <sheetName val="C__Surf_Protection17"/>
      <sheetName val="Attachment_#117"/>
      <sheetName val="Attachment_#217"/>
      <sheetName val="302_C117"/>
      <sheetName val="302_C217"/>
      <sheetName val="SUPPLY_(2)17"/>
      <sheetName val="RETURN_(2)17"/>
      <sheetName val="303_(2)17"/>
      <sheetName val="308_(2)17"/>
      <sheetName val="309_(2)17"/>
      <sheetName val="JUNCTION_BOX17"/>
      <sheetName val="PIPE_FITTING17"/>
      <sheetName val="TUBE_FITTING17"/>
      <sheetName val="CABLE_GLAND17"/>
      <sheetName val="CONS__EQUIP___17"/>
      <sheetName val="BLR_117"/>
      <sheetName val="REINF_17"/>
      <sheetName val="ITB_COST16"/>
      <sheetName val="97_사업추정(WEKI)16"/>
      <sheetName val="Cost_control16"/>
      <sheetName val="보온_회사분16"/>
      <sheetName val="90EL_JACKET16"/>
      <sheetName val="FIRE_FIGHTING16"/>
      <sheetName val="Tipo_Terzi15"/>
      <sheetName val="plan&amp;section_of_foundation15"/>
      <sheetName val="design_criteria15"/>
      <sheetName val="BM_DATA_SHEET15"/>
      <sheetName val="Mat_Stelo15"/>
      <sheetName val="Unit_SUM15"/>
      <sheetName val="working_load_at_the_btm_ft_14"/>
      <sheetName val="stability_check14"/>
      <sheetName val="OUTER_AREA(겹침없음)14"/>
      <sheetName val="1_설계기준14"/>
      <sheetName val="bill_214"/>
      <sheetName val="special_item_양진규_작성14"/>
      <sheetName val="Break_Dw14"/>
      <sheetName val="방유제용량_계산서14"/>
      <sheetName val="pile_bearing_capa_&amp;_arrenge14"/>
      <sheetName val="design_load14"/>
      <sheetName val="Fab__Skid14"/>
      <sheetName val="Material_Specification14"/>
      <sheetName val="개시대사_(2)14"/>
      <sheetName val="CAMP_OPERATING_COST14"/>
      <sheetName val="PERSONNEL_SETUP14"/>
      <sheetName val="LIST_OF_OFFICE_EQUIPMENT14"/>
      <sheetName val="STAFF&amp;INDIRECT_SALARY_-_SUMMA14"/>
      <sheetName val="KOREAN_STAFF_SALARY_BREAKDOWN14"/>
      <sheetName val="WELFARE_COST_-_SITE14"/>
      <sheetName val="Sch_614"/>
      <sheetName val="표지_(2)14"/>
      <sheetName val="INPUT_DATA14"/>
      <sheetName val="L_V_Separator14"/>
      <sheetName val="입고장부_(4)14"/>
      <sheetName val="FEUILLE_INTERNE14"/>
      <sheetName val="COMPARISON_TABLE14"/>
      <sheetName val="CAMP_-_CONSTRUCTION14"/>
      <sheetName val="E_Rate_PM14"/>
      <sheetName val="Schedule_2_and_314"/>
      <sheetName val="CAL_14"/>
      <sheetName val="11_자재단가13"/>
      <sheetName val="1_OF_913"/>
      <sheetName val="BSD_(2)12"/>
      <sheetName val="TRAY_BM12"/>
      <sheetName val="Cover_sheet12"/>
      <sheetName val="품셈_12"/>
      <sheetName val="Graph_(LGEN)12"/>
      <sheetName val="선적schedule_(2)12"/>
      <sheetName val="Summary_Sheets12"/>
      <sheetName val="sc0314_Index12"/>
      <sheetName val="Resource_summary12"/>
      <sheetName val="w't_table12"/>
      <sheetName val="eq_data__x005f_x0000__x005f_x0000__x005f_x0000_12"/>
      <sheetName val="General_Data14"/>
      <sheetName val="PRICE_COMP14"/>
      <sheetName val="A(Rev_3)14"/>
      <sheetName val="static_cal12"/>
      <sheetName val="crude_SLAB_RE-bar12"/>
      <sheetName val="7_6_3(B)_UG_Piping12"/>
      <sheetName val="PRICE_LIST12"/>
      <sheetName val="7_5_2_BOQ_Summary_12"/>
      <sheetName val="Rekap_A12"/>
      <sheetName val="paint_mat12"/>
      <sheetName val="VE_Estimate12"/>
      <sheetName val="TABLE2-2_OSBL-(SITE_PREP)12"/>
      <sheetName val="OFFER_RATE12"/>
      <sheetName val="Job_Data12"/>
      <sheetName val="Piping_Design_Data12"/>
      <sheetName val="Summary_200212"/>
      <sheetName val="ASME_B_36_10_M12"/>
      <sheetName val="배관물량_(STEEL)14"/>
      <sheetName val="Sheet_114"/>
      <sheetName val="3_0_Overall_Progress_S-curve14"/>
      <sheetName val="3-4_SPI14"/>
      <sheetName val="-15_012"/>
      <sheetName val="견적_집계12"/>
      <sheetName val="PULLING_SUPT등12"/>
      <sheetName val="Sheet1_(2)12"/>
      <sheetName val="PAGE_112"/>
      <sheetName val="_생산성_분석_체계_절차_xlsx12"/>
      <sheetName val="BQ_List12"/>
      <sheetName val="Struct-Grass_root12"/>
      <sheetName val="Break_Down12"/>
      <sheetName val="Supervision_List12"/>
      <sheetName val="Page_1012"/>
      <sheetName val="PAGE_212"/>
      <sheetName val="간접비_총괄표11"/>
      <sheetName val="Eng_hour_DB11"/>
      <sheetName val="CRUDE_RE-bar11"/>
      <sheetName val="DUTCH_CONE11"/>
      <sheetName val="C급보_11"/>
      <sheetName val="PAGE_3_GENERAL_DETAILS11"/>
      <sheetName val="적용_환율11"/>
      <sheetName val="Rectangular_Beam11"/>
      <sheetName val="COST_UP11"/>
      <sheetName val="GM_00011"/>
      <sheetName val="PRECAST_lightconc-II11"/>
      <sheetName val="Rev_No11"/>
      <sheetName val="PUMP_SHT11"/>
      <sheetName val="Elect_(3)11"/>
      <sheetName val="TENDER_PROG_11"/>
      <sheetName val="PROC_PROG11"/>
      <sheetName val="Block_D11"/>
      <sheetName val="2_Calculation_111"/>
      <sheetName val="Datasheet_GLL_double_weir_(1)11"/>
      <sheetName val="_11"/>
      <sheetName val="eq_data__x005f_x0000__x0011"/>
      <sheetName val="co-no_210"/>
      <sheetName val="33628-Rev__A11"/>
      <sheetName val="TYPE-B_평균H11"/>
      <sheetName val="6_공사비_내역_(가)11"/>
      <sheetName val="Sheet2_(2)11"/>
      <sheetName val="Form_A_110"/>
      <sheetName val="Form_A_1_110"/>
      <sheetName val="BOM_Indirect10"/>
      <sheetName val="Form_A_1_II_210"/>
      <sheetName val="6_GSTG_PIPING10"/>
      <sheetName val="NONS__2,18910"/>
      <sheetName val="Reference_Table10"/>
      <sheetName val="CAL(1)_10"/>
      <sheetName val="member_design10"/>
      <sheetName val="soil_bearing_check10"/>
      <sheetName val="OCT_FDN10"/>
      <sheetName val="PRI_CIV10"/>
      <sheetName val="FOR_CIV10"/>
      <sheetName val="SUB_CIV10"/>
      <sheetName val="ANA_CIV10"/>
      <sheetName val="AUX_CIV10"/>
      <sheetName val="내역서_10"/>
      <sheetName val="hori__vessel(E-895)10"/>
      <sheetName val="2_310"/>
      <sheetName val="S_N10"/>
      <sheetName val="REF_ONLY10"/>
      <sheetName val="Loading_Table10"/>
      <sheetName val="SUMMARY_(0)11"/>
      <sheetName val="Pipelines_ASAB_I-II_Brownfiel10"/>
      <sheetName val="Vent_Line_size10"/>
      <sheetName val="input_data-09090810"/>
      <sheetName val="Expenses_per_Cost_Code_10"/>
      <sheetName val="MH_Estimation_Guide10"/>
      <sheetName val="공사비_내역_(가)10"/>
      <sheetName val="HRG_BHN10"/>
      <sheetName val="Comp_Rate_10"/>
      <sheetName val="4_1구조설계10"/>
      <sheetName val="COMB_MNG&amp;STAFF_(ALL)__(2)10"/>
      <sheetName val="7_0_Crack_Check10"/>
      <sheetName val="축열조_기초10"/>
      <sheetName val="Fill_this_out_first___20"/>
      <sheetName val="Fill_this_out_first___21"/>
      <sheetName val="Data_110"/>
      <sheetName val="MEASURE_LIST10"/>
      <sheetName val="Don_gia10"/>
      <sheetName val="4-3LEVEL-5_epic_410"/>
      <sheetName val="Q5434_EQ_LIST10"/>
      <sheetName val="motor_power10"/>
      <sheetName val="Forecast_Drivers10"/>
      <sheetName val="Unit_Cost10"/>
      <sheetName val="Section_1~4(1)10"/>
      <sheetName val="Section_1~4_10"/>
      <sheetName val="Section_510"/>
      <sheetName val="Section_5_210"/>
      <sheetName val="Section_5_310"/>
      <sheetName val="Section_610"/>
      <sheetName val="Section_6_210"/>
      <sheetName val="Attachment_110"/>
      <sheetName val="Attachmenet_210"/>
      <sheetName val="Exchange_rates10"/>
      <sheetName val="COST-EST_LTI_P5C10"/>
      <sheetName val="SLEIPNER_-_ORMEN_LANGE10"/>
      <sheetName val="전기_BM_revA('090624)_xls10"/>
      <sheetName val="定额_(06)10"/>
      <sheetName val="96_129"/>
      <sheetName val="Analisa_HS10"/>
      <sheetName val="RAW_MATERIALS_10"/>
      <sheetName val="COST-PERSON-J_O_10"/>
      <sheetName val="Coeff_10"/>
      <sheetName val="Tie_Beam_GN9"/>
      <sheetName val="4_단락전류10"/>
      <sheetName val="system_&amp;_LOOK_UP_FUNC9"/>
      <sheetName val="[fdn_bm_pro_xls]기계공사비집계(珆꭭/10"/>
      <sheetName val="2-SITE_8"/>
      <sheetName val="BID_FORM8"/>
      <sheetName val="Form_of_Bid8"/>
      <sheetName val="Item_Dominan8"/>
      <sheetName val="INST_LIST8"/>
      <sheetName val="PCC_EAF8"/>
      <sheetName val="PCC_LF8"/>
      <sheetName val="4-Basic_Price8"/>
      <sheetName val="_fdn_bm_pro_xls_기계공사비집계(珆꭭_8"/>
      <sheetName val="MANPOWER_DIRECT_TRACKING8"/>
      <sheetName val="Timescaled_Data8"/>
      <sheetName val="Home_Office8"/>
      <sheetName val="Code_028"/>
      <sheetName val="Code_038"/>
      <sheetName val="Code_048"/>
      <sheetName val="Code_058"/>
      <sheetName val="Code_068"/>
      <sheetName val="Code_078"/>
      <sheetName val="Code_098"/>
      <sheetName val="4300_UTILITY_BLDG_(2)8"/>
      <sheetName val="Price_Breakdown(Building)8"/>
      <sheetName val="eq_data_????8"/>
      <sheetName val="자재집계_&amp;_총괄표8"/>
      <sheetName val="Finish_list8"/>
      <sheetName val="Engrg_Est8"/>
      <sheetName val="[fdn_bm_pro_xls]_fdn_bm_pro_x_9"/>
      <sheetName val="Dati_base8"/>
      <sheetName val="US_Inflation_Factors8"/>
      <sheetName val="Cover_Page8"/>
      <sheetName val="Unit__Price8"/>
      <sheetName val="eq_data_9"/>
      <sheetName val="eq_data__x9"/>
      <sheetName val="fdn_bm_pro_xls기계공사비집계(珆꭭8"/>
      <sheetName val="GASATAGG_XLS8"/>
      <sheetName val="page_1428"/>
      <sheetName val="InsertListDrawing_1_8"/>
      <sheetName val="BILL_Of_QUANTITIES8"/>
      <sheetName val="H_Satuan8"/>
      <sheetName val="Div26_-_Elect8"/>
      <sheetName val="2_4_1_Elec_BOQ8"/>
      <sheetName val="2_4_1_Inst_BOQ8"/>
      <sheetName val="PTF_Report8"/>
      <sheetName val="BEND_LOSS8"/>
      <sheetName val="6PILE__(돌출)8"/>
      <sheetName val="tabulación_final8"/>
      <sheetName val="예정공정표_(2)8"/>
      <sheetName val="ADMIN_TB-557066_00A8"/>
      <sheetName val="LABORATORY_TB-557091_00A8"/>
      <sheetName val="OME5_TB-557088-001_00A8"/>
      <sheetName val="OME4_TB-557087-001_00A8"/>
      <sheetName val="OME3_TB-557086-001_00A8"/>
      <sheetName val="CMB_EMTS_TB-557084_00A8"/>
      <sheetName val="SLCB_TB-557083-002_00B8"/>
      <sheetName val="PIB9_TB-557082-003_00B8"/>
      <sheetName val="PIB7_TB-557081-003_00B8"/>
      <sheetName val="PIB6_TB-557080-003_00B8"/>
      <sheetName val="PIB5_TB-557079-002_00B8"/>
      <sheetName val="PIB4_TB-557078-002_00B8"/>
      <sheetName val="PIB3_TB-557077-002_00B8"/>
      <sheetName val="CCB_TB-557075-001_00B8"/>
      <sheetName val="CCB_TB-557073-002_00B8"/>
      <sheetName val="CCB_TB-557072-001_00A8"/>
      <sheetName val="CCB_TB-557051_00B8"/>
      <sheetName val="Budget_Weight_Instructions_A8"/>
      <sheetName val="Basic_data8"/>
      <sheetName val="Isolasi_Luar_Dalam8"/>
      <sheetName val="Isolasi_Luar8"/>
      <sheetName val="EMPLOYMENT_CERTIFICATE8"/>
      <sheetName val="Salary_cer8"/>
      <sheetName val="Master_file8"/>
      <sheetName val="Line_dP"/>
      <sheetName val="Motor_Table"/>
      <sheetName val="_Input_"/>
      <sheetName val="Bend_fact_1"/>
      <sheetName val="E_1"/>
      <sheetName val="Unitwise_breakup"/>
      <sheetName val="rekap_c"/>
      <sheetName val="HARGA_MATERIAL"/>
      <sheetName val="BQ_Arsit"/>
      <sheetName val="An_HarSatPek"/>
      <sheetName val="Sat_Bah_&amp;_Up"/>
      <sheetName val="1_사업개요"/>
      <sheetName val="Site_Expenses"/>
      <sheetName val="Paint_-_Mat_Summ1"/>
      <sheetName val="Piling_&amp;_Tk_Fdn"/>
      <sheetName val="Data_Pembukaan_1_1"/>
      <sheetName val="Eq__Mobilization"/>
      <sheetName val="[fdn_bm_pro_xls]_fdn_bm_pro_x10"/>
      <sheetName val="[fdn_bm_pro_xls]_fdn_bm_pro_x11"/>
      <sheetName val="[fdn_bm_pro_xls]_fdn_bm_pro_x12"/>
      <sheetName val="eq_data__x005f_x005f_x005f_x0000__x005f_x005f_x01"/>
      <sheetName val="eq_data__x005f_x005f_x005f_x0000__x0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sheetData sheetId="237"/>
      <sheetData sheetId="238" refreshError="1"/>
      <sheetData sheetId="239" refreshError="1"/>
      <sheetData sheetId="240" refreshError="1"/>
      <sheetData sheetId="241"/>
      <sheetData sheetId="242" refreshError="1"/>
      <sheetData sheetId="243" refreshError="1"/>
      <sheetData sheetId="244" refreshError="1"/>
      <sheetData sheetId="245" refreshError="1"/>
      <sheetData sheetId="246"/>
      <sheetData sheetId="247"/>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refreshError="1"/>
      <sheetData sheetId="882" refreshError="1"/>
      <sheetData sheetId="883" refreshError="1"/>
      <sheetData sheetId="884" refreshError="1"/>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refreshError="1"/>
      <sheetData sheetId="1631" refreshError="1"/>
      <sheetData sheetId="1632" refreshError="1"/>
      <sheetData sheetId="1633"/>
      <sheetData sheetId="1634"/>
      <sheetData sheetId="1635"/>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sheetData sheetId="1646"/>
      <sheetData sheetId="1647"/>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sheetData sheetId="1730"/>
      <sheetData sheetId="1731"/>
      <sheetData sheetId="1732"/>
      <sheetData sheetId="1733"/>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sheetData sheetId="1792" refreshError="1"/>
      <sheetData sheetId="1793" refreshError="1"/>
      <sheetData sheetId="1794" refreshError="1"/>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refreshError="1"/>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sheetData sheetId="3764"/>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mpSpec"/>
      <sheetName val="Motor Rating"/>
      <sheetName val="INSTR"/>
      <sheetName val="Sheet2"/>
      <sheetName val="Sheet1"/>
      <sheetName val="PRO_A"/>
      <sheetName val="DWG"/>
      <sheetName val="ELEC_MCI"/>
      <sheetName val="MAIN"/>
      <sheetName val="INST_MCI"/>
      <sheetName val="MECH_MCI"/>
      <sheetName val="PRO"/>
      <sheetName val="h-013211-2"/>
      <sheetName val="영업소실적"/>
      <sheetName val="수량산출서"/>
      <sheetName val="eq_data"/>
      <sheetName val="Checks"/>
      <sheetName val="LOOKUP"/>
      <sheetName val="TIE-INS"/>
      <sheetName val="Graph (LGEN)"/>
      <sheetName val="out_prog"/>
      <sheetName val="선적schedule (2)"/>
      <sheetName val="정부노임단가"/>
      <sheetName val="환율"/>
      <sheetName val="Basic"/>
      <sheetName val="Conduit"/>
      <sheetName val="item I"/>
      <sheetName val="BQ List"/>
      <sheetName val="Instruction"/>
      <sheetName val="적용환율"/>
      <sheetName val="BM"/>
      <sheetName val="Motor_Rating"/>
      <sheetName val="Database"/>
      <sheetName val="SUMMARY"/>
      <sheetName val="할증 "/>
      <sheetName val="piping"/>
      <sheetName val="motor pump kw"/>
      <sheetName val="Wt of Mod."/>
      <sheetName val="Equipment"/>
      <sheetName val="look"/>
      <sheetName val="97 사업추정(WEKI)"/>
      <sheetName val="공사내역"/>
      <sheetName val="Total"/>
      <sheetName val="mhr"/>
      <sheetName val="mom"/>
      <sheetName val="mhrscaff"/>
      <sheetName val="ind"/>
      <sheetName val="TABLE2"/>
      <sheetName val="집계표"/>
      <sheetName val="금액내역서"/>
      <sheetName val="공사비_NDE"/>
      <sheetName val="E_Rate "/>
      <sheetName val="Lookup Table"/>
      <sheetName val="견적내역서"/>
      <sheetName val="PRO_DCI"/>
      <sheetName val="ASME B 36.10 M"/>
      <sheetName val="집계"/>
      <sheetName val="내역"/>
      <sheetName val="Basis"/>
      <sheetName val="수입"/>
      <sheetName val="표지"/>
      <sheetName val="A"/>
      <sheetName val="BM DATA SHEET"/>
      <sheetName val="Steam-Sys"/>
      <sheetName val="SILICATE"/>
      <sheetName val="견적기준"/>
      <sheetName val="DAT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Sheet1"/>
      <sheetName val="Sheet2"/>
      <sheetName val="Sheet3"/>
      <sheetName val="ELEC_DCI"/>
      <sheetName val="INST_DCI"/>
    </sheetNames>
    <sheetDataSet>
      <sheetData sheetId="0"/>
      <sheetData sheetId="1"/>
      <sheetData sheetId="2" refreshError="1"/>
      <sheetData sheetId="3"/>
      <sheetData sheetId="4"/>
      <sheetData sheetId="5"/>
      <sheetData sheetId="6"/>
      <sheetData sheetId="7"/>
      <sheetData sheetId="8"/>
      <sheetData sheetId="9" refreshError="1"/>
      <sheetData sheetId="1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brev-1"/>
      <sheetName val="abbrev-2"/>
      <sheetName val="ISBL"/>
      <sheetName val="OSBL"/>
      <sheetName val="TLOOP"/>
      <sheetName val="내역"/>
      <sheetName val="PumpSpec"/>
      <sheetName val="영업소실적"/>
      <sheetName val="대비"/>
      <sheetName val="eq_data"/>
      <sheetName val="Sheet1"/>
      <sheetName val="내역서"/>
      <sheetName val="sc0314 Index"/>
      <sheetName val="L V Separator"/>
      <sheetName val="CalcRel"/>
      <sheetName val="FR"/>
      <sheetName val="Summary"/>
      <sheetName val="DWTable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영업소실적"/>
      <sheetName val="Basic"/>
    </sheetNames>
    <sheetDataSet>
      <sheetData sheetId="0"/>
      <sheetData sheetId="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영업소실적"/>
      <sheetName val="손익차9월2"/>
      <sheetName val="eq_data"/>
      <sheetName val="TOTAL"/>
      <sheetName val="Basic"/>
    </sheetNames>
    <sheetDataSet>
      <sheetData sheetId="0"/>
      <sheetData sheetId="1" refreshError="1"/>
      <sheetData sheetId="2" refreshError="1"/>
      <sheetData sheetId="3" refreshError="1"/>
      <sheetData sheetId="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PumpSpec"/>
    </sheetNames>
    <sheetDataSet>
      <sheetData sheetId="0" refreshError="1"/>
      <sheetData sheetId="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조건(국내가)"/>
      <sheetName val="견적조건(PROPOSAL)"/>
      <sheetName val="Table"/>
      <sheetName val="DOMESTIC"/>
      <sheetName val="PIVOT"/>
      <sheetName val="SUMMARY"/>
      <sheetName val="Proposal"/>
      <sheetName val="PIVOT (2)"/>
      <sheetName val="SUMMARY (2)"/>
      <sheetName val="PUMP"/>
      <sheetName val="수량집계"/>
      <sheetName val="총괄집계표"/>
      <sheetName val="기본단가"/>
      <sheetName val="#2_일위대가목록"/>
      <sheetName val="BQ"/>
      <sheetName val="말뚝물량"/>
      <sheetName val="목록"/>
      <sheetName val="노임"/>
      <sheetName val="Sheet5"/>
      <sheetName val="General Data"/>
      <sheetName val="eq_data"/>
      <sheetName val="예산M12A"/>
      <sheetName val="노임단가"/>
      <sheetName val="PBS"/>
      <sheetName val="PumpSpec"/>
      <sheetName val="PIVOT_(2)"/>
      <sheetName val="SUMMARY_(2)"/>
      <sheetName val="General_Data"/>
      <sheetName val="sc0314 Index"/>
      <sheetName val="Sheet1"/>
      <sheetName val="영업소실적"/>
      <sheetName val="EQUIPMENT"/>
      <sheetName val="EQCOST_1"/>
      <sheetName val="내역"/>
      <sheetName val="CAT_5"/>
      <sheetName val="6,000"/>
      <sheetName val="CAL."/>
      <sheetName val="표지"/>
      <sheetName val="적용환율"/>
      <sheetName val="97 사업추정(WEKI)"/>
      <sheetName val="수량산출서"/>
      <sheetName val="FSC_Cost"/>
      <sheetName val="Sheet4"/>
      <sheetName val="Basic"/>
      <sheetName val="test1"/>
      <sheetName val="Concrete_Works"/>
      <sheetName val="Earth_Zim"/>
      <sheetName val="도"/>
      <sheetName val="Proposal?_x0008_"/>
      <sheetName val="Proposal?."/>
      <sheetName val="IO per P&amp;ID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
      <sheetName val="方法"/>
      <sheetName val="ブランクフォーム"/>
      <sheetName val="INST LIST"/>
      <sheetName val="項目抜き出し"/>
    </sheetNames>
    <definedNames>
      <definedName name="GoForm"/>
      <definedName name="GoSpec"/>
      <definedName name="GoTop"/>
    </definedNames>
    <sheetDataSet>
      <sheetData sheetId="0" refreshError="1"/>
      <sheetData sheetId="1" refreshError="1"/>
      <sheetData sheetId="2" refreshError="1"/>
      <sheetData sheetId="3" refreshError="1"/>
      <sheetData sheetId="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013211-2"/>
      <sheetName val="ACTIVITY"/>
      <sheetName val="eq_data"/>
      <sheetName val="Compare-1"/>
      <sheetName val="GeneralNote"/>
      <sheetName val="INSTR"/>
      <sheetName val="영업소실적"/>
      <sheetName val="Proposal"/>
      <sheetName val="MAIN"/>
      <sheetName val="PRO_A"/>
      <sheetName val="PRO"/>
      <sheetName val="수입"/>
      <sheetName val="ELEC_DCI"/>
      <sheetName val="INST_DCI"/>
      <sheetName val="PumpSpec"/>
      <sheetName val="95삼성급(본사)"/>
      <sheetName val="Sheet1"/>
      <sheetName val="Sheet2"/>
      <sheetName val="E_Rate "/>
    </sheetNames>
    <definedNames>
      <definedName name="GoForm"/>
      <definedName name="GoSpec"/>
      <definedName name="GoTop"/>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3003C"/>
      <sheetName val="FIL-3003R"/>
      <sheetName val="정부노임단가"/>
      <sheetName val="FIL-3003CV"/>
    </sheetNames>
    <definedNames>
      <definedName name="GoList"/>
      <definedName name="MENU"/>
    </definedNames>
    <sheetDataSet>
      <sheetData sheetId="0"/>
      <sheetData sheetId="1"/>
      <sheetData sheetId="2" refreshError="1"/>
      <sheetData sheetId="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Concrete"/>
      <sheetName val="CCP,LEYES, Y DEC."/>
      <sheetName val="GeneralNote"/>
      <sheetName val="eq_data"/>
      <sheetName val="BM DATA SHEET"/>
      <sheetName val="D-3503"/>
      <sheetName val="TTL"/>
      <sheetName val="Look-Up"/>
      <sheetName val="PumpSpec"/>
      <sheetName val="내역서"/>
      <sheetName val="차액보증"/>
      <sheetName val="다이꾸"/>
      <sheetName val="경비2내역"/>
      <sheetName val="주관사업"/>
      <sheetName val="Sheet2"/>
      <sheetName val="Sheet1"/>
      <sheetName val="영업소실적"/>
      <sheetName val="h-013211-2"/>
      <sheetName val="DATA"/>
    </sheetNames>
    <definedNames>
      <definedName name="GoList"/>
      <definedName name="MENU"/>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G. CONDITION"/>
      <sheetName val="견적 조건"/>
      <sheetName val="Table"/>
      <sheetName val="BQ"/>
      <sheetName val="가설전기"/>
      <sheetName val="Pivot"/>
      <sheetName val="SUMMARY"/>
      <sheetName val="OCT.FDN"/>
      <sheetName val="공사비 내역 (가)"/>
      <sheetName val="계산근거"/>
      <sheetName val="Proposal"/>
      <sheetName val="일위대가"/>
      <sheetName val="Sheet1"/>
      <sheetName val="정부노임단가"/>
      <sheetName val="도급양식"/>
      <sheetName val="ZA0092-E0"/>
      <sheetName val="DEG__CONDITION"/>
      <sheetName val="견적_조건"/>
      <sheetName val="OCT_FDN"/>
      <sheetName val="공사비_내역_(가)"/>
      <sheetName val="UOP 508 PG 2-9"/>
      <sheetName val="cable"/>
      <sheetName val="D-3503"/>
      <sheetName val="GEN PROG"/>
      <sheetName val="TOTAL MHRS"/>
      <sheetName val="REG-BASIS"/>
      <sheetName val="TENDER PROG."/>
      <sheetName val="PROC.PROG"/>
      <sheetName val="DET.ENGG.PROG"/>
      <sheetName val="CAL."/>
      <sheetName val="회사99"/>
      <sheetName val="예산M12A"/>
      <sheetName val="Filter Spec."/>
      <sheetName val="조도계산서 (도서)"/>
      <sheetName val="Y-WORK"/>
      <sheetName val="BQ?월23일 10시40분)."/>
      <sheetName val="UOP_508_PG_2-9"/>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수주내역"/>
      <sheetName val="공사비_NDE"/>
      <sheetName val="세금자료"/>
      <sheetName val="본지점중"/>
      <sheetName val="Units"/>
      <sheetName val="Instructions"/>
      <sheetName val="정부노임단가"/>
      <sheetName val="개시대사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WDOWN"/>
      <sheetName val="정부노임단가"/>
      <sheetName val="Units"/>
      <sheetName val="Instructions"/>
    </sheetNames>
    <sheetDataSet>
      <sheetData sheetId="0" refreshError="1"/>
      <sheetData sheetId="1" refreshError="1"/>
      <sheetData sheetId="2" refreshError="1"/>
      <sheetData sheetId="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Description"/>
      <sheetName val="Process"/>
      <sheetName val="Mechanical"/>
      <sheetName val="Elec"/>
      <sheetName val="Civil"/>
      <sheetName val="ProcurementService"/>
      <sheetName val="작성시 유의사항"/>
      <sheetName val="INSTR"/>
      <sheetName val="OUT"/>
      <sheetName val="IT-BAT"/>
      <sheetName val="FC-06"/>
      <sheetName val="UTIL(SORT)"/>
      <sheetName val="공통가설"/>
      <sheetName val="SIZING"/>
      <sheetName val="PRC-SUM"/>
      <sheetName val="PRO_DCI"/>
      <sheetName val="Units"/>
      <sheetName val="Instructions"/>
      <sheetName val="Engineering_WBS_em심화과정송부용_수정"/>
      <sheetName val="영업소실적"/>
      <sheetName val="BOM"/>
      <sheetName val="eq_data"/>
      <sheetName val="설계예산서1"/>
      <sheetName val="names"/>
      <sheetName val="#REF"/>
      <sheetName val="간접비 총괄표"/>
      <sheetName val="Factor"/>
      <sheetName val="Mech CIF"/>
      <sheetName val="BOQ"/>
      <sheetName val="RIE"/>
      <sheetName val="RATIO"/>
      <sheetName val="내역"/>
      <sheetName val="실행내역서 "/>
      <sheetName val="L V Separator"/>
      <sheetName val="본지점중"/>
      <sheetName val="Piping Design Data"/>
    </sheetNames>
    <definedNames>
      <definedName name="main"/>
    </defined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CONCRETE"/>
      <sheetName val="공사비예산서(토목분)"/>
      <sheetName val="DRUM"/>
      <sheetName val="CAL(1)."/>
      <sheetName val="piping"/>
      <sheetName val="부하계산서"/>
      <sheetName val="Instruction"/>
      <sheetName val="전기"/>
      <sheetName val="Cost bd-&quot;A&quot;"/>
      <sheetName val="BACK DATA"/>
      <sheetName val="내역서"/>
      <sheetName val="BID"/>
      <sheetName val="Sheet17"/>
      <sheetName val="Sheet1"/>
      <sheetName val="가상data"/>
      <sheetName val="BM DATA SHEET"/>
      <sheetName val="LINE_LIST"/>
      <sheetName val="MFAB"/>
      <sheetName val="MFRT"/>
      <sheetName val="MPKG"/>
      <sheetName val="MPRD"/>
      <sheetName val="정부노임단가"/>
      <sheetName val="전차선로 물량표"/>
      <sheetName val="BQ"/>
      <sheetName val="wagerate"/>
      <sheetName val="Pipe Classes"/>
      <sheetName val="Units"/>
      <sheetName val="Instructions"/>
      <sheetName val="#REF"/>
      <sheetName val="POL6차-PIPING"/>
      <sheetName val="ºÎÇÏ°è»ê¼­"/>
      <sheetName val="°ø»çºñ¿¹»ê¼­(Åä¸ñºÐ)"/>
      <sheetName val="Àü±â"/>
      <sheetName val="³»¿ª¼­"/>
      <sheetName val="°¡»ódata"/>
      <sheetName val="DATA"/>
      <sheetName val="BSD (2)"/>
      <sheetName val="WORK-VOL"/>
      <sheetName val="연돌일위집계"/>
      <sheetName val="Table"/>
      <sheetName val="PBS"/>
      <sheetName val="동결보온"/>
      <sheetName val="JUCK"/>
      <sheetName val="LOOKUP"/>
      <sheetName val="paint mat"/>
      <sheetName val="Testing"/>
      <sheetName val="MEXICO-C"/>
      <sheetName val="factor"/>
      <sheetName val="부하(성남)"/>
      <sheetName val="CMTD"/>
      <sheetName val="Macro(차단기)"/>
      <sheetName val="001"/>
      <sheetName val="1공구(을)"/>
      <sheetName val="MINA BM"/>
      <sheetName val="MT_C"/>
      <sheetName val="FEXS"/>
      <sheetName val="배수공 주요자재 집계표"/>
      <sheetName val="다이꾸"/>
      <sheetName val="LABOUR DISTRIBUTION"/>
      <sheetName val="할증 "/>
      <sheetName val="설계조건"/>
      <sheetName val="WIND-EQ"/>
      <sheetName val="CALC"/>
      <sheetName val="③赤紙(日文)"/>
      <sheetName val="견적기준"/>
      <sheetName val="General Data"/>
      <sheetName val="2월가격"/>
      <sheetName val="Default_Magics"/>
      <sheetName val="BSD _2_"/>
      <sheetName val="산근"/>
      <sheetName val="SAN"/>
      <sheetName val="Spread_sht"/>
      <sheetName val="PLAN_FEB97"/>
      <sheetName val="BQ(실행)"/>
      <sheetName val="Macro2"/>
      <sheetName val="적용율"/>
      <sheetName val="조도계산서 (도서)"/>
      <sheetName val="FIRE FIGHTING"/>
      <sheetName val="Form B-1BOP"/>
      <sheetName val="Form B-2TANK"/>
      <sheetName val="TYPE-B 평균H"/>
      <sheetName val="BM"/>
      <sheetName val="CONS_"/>
      <sheetName val="MOTOR"/>
      <sheetName val="Proposal"/>
      <sheetName val="Requirement(Work Crew)"/>
      <sheetName val="MATERIALS"/>
      <sheetName val="예산M12A"/>
      <sheetName val="표지"/>
      <sheetName val="EQUIPMENT"/>
      <sheetName val="WORKING"/>
      <sheetName val="BQ List MNHRS"/>
      <sheetName val="PipWT"/>
      <sheetName val="Y-WORK"/>
      <sheetName val="견적조건"/>
      <sheetName val="BQ_Equip_Pipe"/>
      <sheetName val="실행내역"/>
      <sheetName val="C"/>
      <sheetName val="deviation"/>
      <sheetName val="BOQ"/>
      <sheetName val="Hoja3"/>
      <sheetName val="Hoja2"/>
      <sheetName val="IBL-C"/>
      <sheetName val="현금"/>
      <sheetName val="개요"/>
      <sheetName val="단가비교"/>
      <sheetName val="터널조도"/>
      <sheetName val="MT-C"/>
      <sheetName val="CIVIL WORK"/>
      <sheetName val="INSTRUMENT"/>
      <sheetName val="INSTAL WORK"/>
      <sheetName val="TABLE-1"/>
      <sheetName val="INSULATION"/>
      <sheetName val="CONS."/>
      <sheetName val="tank3"/>
      <sheetName val="eq_data"/>
      <sheetName val="LEGEND"/>
      <sheetName val="Code_Magics"/>
      <sheetName val="CalCu"/>
      <sheetName val="당초"/>
      <sheetName val="G"/>
      <sheetName val="Sheet4"/>
      <sheetName val="TKOFF"/>
      <sheetName val="steam table"/>
      <sheetName val="Staff"/>
      <sheetName val="상반기손익차2총괄"/>
      <sheetName val="miscsettings"/>
      <sheetName val="COVER"/>
      <sheetName val="INST LIST"/>
      <sheetName val="Rules"/>
      <sheetName val="CODE"/>
      <sheetName val="INST_DCI"/>
      <sheetName val="HVAC_DCI"/>
      <sheetName val="PIPE_DCI"/>
      <sheetName val="PRO_DCI"/>
      <sheetName val="LV CDB"/>
      <sheetName val="Motor DB"/>
      <sheetName val="Code_INTools"/>
      <sheetName val="공사비 내역 (가)"/>
      <sheetName val="Seals"/>
      <sheetName val="List"/>
      <sheetName val="Elect. Works for HVAC (Price C)"/>
      <sheetName val="mesc"/>
      <sheetName val="CBL_OD"/>
      <sheetName val="Material"/>
      <sheetName val="Mechanical Information"/>
      <sheetName val="Library"/>
      <sheetName val="D1X"/>
      <sheetName val="D1.1"/>
      <sheetName val="Bidder Check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ssels"/>
      <sheetName val="Aircoolers"/>
      <sheetName val="Pumps "/>
      <sheetName val="Auxiliaries"/>
      <sheetName val="AGITATOR"/>
      <sheetName val="eq_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9901사업부배부"/>
      <sheetName val="Sheet1"/>
      <sheetName val="계정실적"/>
      <sheetName val="계정보고"/>
      <sheetName val="계정보고 (2)"/>
      <sheetName val="99년1월추정실적 (2)"/>
      <sheetName val="요약배부"/>
      <sheetName val="요약배부 (보고)"/>
      <sheetName val="요약배부 (보고) (2)"/>
      <sheetName val="12월계정별 (2)"/>
      <sheetName val="배부부별"/>
      <sheetName val="배부비목"/>
      <sheetName val="임대원가"/>
      <sheetName val="기타매출"/>
      <sheetName val="기타매출 (2)"/>
      <sheetName val="기타매출 (3)"/>
      <sheetName val="기타매출 (4)"/>
      <sheetName val="영업소실적"/>
      <sheetName val="새마을금고"/>
      <sheetName val="Module1"/>
      <sheetName val="참고인원"/>
      <sheetName val="INSTR"/>
      <sheetName val="주관사업"/>
      <sheetName val="eq_data"/>
      <sheetName val="95삼성급(본사)"/>
      <sheetName val="mom"/>
      <sheetName val="carboline price"/>
      <sheetName val="Piping Design Data"/>
      <sheetName val="PipW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10월추정"/>
      <sheetName val="2001년매출추정실적"/>
      <sheetName val="Sheet3"/>
      <sheetName val="Sheet2"/>
      <sheetName val="C701ACT"/>
      <sheetName val="영업소실적"/>
      <sheetName val="의정부문예회관변경내역"/>
      <sheetName val="현금"/>
      <sheetName val="예산서"/>
      <sheetName val="충주"/>
      <sheetName val="OE"/>
      <sheetName val="D040416"/>
      <sheetName val="99년하반기"/>
      <sheetName val="97 사업추정(WEKI)"/>
      <sheetName val="우수"/>
      <sheetName val="태화42 "/>
      <sheetName val="97사업계"/>
      <sheetName val="PRO_DC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INSTR"/>
      <sheetName val="공사비_NDE"/>
      <sheetName val="TOEC"/>
      <sheetName val="ELEC_DCI"/>
      <sheetName val="INST_DCI"/>
      <sheetName val="cover"/>
      <sheetName val="A"/>
      <sheetName val="OUT"/>
      <sheetName val="영업소실적"/>
      <sheetName val="수입"/>
      <sheetName val="직원동원계획"/>
      <sheetName val="CONTROL-100"/>
      <sheetName val="PRO_A"/>
      <sheetName val="ELEC_MCI"/>
      <sheetName val="MAIN"/>
      <sheetName val="INST_MCI"/>
      <sheetName val="MECH_MCI"/>
      <sheetName val="PRO"/>
      <sheetName val="General Data"/>
      <sheetName val="PRICE COMP"/>
      <sheetName val="본지점중"/>
      <sheetName val="A(Rev.3)"/>
      <sheetName val="Sheet1"/>
      <sheetName val="h-013211-2"/>
      <sheetName val="IT-BAT"/>
      <sheetName val="WORKER"/>
      <sheetName val="crude.SLAB RE-bar"/>
      <sheetName val="ACTDATA"/>
      <sheetName val="환율표"/>
      <sheetName val="7.6.3(B) UG Piping"/>
      <sheetName val="fdn_bm_pro"/>
      <sheetName val="static.cal"/>
      <sheetName val="ANX3A65"/>
      <sheetName val="Lup"/>
      <sheetName val="BOQ0822"/>
      <sheetName val="PRICE LIST"/>
      <sheetName val="Information"/>
      <sheetName val="인건비"/>
      <sheetName val="PipWT"/>
      <sheetName val="Piping Design Data"/>
      <sheetName val="97 사업추정(WEKI)"/>
      <sheetName val="BCPAB"/>
      <sheetName val="Sheet5"/>
      <sheetName val="IBASE"/>
      <sheetName val="Feuil2"/>
      <sheetName val="Tipo Terzi"/>
      <sheetName val="노임"/>
      <sheetName val="OFFER RATE"/>
      <sheetName val="Job Data"/>
      <sheetName val="투입실적"/>
      <sheetName val="총괄표"/>
      <sheetName val="내역(한신APT)"/>
      <sheetName val="제품현황"/>
      <sheetName val="Preface"/>
      <sheetName val="Source"/>
      <sheetName val="작성기준"/>
      <sheetName val="ANALYSER"/>
      <sheetName val="ASME B 36.10 M"/>
      <sheetName val="Summary 2002"/>
      <sheetName val="내역서"/>
      <sheetName val="품셈 "/>
      <sheetName val="PAINT"/>
      <sheetName val="방화도료"/>
      <sheetName val="가도공"/>
      <sheetName val="TABLE2-2 OSBL-(SITE PREP)"/>
      <sheetName val="98TSON4A"/>
      <sheetName val="Contents"/>
      <sheetName val="REINF."/>
      <sheetName val="SKETCH"/>
      <sheetName val="LOADS"/>
      <sheetName val="boq"/>
      <sheetName val="PAGE 1"/>
      <sheetName val="_생산성_분석_체계_절차.xlsx"/>
      <sheetName val="General_Data"/>
      <sheetName val="PRICE_COMP"/>
      <sheetName val="A(Rev_3)"/>
      <sheetName val="단가비교(TOTAL)"/>
      <sheetName val="General_Data1"/>
      <sheetName val="PRICE_COMP1"/>
      <sheetName val="A(Rev_3)1"/>
      <sheetName val="cable"/>
      <sheetName val="pri-com"/>
      <sheetName val="견적의뢰"/>
      <sheetName val="기준"/>
      <sheetName val="CAL"/>
      <sheetName val="BQ List"/>
      <sheetName val="노임단가"/>
      <sheetName val="PRC-SUM"/>
      <sheetName val="Y-WORK"/>
      <sheetName val="대공종"/>
      <sheetName val="전기일위대가"/>
    </sheetNames>
    <sheetDataSet>
      <sheetData sheetId="0"/>
      <sheetData sheetId="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TR"/>
      <sheetName val="IT-P"/>
      <sheetName val="SW6_CBE"/>
      <sheetName val="IT-P1"/>
      <sheetName val="IT-BAT"/>
      <sheetName val="Cover"/>
      <sheetName val="Pipe &amp; Fitting"/>
      <sheetName val="Tube &amp; Fitting"/>
      <sheetName val="Cable Tray"/>
      <sheetName val="Elec Conn"/>
      <sheetName val="cable"/>
      <sheetName val="Junction Box"/>
      <sheetName val="Support &amp; Misc."/>
      <sheetName val="IT_BAT"/>
      <sheetName val="9-1차이내역"/>
      <sheetName val="목록"/>
      <sheetName val="중기"/>
      <sheetName val="화재 탐지 설비"/>
      <sheetName val="BQ_Utl_Off"/>
      <sheetName val="Proposal"/>
      <sheetName val=" 갑지"/>
      <sheetName val="RFP002"/>
      <sheetName val="RFP003E"/>
      <sheetName val="터널조도"/>
      <sheetName val="견적집계"/>
      <sheetName val="자재단가"/>
      <sheetName val="영업소실적"/>
      <sheetName val="본지점중"/>
      <sheetName val="일위대가"/>
      <sheetName val="Sheet5"/>
      <sheetName val="INCHON"/>
      <sheetName val="INSTR"/>
      <sheetName val="BACK DATA"/>
      <sheetName val="소화실적"/>
      <sheetName val="맨홀수량산출"/>
      <sheetName val="#REF"/>
      <sheetName val="일위"/>
      <sheetName val="sheet1"/>
      <sheetName val="노임단가"/>
      <sheetName val="Hauptdaten"/>
      <sheetName val="원가계산서"/>
      <sheetName val="TTL"/>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Lumen"/>
      <sheetName val="Data Sheet"/>
      <sheetName val="WE'T"/>
      <sheetName val="BREAKDOWN(철거설치)"/>
      <sheetName val="뜃맟뭁돽띿맟?-BLDG"/>
      <sheetName val="2공구산출내역"/>
      <sheetName val="일위대가목차"/>
      <sheetName val="Pipe_&amp;_Fitting"/>
      <sheetName val="Tube_&amp;_Fitting"/>
      <sheetName val="Cable_Tray"/>
      <sheetName val="Elec_Conn"/>
      <sheetName val="Junction_Box"/>
      <sheetName val="Support_&amp;_Misc_"/>
      <sheetName val="화재_탐지_설비"/>
      <sheetName val="OUT"/>
      <sheetName val="eq_data"/>
      <sheetName val="unit 4"/>
      <sheetName val="노임"/>
      <sheetName val="단가비교"/>
      <sheetName val="입력값"/>
      <sheetName val="MixBed"/>
      <sheetName val="실행내역서_DCU_"/>
      <sheetName val="PLC B-M"/>
      <sheetName val="WOC95467"/>
      <sheetName val="DANGA"/>
      <sheetName val="LINE,UNIT 구분"/>
      <sheetName val="계측"/>
      <sheetName val="가열로SW"/>
      <sheetName val="내역서"/>
      <sheetName val="장비종합부표"/>
      <sheetName val="집계표_식재"/>
      <sheetName val="부표"/>
      <sheetName val="작업년월"/>
      <sheetName val="세부내역"/>
      <sheetName val="총괄표양식"/>
      <sheetName val="차량운영비"/>
      <sheetName val="E_Rate PM"/>
      <sheetName val="A-4"/>
      <sheetName val="PRO_DCI"/>
      <sheetName val="IBASE"/>
      <sheetName val="NC(공사)입력"/>
      <sheetName val="2001년 예산"/>
      <sheetName val="RECIMAKE"/>
      <sheetName val="뜃맟뭁돽띿맟_-BLDG"/>
      <sheetName val="DRUM"/>
      <sheetName val="Summary Sheets"/>
      <sheetName val="DATA"/>
      <sheetName val="TOTAL 구매 내역"/>
      <sheetName val="10공구일위"/>
      <sheetName val="실행철강하도"/>
      <sheetName val="9GNG운반"/>
      <sheetName val="Cover sheet"/>
      <sheetName val="Q-7100-001"/>
      <sheetName val="summary"/>
      <sheetName val="MATERIAL BALANCE"/>
      <sheetName val="할증 "/>
      <sheetName val="_갑지"/>
      <sheetName val="BACK_DATA"/>
      <sheetName val="실행내역서 "/>
      <sheetName val="Total"/>
      <sheetName val="거래처계좌"/>
      <sheetName val="투찰내역"/>
      <sheetName val="1,2공구원가계산서"/>
      <sheetName val="1공구산출내역서"/>
      <sheetName val="을지"/>
      <sheetName val="Hoja3"/>
      <sheetName val="Hoja2"/>
      <sheetName val="B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요물량분석"/>
      <sheetName val="Concrete물량분석"/>
      <sheetName val="BIDBase"/>
      <sheetName val="비교1"/>
      <sheetName val="비교2"/>
      <sheetName val="비교3"/>
      <sheetName val="BM(2)_Humepipe"/>
      <sheetName val="BM(3)_Total(CVnSTR)"/>
      <sheetName val="U00"/>
      <sheetName val="U01"/>
      <sheetName val="U02"/>
      <sheetName val="U03"/>
      <sheetName val="U06"/>
      <sheetName val="U07"/>
      <sheetName val="U08"/>
      <sheetName val="U09"/>
      <sheetName val="U10"/>
      <sheetName val="U11"/>
      <sheetName val="U13"/>
      <sheetName val="U31_Base"/>
      <sheetName val="U21"/>
      <sheetName val="U25"/>
      <sheetName val="U26"/>
      <sheetName val="U29"/>
      <sheetName val="U30"/>
      <sheetName val="U40"/>
      <sheetName val="U42"/>
      <sheetName val="U43"/>
      <sheetName val="U45"/>
      <sheetName val="U47"/>
      <sheetName val="U48"/>
      <sheetName val="U60"/>
      <sheetName val="Circular18"/>
      <sheetName val="U47U48_Pway"/>
      <sheetName val="U25_SWI"/>
      <sheetName val="U20_GTG"/>
      <sheetName val="SPrep_MainONLY"/>
      <sheetName val="SPrep_E3TK(R264)"/>
      <sheetName val="SPrep_E4TK(R187)"/>
      <sheetName val="SPrep_E4TK (R233)"/>
      <sheetName val="U43_Opt-Rmote"/>
      <sheetName val="Category"/>
      <sheetName val="SortedList"/>
      <sheetName val="eq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 2 BM list"/>
      <sheetName val="7.3.3.B"/>
      <sheetName val="7.3.3.B_Attachment"/>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Sorted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인원계획"/>
      <sheetName val="공사비_NDE"/>
      <sheetName val="POL6차-PIPING"/>
      <sheetName val="INPUT DATA"/>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
      <sheetName val="t"/>
      <sheetName val="os"/>
      <sheetName val="Sheet1"/>
      <sheetName val="Sheet2"/>
      <sheetName val="INPUT DATA"/>
      <sheetName val="INSTR"/>
      <sheetName val="IT-BAT"/>
      <sheetName val="eq_data"/>
      <sheetName val="경제지표"/>
      <sheetName val="세금자료"/>
      <sheetName val="SortedLis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CON"/>
      <sheetName val="INPUT DATA"/>
      <sheetName val="INPUT COST"/>
      <sheetName val="CSTSUM"/>
      <sheetName val="TOTAL"/>
      <sheetName val="SUBTOTAL_FWBS1000"/>
      <sheetName val="DETAIL_FWBS1000"/>
      <sheetName val="SUBTOTAL_FWBS2000"/>
      <sheetName val="DETAIL_FWBS2000"/>
      <sheetName val="SUBTOTAL_FWBS3000"/>
      <sheetName val="DETAIL_FWBS3000"/>
      <sheetName val="SUBTOTAL_FWBS_ADD"/>
      <sheetName val="DETAIL_FWBS_ADD"/>
      <sheetName val="Dialog2"/>
      <sheetName val="Dialog3"/>
      <sheetName val="Module1"/>
      <sheetName val="Module2"/>
      <sheetName val="Module8"/>
      <sheetName val="COPY DATA (Neglect)"/>
      <sheetName val="Standardform_Neglect"/>
      <sheetName val="단가정보"/>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LV CDB"/>
      <sheetName val="Motor DB"/>
      <sheetName val="eq_data"/>
      <sheetName val="steel data sheet"/>
      <sheetName val="영업소실적"/>
      <sheetName val="Sheet1"/>
      <sheetName val="rate"/>
      <sheetName val="L V Separator"/>
      <sheetName val="INSTR"/>
      <sheetName val="BM-Total-FWBS-EPSCC1-LR1"/>
      <sheetName val="Cover"/>
      <sheetName val="TIP-NOZZLE"/>
      <sheetName val="Summary"/>
      <sheetName val="HVAC"/>
      <sheetName val="WIND"/>
      <sheetName val="TOEC"/>
      <sheetName val="노무비단가"/>
      <sheetName val="Compressors"/>
      <sheetName val="실행내역"/>
      <sheetName val="OUT"/>
    </sheetNames>
    <sheetDataSet>
      <sheetData sheetId="0" refreshError="1"/>
      <sheetData sheetId="1" refreshError="1"/>
      <sheetData sheetId="2"/>
      <sheetData sheetId="3"/>
      <sheetData sheetId="4" refreshError="1"/>
      <sheetData sheetId="5"/>
      <sheetData sheetId="6" refreshError="1"/>
      <sheetData sheetId="7"/>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OQ_Summary"/>
      <sheetName val="BOQ_HVAC &amp; Plumbing"/>
      <sheetName val="h-013211-2"/>
      <sheetName val="경제지표"/>
      <sheetName val="세금자료"/>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수입"/>
      <sheetName val="산근"/>
      <sheetName val="h-013211-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인원계획"/>
      <sheetName val="공사비_NDE"/>
      <sheetName val="POL6차-PIPING"/>
      <sheetName val="h-013211-2"/>
      <sheetName val="공사비 내역 (가)"/>
      <sheetName val="Sheet1"/>
      <sheetName val="INPUT DATA"/>
      <sheetName val="산근"/>
      <sheetName val="BOJUNGGM"/>
      <sheetName val="정부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A"/>
      <sheetName val="영업소실적"/>
      <sheetName val="사업부배부B"/>
      <sheetName val="사업부별실적A"/>
      <sheetName val="사업부별실적B"/>
      <sheetName val="계정별실적"/>
      <sheetName val="분기별계획"/>
      <sheetName val="임대원가"/>
      <sheetName val="관리비 추정"/>
      <sheetName val="예산초과내역"/>
      <sheetName val="해외인원추이"/>
      <sheetName val="배부비교"/>
      <sheetName val="상반기손익차2총괄"/>
      <sheetName val="BEND LOSS"/>
      <sheetName val="부표"/>
      <sheetName val="장비종합부표"/>
      <sheetName val="도급양식"/>
      <sheetName val="접대비명세서"/>
      <sheetName val="C급보 "/>
      <sheetName val="Sheet1"/>
      <sheetName val="환율"/>
      <sheetName val="6호기"/>
      <sheetName val="N賃率-職"/>
      <sheetName val="간접비 총괄표"/>
      <sheetName val="할증 "/>
      <sheetName val="배부961"/>
      <sheetName val="b_balju-단가단가단가"/>
      <sheetName val="패널"/>
      <sheetName val="세금자료"/>
      <sheetName val="주관사업"/>
      <sheetName val="수입"/>
      <sheetName val="노임단가"/>
      <sheetName val="공사내역"/>
      <sheetName val="노무비"/>
      <sheetName val="물가대비표"/>
      <sheetName val="단가산출"/>
      <sheetName val="7단가"/>
      <sheetName val="70%"/>
      <sheetName val="일위대가(건축)"/>
      <sheetName val="공사비_NDE"/>
      <sheetName val="견적서을"/>
      <sheetName val="설계명세서"/>
      <sheetName val="품셈표"/>
      <sheetName val="DATE"/>
      <sheetName val="2.1.1"/>
      <sheetName val="첨1.4"/>
      <sheetName val="첨1.5"/>
      <sheetName val="첨1.3"/>
      <sheetName val="2공구산출내역"/>
      <sheetName val="내역서"/>
      <sheetName val="실행예산SHEET도장재검토"/>
      <sheetName val="C3"/>
      <sheetName val="예산내역"/>
      <sheetName val="총괄수지표"/>
      <sheetName val="Cover"/>
      <sheetName val="매각(6)"/>
      <sheetName val="잡설비내역"/>
      <sheetName val="일위목록"/>
      <sheetName val="요율"/>
      <sheetName val="SIMULATION"/>
      <sheetName val="#REF"/>
      <sheetName val="도장시공집계"/>
      <sheetName val="가로등내역서"/>
      <sheetName val="NPC500"/>
      <sheetName val="부표총괄"/>
      <sheetName val="경제지표"/>
      <sheetName val="Sheet2"/>
      <sheetName val="PI"/>
      <sheetName val="Back up"/>
      <sheetName val="LOOKUP"/>
      <sheetName val="수주추정"/>
      <sheetName val="Bond Fee"/>
      <sheetName val="9-1차이내역"/>
      <sheetName val="eq_data"/>
      <sheetName val="산근"/>
      <sheetName val="97 사업추정(WEKI)"/>
      <sheetName val="코드목록(시스템담당용)"/>
      <sheetName val="1호인버트수량"/>
      <sheetName val="외화"/>
      <sheetName val="품셈"/>
      <sheetName val="노임단가산출근거"/>
      <sheetName val="DAN"/>
      <sheetName val="백호우계수"/>
      <sheetName val="정산표2"/>
      <sheetName val="h-013211-2"/>
      <sheetName val="PumpSpec"/>
      <sheetName val="손익차9월2"/>
      <sheetName val="입력"/>
      <sheetName val="연돌일위집계"/>
      <sheetName val="RENUN"/>
      <sheetName val="당초"/>
      <sheetName val="95삼성급(본사)"/>
      <sheetName val="CAT_5"/>
      <sheetName val="자재표"/>
      <sheetName val="견적서"/>
      <sheetName val="집계표"/>
      <sheetName val="노임9월"/>
      <sheetName val="가도공"/>
      <sheetName val="도기류"/>
      <sheetName val="전선 및 전선관"/>
      <sheetName val="INSTR"/>
      <sheetName val="Piping(Methanol)"/>
      <sheetName val="공사비 내역 (가)"/>
      <sheetName val="인건비"/>
      <sheetName val="관리비_추정"/>
      <sheetName val="공사자료입력"/>
      <sheetName val="BEND_LOSS"/>
      <sheetName val="C급보_"/>
      <sheetName val="간접비_총괄표"/>
      <sheetName val="할증_"/>
      <sheetName val="2_1_1"/>
      <sheetName val="첨1_4"/>
      <sheetName val="첨1_5"/>
      <sheetName val="첨1_3"/>
      <sheetName val="Back_up"/>
      <sheetName val="Bond_Fee"/>
      <sheetName val="97_사업추정(WEKI)"/>
      <sheetName val="자재단가"/>
      <sheetName val="전선_및_전선관"/>
      <sheetName val="ANALYSER"/>
      <sheetName val="3.건축(현장안)"/>
      <sheetName val="투입실적"/>
      <sheetName val="CBE-VSL"/>
      <sheetName val="member design"/>
      <sheetName val="working load at the btm ft."/>
      <sheetName val="soil bearing check"/>
      <sheetName val="육상토목 견적대비표-Rev.0(13.07.03).xlsx"/>
      <sheetName val="BM"/>
      <sheetName val="P.M 별"/>
      <sheetName val="골조시행"/>
      <sheetName val="옥외 전력간선공사"/>
      <sheetName val="단가조사"/>
      <sheetName val="ELEC_DCI"/>
      <sheetName val="INST_DC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_NDE"/>
      <sheetName val="공사비_BULK"/>
      <sheetName val="공사비_INSUL"/>
      <sheetName val="BULK"/>
      <sheetName val="INSULATION"/>
      <sheetName val="PAINT"/>
      <sheetName val="NDE"/>
      <sheetName val="h-013211-2"/>
      <sheetName val="공사내역"/>
      <sheetName val="jobhist"/>
      <sheetName val="DATE"/>
      <sheetName val="전체"/>
      <sheetName val="청천내"/>
      <sheetName val="세금자료"/>
      <sheetName val="노임단가"/>
      <sheetName val="공사계획서"/>
      <sheetName val="품셈표"/>
      <sheetName val="현장업무"/>
      <sheetName val="접대비명세서"/>
      <sheetName val="VA_code"/>
      <sheetName val="B"/>
      <sheetName val="산근"/>
      <sheetName val="경제지표"/>
      <sheetName val="GeneralNote"/>
      <sheetName val="수입"/>
      <sheetName val="CAT_5"/>
      <sheetName val="3.내역서"/>
      <sheetName val="설계명세서-2"/>
      <sheetName val="eq_data"/>
      <sheetName val="FILTER"/>
      <sheetName val="내역서"/>
      <sheetName val="PDS U-1400"/>
      <sheetName val="INPUT DATA"/>
      <sheetName val="INSTR"/>
      <sheetName val="cable-data"/>
      <sheetName val="Panel제작명세서"/>
      <sheetName val="Pivot"/>
      <sheetName val="노임"/>
      <sheetName val="Cash2"/>
      <sheetName val="Z"/>
      <sheetName val="A"/>
      <sheetName val="데이타"/>
      <sheetName val="UnitList"/>
      <sheetName val="data_dci"/>
      <sheetName val="data_mci"/>
      <sheetName val="behind"/>
      <sheetName val="Main"/>
      <sheetName val="BREAKDOWN"/>
      <sheetName val="BUSINESS TRIP-TRAVELING EXPENSE"/>
      <sheetName val="LIST OF AIR FARE"/>
      <sheetName val="CAMP - RENTAL"/>
      <sheetName val="CAMP - COMMON FACILITIES"/>
      <sheetName val="ELECTRIC POWER CONSUMPTION"/>
      <sheetName val="INDIRECT SALARY"/>
      <sheetName val="EUR, TCN &amp; LOC STAFF SALARY"/>
      <sheetName val="INDIRECT MOBILIZATION PLAN"/>
      <sheetName val="MANPOWER MOBILIZATION"/>
      <sheetName val="STAFF MOBILIZATION PLAN"/>
      <sheetName val="LABOR MOBILIZATION PLAN"/>
      <sheetName val="LIST OF OFFICE EQUIPMENT"/>
      <sheetName val="PERSONNEL SETUP"/>
      <sheetName val="KOREAN STAFF SALARY - BRANCH"/>
      <sheetName val="TEMPORARY FACILITIES"/>
      <sheetName val="WATER SUPPLY"/>
      <sheetName val="품셈 "/>
      <sheetName val="설계내역서"/>
      <sheetName val="공사비 내역 (가)"/>
      <sheetName val="1100-1200-1300-1910-2140-LEV 2"/>
      <sheetName val="TOTAL"/>
      <sheetName val="base"/>
      <sheetName val="ANALYSER"/>
      <sheetName val="3.공통공사대비"/>
      <sheetName val="costing_CV"/>
      <sheetName val="CondPol"/>
      <sheetName val="NEWCPS"/>
      <sheetName val="설계명세서"/>
      <sheetName val="BQ"/>
      <sheetName val="w't table"/>
      <sheetName val="Ind"/>
      <sheetName val="mhrrate"/>
      <sheetName val="A01"/>
      <sheetName val="A11"/>
      <sheetName val="A16"/>
      <sheetName val="A02"/>
      <sheetName val="A03"/>
      <sheetName val="A04"/>
      <sheetName val="A05"/>
      <sheetName val="A06"/>
      <sheetName val="A07"/>
      <sheetName val="A08a"/>
      <sheetName val="A08b"/>
      <sheetName val="Sheet1"/>
      <sheetName val="정부노임단가"/>
      <sheetName val="Cover"/>
      <sheetName val="Currencies"/>
      <sheetName val="02-10 (실행)"/>
      <sheetName val="영업2"/>
      <sheetName val="영업3"/>
      <sheetName val="#REF"/>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요약배부"/>
      <sheetName val="요약배부 (보고)"/>
      <sheetName val="요약배부 (보고) (2)"/>
      <sheetName val="배부부별"/>
      <sheetName val="배부비목"/>
      <sheetName val="배부기준체계"/>
      <sheetName val="배부기준설명"/>
      <sheetName val="예실차이"/>
      <sheetName val="예실차이 (2)"/>
      <sheetName val="내용분석(비율)"/>
      <sheetName val="임대원가"/>
      <sheetName val="기타매출"/>
      <sheetName val="기타매출1"/>
      <sheetName val="영업소실적"/>
      <sheetName val="새마을금고"/>
      <sheetName val="Module1"/>
      <sheetName val="참고인원"/>
      <sheetName val="인원대비표"/>
      <sheetName val="사업부배부A"/>
      <sheetName val="단가"/>
      <sheetName val="총괄표"/>
      <sheetName val="97 사업추정(WEKI)"/>
      <sheetName val="노임"/>
      <sheetName val="Sheet5"/>
      <sheetName val="MOKDONG(1)"/>
      <sheetName val="Option"/>
      <sheetName val="N賃率-職"/>
      <sheetName val="노임단가"/>
      <sheetName val="I一般比"/>
      <sheetName val="수입"/>
      <sheetName val="SIMULATION"/>
      <sheetName val="공사비_NDE"/>
      <sheetName val="지급자재"/>
      <sheetName val="단가조사"/>
      <sheetName val="단가산출"/>
      <sheetName val="unit 4"/>
      <sheetName val="일위목차"/>
      <sheetName val="97 사업추정_WEKI_"/>
      <sheetName val="수량A"/>
      <sheetName val="예산"/>
      <sheetName val="분당임차변경"/>
      <sheetName val="공사내역"/>
      <sheetName val="설계명세서"/>
      <sheetName val="품셈표"/>
      <sheetName val="집계표"/>
      <sheetName val="당초"/>
      <sheetName val="BQ_Utl_Off"/>
      <sheetName val="공통"/>
      <sheetName val="단위수량"/>
      <sheetName val="배부97121"/>
      <sheetName val="지우기"/>
      <sheetName val="일위대가"/>
      <sheetName val="SubCon"/>
      <sheetName val="정산표"/>
      <sheetName val="년말집계"/>
      <sheetName val="Sheet1"/>
      <sheetName val="PI"/>
      <sheetName val="RENUN"/>
      <sheetName val="단가일람"/>
      <sheetName val="단위량당중기"/>
      <sheetName val="간접비 총괄표"/>
      <sheetName val="Cover"/>
      <sheetName val="Sheet2"/>
      <sheetName val="eq_data"/>
      <sheetName val="세금자료"/>
      <sheetName val="경제지표"/>
      <sheetName val="상반기손익차2총괄"/>
      <sheetName val="b_balju-단가단가단가"/>
      <sheetName val="휴일check"/>
      <sheetName val=" FURNACE현설"/>
      <sheetName val="급여관련자료"/>
      <sheetName val="h-013211-2"/>
      <sheetName val="NPC500"/>
      <sheetName val="갑지"/>
      <sheetName val="노점수분"/>
      <sheetName val="6호기"/>
      <sheetName val="RCF CLAIMED"/>
      <sheetName val="Bond Fee"/>
      <sheetName val="Units"/>
      <sheetName val="Instructions"/>
      <sheetName val="BLDG_DCI"/>
      <sheetName val="BLDG_MCI"/>
      <sheetName val="내역"/>
      <sheetName val="DATA1"/>
      <sheetName val="PumpSpec"/>
      <sheetName val="순공사비"/>
      <sheetName val="별표1"/>
      <sheetName val="예산내역"/>
      <sheetName val="총괄수지표"/>
      <sheetName val="매설배관"/>
      <sheetName val="A LINE"/>
      <sheetName val="인원계획"/>
      <sheetName val="요약배부_(보고)"/>
      <sheetName val="요약배부_(보고)_(2)"/>
      <sheetName val="예실차이_(2)"/>
      <sheetName val="POL6차-PIPING"/>
      <sheetName val="97_사업추정(WEKI)"/>
      <sheetName val="_FURNACE현설"/>
      <sheetName val="97_사업추정_WEKI_"/>
      <sheetName val="unit_4"/>
      <sheetName val="간접비_총괄표"/>
      <sheetName val="RCF_CLAIMED"/>
      <sheetName val="Bond_Fee"/>
      <sheetName val="C3"/>
      <sheetName val="자재단가비교표"/>
      <sheetName val="2.대외공문"/>
      <sheetName val="95하U$가격"/>
      <sheetName val="미지급금"/>
      <sheetName val="노임9월"/>
      <sheetName val="DATE"/>
      <sheetName val="주관사업"/>
      <sheetName val="일위대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계획"/>
      <sheetName val="인원계획 (2)"/>
      <sheetName val="인원계획 (3)"/>
      <sheetName val="인원차이"/>
      <sheetName val="인원차이 (2)"/>
      <sheetName val="영업소실적"/>
      <sheetName val=" 갑지"/>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계획"/>
      <sheetName val="인원계획 (2)"/>
      <sheetName val="인원계획 (3)"/>
      <sheetName val="인원차이"/>
      <sheetName val="인원차이 (2)"/>
      <sheetName val="9-1차이내역"/>
      <sheetName val="정부노임단가"/>
      <sheetName val="효율표"/>
      <sheetName val="소화실적"/>
      <sheetName val=" 갑지"/>
      <sheetName val="갑지"/>
      <sheetName val="영업소실적"/>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 val="세금자료"/>
      <sheetName val="eq_data"/>
      <sheetName val="단중표-ST"/>
      <sheetName val="요약배부"/>
      <sheetName val="주관사업"/>
      <sheetName val="말뚝물량"/>
      <sheetName val="SUM-OVERSEAS"/>
      <sheetName val="Sheet1"/>
      <sheetName val="COST-850"/>
      <sheetName val="96.12"/>
      <sheetName val="sort"/>
      <sheetName val="영업소실적"/>
      <sheetName val="95년12월말"/>
      <sheetName val="수정양식"/>
      <sheetName val="DNT OSBL"/>
      <sheetName val="INPUT DATA"/>
      <sheetName val="PipWT"/>
      <sheetName val="경제지표"/>
      <sheetName val="BCPAB"/>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AH27"/>
  <sheetViews>
    <sheetView showGridLines="0" view="pageBreakPreview" zoomScale="80" zoomScaleNormal="60" zoomScaleSheetLayoutView="80" workbookViewId="0">
      <selection activeCell="A28" sqref="A28"/>
    </sheetView>
  </sheetViews>
  <sheetFormatPr defaultRowHeight="14.45"/>
  <cols>
    <col min="1" max="3" width="8.7109375" style="98" customWidth="1"/>
    <col min="4" max="7" width="8.85546875" style="98" customWidth="1"/>
    <col min="8" max="8" width="9.28515625" style="98" customWidth="1"/>
    <col min="9" max="11" width="14.7109375" style="98" customWidth="1"/>
    <col min="12" max="17" width="8.85546875" style="98" customWidth="1"/>
    <col min="18" max="19" width="8.7109375" style="98" customWidth="1"/>
    <col min="20" max="20" width="15.42578125" style="98" customWidth="1"/>
    <col min="21" max="32" width="9" style="98" customWidth="1"/>
    <col min="33" max="33" width="6.7109375" style="98" customWidth="1"/>
    <col min="34" max="34" width="10" style="98" hidden="1" customWidth="1"/>
    <col min="35" max="256" width="9" style="98" customWidth="1"/>
    <col min="257" max="259" width="8.7109375" style="98" customWidth="1"/>
    <col min="260" max="263" width="8.85546875" style="98" customWidth="1"/>
    <col min="264" max="264" width="9.28515625" style="98" customWidth="1"/>
    <col min="265" max="267" width="14.7109375" style="98" customWidth="1"/>
    <col min="268" max="273" width="8.85546875" style="98" customWidth="1"/>
    <col min="274" max="275" width="8.7109375" style="98" customWidth="1"/>
    <col min="276" max="276" width="15.42578125" style="98" customWidth="1"/>
    <col min="277" max="512" width="9" style="98" customWidth="1"/>
    <col min="513" max="515" width="8.7109375" style="98" customWidth="1"/>
    <col min="516" max="519" width="8.85546875" style="98" customWidth="1"/>
    <col min="520" max="520" width="9.28515625" style="98" customWidth="1"/>
    <col min="521" max="523" width="14.7109375" style="98" customWidth="1"/>
    <col min="524" max="529" width="8.85546875" style="98" customWidth="1"/>
    <col min="530" max="531" width="8.7109375" style="98" customWidth="1"/>
    <col min="532" max="532" width="15.42578125" style="98" customWidth="1"/>
    <col min="533" max="768" width="9" style="98" customWidth="1"/>
    <col min="769" max="771" width="8.7109375" style="98" customWidth="1"/>
    <col min="772" max="775" width="8.85546875" style="98" customWidth="1"/>
    <col min="776" max="776" width="9.28515625" style="98" customWidth="1"/>
    <col min="777" max="779" width="14.7109375" style="98" customWidth="1"/>
    <col min="780" max="785" width="8.85546875" style="98" customWidth="1"/>
    <col min="786" max="787" width="8.7109375" style="98" customWidth="1"/>
    <col min="788" max="788" width="15.42578125" style="98" customWidth="1"/>
    <col min="789" max="1024" width="9" style="98" customWidth="1"/>
    <col min="1025" max="1027" width="8.7109375" style="98" customWidth="1"/>
    <col min="1028" max="1031" width="8.85546875" style="98" customWidth="1"/>
    <col min="1032" max="1032" width="9.28515625" style="98" customWidth="1"/>
    <col min="1033" max="1035" width="14.7109375" style="98" customWidth="1"/>
    <col min="1036" max="1041" width="8.85546875" style="98" customWidth="1"/>
    <col min="1042" max="1043" width="8.7109375" style="98" customWidth="1"/>
    <col min="1044" max="1044" width="15.42578125" style="98" customWidth="1"/>
    <col min="1045" max="1280" width="9" style="98" customWidth="1"/>
    <col min="1281" max="1283" width="8.7109375" style="98" customWidth="1"/>
    <col min="1284" max="1287" width="8.85546875" style="98" customWidth="1"/>
    <col min="1288" max="1288" width="9.28515625" style="98" customWidth="1"/>
    <col min="1289" max="1291" width="14.7109375" style="98" customWidth="1"/>
    <col min="1292" max="1297" width="8.85546875" style="98" customWidth="1"/>
    <col min="1298" max="1299" width="8.7109375" style="98" customWidth="1"/>
    <col min="1300" max="1300" width="15.42578125" style="98" customWidth="1"/>
    <col min="1301" max="1536" width="9" style="98" customWidth="1"/>
    <col min="1537" max="1539" width="8.7109375" style="98" customWidth="1"/>
    <col min="1540" max="1543" width="8.85546875" style="98" customWidth="1"/>
    <col min="1544" max="1544" width="9.28515625" style="98" customWidth="1"/>
    <col min="1545" max="1547" width="14.7109375" style="98" customWidth="1"/>
    <col min="1548" max="1553" width="8.85546875" style="98" customWidth="1"/>
    <col min="1554" max="1555" width="8.7109375" style="98" customWidth="1"/>
    <col min="1556" max="1556" width="15.42578125" style="98" customWidth="1"/>
    <col min="1557" max="1792" width="9" style="98" customWidth="1"/>
    <col min="1793" max="1795" width="8.7109375" style="98" customWidth="1"/>
    <col min="1796" max="1799" width="8.85546875" style="98" customWidth="1"/>
    <col min="1800" max="1800" width="9.28515625" style="98" customWidth="1"/>
    <col min="1801" max="1803" width="14.7109375" style="98" customWidth="1"/>
    <col min="1804" max="1809" width="8.85546875" style="98" customWidth="1"/>
    <col min="1810" max="1811" width="8.7109375" style="98" customWidth="1"/>
    <col min="1812" max="1812" width="15.42578125" style="98" customWidth="1"/>
    <col min="1813" max="2048" width="9" style="98" customWidth="1"/>
    <col min="2049" max="2051" width="8.7109375" style="98" customWidth="1"/>
    <col min="2052" max="2055" width="8.85546875" style="98" customWidth="1"/>
    <col min="2056" max="2056" width="9.28515625" style="98" customWidth="1"/>
    <col min="2057" max="2059" width="14.7109375" style="98" customWidth="1"/>
    <col min="2060" max="2065" width="8.85546875" style="98" customWidth="1"/>
    <col min="2066" max="2067" width="8.7109375" style="98" customWidth="1"/>
    <col min="2068" max="2068" width="15.42578125" style="98" customWidth="1"/>
    <col min="2069" max="2304" width="9" style="98" customWidth="1"/>
    <col min="2305" max="2307" width="8.7109375" style="98" customWidth="1"/>
    <col min="2308" max="2311" width="8.85546875" style="98" customWidth="1"/>
    <col min="2312" max="2312" width="9.28515625" style="98" customWidth="1"/>
    <col min="2313" max="2315" width="14.7109375" style="98" customWidth="1"/>
    <col min="2316" max="2321" width="8.85546875" style="98" customWidth="1"/>
    <col min="2322" max="2323" width="8.7109375" style="98" customWidth="1"/>
    <col min="2324" max="2324" width="15.42578125" style="98" customWidth="1"/>
    <col min="2325" max="2560" width="9" style="98" customWidth="1"/>
    <col min="2561" max="2563" width="8.7109375" style="98" customWidth="1"/>
    <col min="2564" max="2567" width="8.85546875" style="98" customWidth="1"/>
    <col min="2568" max="2568" width="9.28515625" style="98" customWidth="1"/>
    <col min="2569" max="2571" width="14.7109375" style="98" customWidth="1"/>
    <col min="2572" max="2577" width="8.85546875" style="98" customWidth="1"/>
    <col min="2578" max="2579" width="8.7109375" style="98" customWidth="1"/>
    <col min="2580" max="2580" width="15.42578125" style="98" customWidth="1"/>
    <col min="2581" max="2816" width="9" style="98" customWidth="1"/>
    <col min="2817" max="2819" width="8.7109375" style="98" customWidth="1"/>
    <col min="2820" max="2823" width="8.85546875" style="98" customWidth="1"/>
    <col min="2824" max="2824" width="9.28515625" style="98" customWidth="1"/>
    <col min="2825" max="2827" width="14.7109375" style="98" customWidth="1"/>
    <col min="2828" max="2833" width="8.85546875" style="98" customWidth="1"/>
    <col min="2834" max="2835" width="8.7109375" style="98" customWidth="1"/>
    <col min="2836" max="2836" width="15.42578125" style="98" customWidth="1"/>
    <col min="2837" max="3072" width="9" style="98" customWidth="1"/>
    <col min="3073" max="3075" width="8.7109375" style="98" customWidth="1"/>
    <col min="3076" max="3079" width="8.85546875" style="98" customWidth="1"/>
    <col min="3080" max="3080" width="9.28515625" style="98" customWidth="1"/>
    <col min="3081" max="3083" width="14.7109375" style="98" customWidth="1"/>
    <col min="3084" max="3089" width="8.85546875" style="98" customWidth="1"/>
    <col min="3090" max="3091" width="8.7109375" style="98" customWidth="1"/>
    <col min="3092" max="3092" width="15.42578125" style="98" customWidth="1"/>
    <col min="3093" max="3328" width="9" style="98" customWidth="1"/>
    <col min="3329" max="3331" width="8.7109375" style="98" customWidth="1"/>
    <col min="3332" max="3335" width="8.85546875" style="98" customWidth="1"/>
    <col min="3336" max="3336" width="9.28515625" style="98" customWidth="1"/>
    <col min="3337" max="3339" width="14.7109375" style="98" customWidth="1"/>
    <col min="3340" max="3345" width="8.85546875" style="98" customWidth="1"/>
    <col min="3346" max="3347" width="8.7109375" style="98" customWidth="1"/>
    <col min="3348" max="3348" width="15.42578125" style="98" customWidth="1"/>
    <col min="3349" max="3584" width="9" style="98" customWidth="1"/>
    <col min="3585" max="3587" width="8.7109375" style="98" customWidth="1"/>
    <col min="3588" max="3591" width="8.85546875" style="98" customWidth="1"/>
    <col min="3592" max="3592" width="9.28515625" style="98" customWidth="1"/>
    <col min="3593" max="3595" width="14.7109375" style="98" customWidth="1"/>
    <col min="3596" max="3601" width="8.85546875" style="98" customWidth="1"/>
    <col min="3602" max="3603" width="8.7109375" style="98" customWidth="1"/>
    <col min="3604" max="3604" width="15.42578125" style="98" customWidth="1"/>
    <col min="3605" max="3840" width="9" style="98" customWidth="1"/>
    <col min="3841" max="3843" width="8.7109375" style="98" customWidth="1"/>
    <col min="3844" max="3847" width="8.85546875" style="98" customWidth="1"/>
    <col min="3848" max="3848" width="9.28515625" style="98" customWidth="1"/>
    <col min="3849" max="3851" width="14.7109375" style="98" customWidth="1"/>
    <col min="3852" max="3857" width="8.85546875" style="98" customWidth="1"/>
    <col min="3858" max="3859" width="8.7109375" style="98" customWidth="1"/>
    <col min="3860" max="3860" width="15.42578125" style="98" customWidth="1"/>
    <col min="3861" max="4096" width="9" style="98" customWidth="1"/>
    <col min="4097" max="4099" width="8.7109375" style="98" customWidth="1"/>
    <col min="4100" max="4103" width="8.85546875" style="98" customWidth="1"/>
    <col min="4104" max="4104" width="9.28515625" style="98" customWidth="1"/>
    <col min="4105" max="4107" width="14.7109375" style="98" customWidth="1"/>
    <col min="4108" max="4113" width="8.85546875" style="98" customWidth="1"/>
    <col min="4114" max="4115" width="8.7109375" style="98" customWidth="1"/>
    <col min="4116" max="4116" width="15.42578125" style="98" customWidth="1"/>
    <col min="4117" max="4352" width="9" style="98" customWidth="1"/>
    <col min="4353" max="4355" width="8.7109375" style="98" customWidth="1"/>
    <col min="4356" max="4359" width="8.85546875" style="98" customWidth="1"/>
    <col min="4360" max="4360" width="9.28515625" style="98" customWidth="1"/>
    <col min="4361" max="4363" width="14.7109375" style="98" customWidth="1"/>
    <col min="4364" max="4369" width="8.85546875" style="98" customWidth="1"/>
    <col min="4370" max="4371" width="8.7109375" style="98" customWidth="1"/>
    <col min="4372" max="4372" width="15.42578125" style="98" customWidth="1"/>
    <col min="4373" max="4608" width="9" style="98" customWidth="1"/>
    <col min="4609" max="4611" width="8.7109375" style="98" customWidth="1"/>
    <col min="4612" max="4615" width="8.85546875" style="98" customWidth="1"/>
    <col min="4616" max="4616" width="9.28515625" style="98" customWidth="1"/>
    <col min="4617" max="4619" width="14.7109375" style="98" customWidth="1"/>
    <col min="4620" max="4625" width="8.85546875" style="98" customWidth="1"/>
    <col min="4626" max="4627" width="8.7109375" style="98" customWidth="1"/>
    <col min="4628" max="4628" width="15.42578125" style="98" customWidth="1"/>
    <col min="4629" max="4864" width="9" style="98" customWidth="1"/>
    <col min="4865" max="4867" width="8.7109375" style="98" customWidth="1"/>
    <col min="4868" max="4871" width="8.85546875" style="98" customWidth="1"/>
    <col min="4872" max="4872" width="9.28515625" style="98" customWidth="1"/>
    <col min="4873" max="4875" width="14.7109375" style="98" customWidth="1"/>
    <col min="4876" max="4881" width="8.85546875" style="98" customWidth="1"/>
    <col min="4882" max="4883" width="8.7109375" style="98" customWidth="1"/>
    <col min="4884" max="4884" width="15.42578125" style="98" customWidth="1"/>
    <col min="4885" max="5120" width="9" style="98" customWidth="1"/>
    <col min="5121" max="5123" width="8.7109375" style="98" customWidth="1"/>
    <col min="5124" max="5127" width="8.85546875" style="98" customWidth="1"/>
    <col min="5128" max="5128" width="9.28515625" style="98" customWidth="1"/>
    <col min="5129" max="5131" width="14.7109375" style="98" customWidth="1"/>
    <col min="5132" max="5137" width="8.85546875" style="98" customWidth="1"/>
    <col min="5138" max="5139" width="8.7109375" style="98" customWidth="1"/>
    <col min="5140" max="5140" width="15.42578125" style="98" customWidth="1"/>
    <col min="5141" max="5376" width="9" style="98" customWidth="1"/>
    <col min="5377" max="5379" width="8.7109375" style="98" customWidth="1"/>
    <col min="5380" max="5383" width="8.85546875" style="98" customWidth="1"/>
    <col min="5384" max="5384" width="9.28515625" style="98" customWidth="1"/>
    <col min="5385" max="5387" width="14.7109375" style="98" customWidth="1"/>
    <col min="5388" max="5393" width="8.85546875" style="98" customWidth="1"/>
    <col min="5394" max="5395" width="8.7109375" style="98" customWidth="1"/>
    <col min="5396" max="5396" width="15.42578125" style="98" customWidth="1"/>
    <col min="5397" max="5632" width="9" style="98" customWidth="1"/>
    <col min="5633" max="5635" width="8.7109375" style="98" customWidth="1"/>
    <col min="5636" max="5639" width="8.85546875" style="98" customWidth="1"/>
    <col min="5640" max="5640" width="9.28515625" style="98" customWidth="1"/>
    <col min="5641" max="5643" width="14.7109375" style="98" customWidth="1"/>
    <col min="5644" max="5649" width="8.85546875" style="98" customWidth="1"/>
    <col min="5650" max="5651" width="8.7109375" style="98" customWidth="1"/>
    <col min="5652" max="5652" width="15.42578125" style="98" customWidth="1"/>
    <col min="5653" max="5888" width="9" style="98" customWidth="1"/>
    <col min="5889" max="5891" width="8.7109375" style="98" customWidth="1"/>
    <col min="5892" max="5895" width="8.85546875" style="98" customWidth="1"/>
    <col min="5896" max="5896" width="9.28515625" style="98" customWidth="1"/>
    <col min="5897" max="5899" width="14.7109375" style="98" customWidth="1"/>
    <col min="5900" max="5905" width="8.85546875" style="98" customWidth="1"/>
    <col min="5906" max="5907" width="8.7109375" style="98" customWidth="1"/>
    <col min="5908" max="5908" width="15.42578125" style="98" customWidth="1"/>
    <col min="5909" max="6144" width="9" style="98" customWidth="1"/>
    <col min="6145" max="6147" width="8.7109375" style="98" customWidth="1"/>
    <col min="6148" max="6151" width="8.85546875" style="98" customWidth="1"/>
    <col min="6152" max="6152" width="9.28515625" style="98" customWidth="1"/>
    <col min="6153" max="6155" width="14.7109375" style="98" customWidth="1"/>
    <col min="6156" max="6161" width="8.85546875" style="98" customWidth="1"/>
    <col min="6162" max="6163" width="8.7109375" style="98" customWidth="1"/>
    <col min="6164" max="6164" width="15.42578125" style="98" customWidth="1"/>
    <col min="6165" max="6400" width="9" style="98" customWidth="1"/>
    <col min="6401" max="6403" width="8.7109375" style="98" customWidth="1"/>
    <col min="6404" max="6407" width="8.85546875" style="98" customWidth="1"/>
    <col min="6408" max="6408" width="9.28515625" style="98" customWidth="1"/>
    <col min="6409" max="6411" width="14.7109375" style="98" customWidth="1"/>
    <col min="6412" max="6417" width="8.85546875" style="98" customWidth="1"/>
    <col min="6418" max="6419" width="8.7109375" style="98" customWidth="1"/>
    <col min="6420" max="6420" width="15.42578125" style="98" customWidth="1"/>
    <col min="6421" max="6656" width="9" style="98" customWidth="1"/>
    <col min="6657" max="6659" width="8.7109375" style="98" customWidth="1"/>
    <col min="6660" max="6663" width="8.85546875" style="98" customWidth="1"/>
    <col min="6664" max="6664" width="9.28515625" style="98" customWidth="1"/>
    <col min="6665" max="6667" width="14.7109375" style="98" customWidth="1"/>
    <col min="6668" max="6673" width="8.85546875" style="98" customWidth="1"/>
    <col min="6674" max="6675" width="8.7109375" style="98" customWidth="1"/>
    <col min="6676" max="6676" width="15.42578125" style="98" customWidth="1"/>
    <col min="6677" max="6912" width="9" style="98" customWidth="1"/>
    <col min="6913" max="6915" width="8.7109375" style="98" customWidth="1"/>
    <col min="6916" max="6919" width="8.85546875" style="98" customWidth="1"/>
    <col min="6920" max="6920" width="9.28515625" style="98" customWidth="1"/>
    <col min="6921" max="6923" width="14.7109375" style="98" customWidth="1"/>
    <col min="6924" max="6929" width="8.85546875" style="98" customWidth="1"/>
    <col min="6930" max="6931" width="8.7109375" style="98" customWidth="1"/>
    <col min="6932" max="6932" width="15.42578125" style="98" customWidth="1"/>
    <col min="6933" max="7168" width="9" style="98" customWidth="1"/>
    <col min="7169" max="7171" width="8.7109375" style="98" customWidth="1"/>
    <col min="7172" max="7175" width="8.85546875" style="98" customWidth="1"/>
    <col min="7176" max="7176" width="9.28515625" style="98" customWidth="1"/>
    <col min="7177" max="7179" width="14.7109375" style="98" customWidth="1"/>
    <col min="7180" max="7185" width="8.85546875" style="98" customWidth="1"/>
    <col min="7186" max="7187" width="8.7109375" style="98" customWidth="1"/>
    <col min="7188" max="7188" width="15.42578125" style="98" customWidth="1"/>
    <col min="7189" max="7424" width="9" style="98" customWidth="1"/>
    <col min="7425" max="7427" width="8.7109375" style="98" customWidth="1"/>
    <col min="7428" max="7431" width="8.85546875" style="98" customWidth="1"/>
    <col min="7432" max="7432" width="9.28515625" style="98" customWidth="1"/>
    <col min="7433" max="7435" width="14.7109375" style="98" customWidth="1"/>
    <col min="7436" max="7441" width="8.85546875" style="98" customWidth="1"/>
    <col min="7442" max="7443" width="8.7109375" style="98" customWidth="1"/>
    <col min="7444" max="7444" width="15.42578125" style="98" customWidth="1"/>
    <col min="7445" max="7680" width="9" style="98" customWidth="1"/>
    <col min="7681" max="7683" width="8.7109375" style="98" customWidth="1"/>
    <col min="7684" max="7687" width="8.85546875" style="98" customWidth="1"/>
    <col min="7688" max="7688" width="9.28515625" style="98" customWidth="1"/>
    <col min="7689" max="7691" width="14.7109375" style="98" customWidth="1"/>
    <col min="7692" max="7697" width="8.85546875" style="98" customWidth="1"/>
    <col min="7698" max="7699" width="8.7109375" style="98" customWidth="1"/>
    <col min="7700" max="7700" width="15.42578125" style="98" customWidth="1"/>
    <col min="7701" max="7936" width="9" style="98" customWidth="1"/>
    <col min="7937" max="7939" width="8.7109375" style="98" customWidth="1"/>
    <col min="7940" max="7943" width="8.85546875" style="98" customWidth="1"/>
    <col min="7944" max="7944" width="9.28515625" style="98" customWidth="1"/>
    <col min="7945" max="7947" width="14.7109375" style="98" customWidth="1"/>
    <col min="7948" max="7953" width="8.85546875" style="98" customWidth="1"/>
    <col min="7954" max="7955" width="8.7109375" style="98" customWidth="1"/>
    <col min="7956" max="7956" width="15.42578125" style="98" customWidth="1"/>
    <col min="7957" max="8192" width="9" style="98" customWidth="1"/>
    <col min="8193" max="8195" width="8.7109375" style="98" customWidth="1"/>
    <col min="8196" max="8199" width="8.85546875" style="98" customWidth="1"/>
    <col min="8200" max="8200" width="9.28515625" style="98" customWidth="1"/>
    <col min="8201" max="8203" width="14.7109375" style="98" customWidth="1"/>
    <col min="8204" max="8209" width="8.85546875" style="98" customWidth="1"/>
    <col min="8210" max="8211" width="8.7109375" style="98" customWidth="1"/>
    <col min="8212" max="8212" width="15.42578125" style="98" customWidth="1"/>
    <col min="8213" max="8448" width="9" style="98" customWidth="1"/>
    <col min="8449" max="8451" width="8.7109375" style="98" customWidth="1"/>
    <col min="8452" max="8455" width="8.85546875" style="98" customWidth="1"/>
    <col min="8456" max="8456" width="9.28515625" style="98" customWidth="1"/>
    <col min="8457" max="8459" width="14.7109375" style="98" customWidth="1"/>
    <col min="8460" max="8465" width="8.85546875" style="98" customWidth="1"/>
    <col min="8466" max="8467" width="8.7109375" style="98" customWidth="1"/>
    <col min="8468" max="8468" width="15.42578125" style="98" customWidth="1"/>
    <col min="8469" max="8704" width="9" style="98" customWidth="1"/>
    <col min="8705" max="8707" width="8.7109375" style="98" customWidth="1"/>
    <col min="8708" max="8711" width="8.85546875" style="98" customWidth="1"/>
    <col min="8712" max="8712" width="9.28515625" style="98" customWidth="1"/>
    <col min="8713" max="8715" width="14.7109375" style="98" customWidth="1"/>
    <col min="8716" max="8721" width="8.85546875" style="98" customWidth="1"/>
    <col min="8722" max="8723" width="8.7109375" style="98" customWidth="1"/>
    <col min="8724" max="8724" width="15.42578125" style="98" customWidth="1"/>
    <col min="8725" max="8960" width="9" style="98" customWidth="1"/>
    <col min="8961" max="8963" width="8.7109375" style="98" customWidth="1"/>
    <col min="8964" max="8967" width="8.85546875" style="98" customWidth="1"/>
    <col min="8968" max="8968" width="9.28515625" style="98" customWidth="1"/>
    <col min="8969" max="8971" width="14.7109375" style="98" customWidth="1"/>
    <col min="8972" max="8977" width="8.85546875" style="98" customWidth="1"/>
    <col min="8978" max="8979" width="8.7109375" style="98" customWidth="1"/>
    <col min="8980" max="8980" width="15.42578125" style="98" customWidth="1"/>
    <col min="8981" max="9216" width="9" style="98" customWidth="1"/>
    <col min="9217" max="9219" width="8.7109375" style="98" customWidth="1"/>
    <col min="9220" max="9223" width="8.85546875" style="98" customWidth="1"/>
    <col min="9224" max="9224" width="9.28515625" style="98" customWidth="1"/>
    <col min="9225" max="9227" width="14.7109375" style="98" customWidth="1"/>
    <col min="9228" max="9233" width="8.85546875" style="98" customWidth="1"/>
    <col min="9234" max="9235" width="8.7109375" style="98" customWidth="1"/>
    <col min="9236" max="9236" width="15.42578125" style="98" customWidth="1"/>
    <col min="9237" max="9472" width="9" style="98" customWidth="1"/>
    <col min="9473" max="9475" width="8.7109375" style="98" customWidth="1"/>
    <col min="9476" max="9479" width="8.85546875" style="98" customWidth="1"/>
    <col min="9480" max="9480" width="9.28515625" style="98" customWidth="1"/>
    <col min="9481" max="9483" width="14.7109375" style="98" customWidth="1"/>
    <col min="9484" max="9489" width="8.85546875" style="98" customWidth="1"/>
    <col min="9490" max="9491" width="8.7109375" style="98" customWidth="1"/>
    <col min="9492" max="9492" width="15.42578125" style="98" customWidth="1"/>
    <col min="9493" max="9728" width="9" style="98" customWidth="1"/>
    <col min="9729" max="9731" width="8.7109375" style="98" customWidth="1"/>
    <col min="9732" max="9735" width="8.85546875" style="98" customWidth="1"/>
    <col min="9736" max="9736" width="9.28515625" style="98" customWidth="1"/>
    <col min="9737" max="9739" width="14.7109375" style="98" customWidth="1"/>
    <col min="9740" max="9745" width="8.85546875" style="98" customWidth="1"/>
    <col min="9746" max="9747" width="8.7109375" style="98" customWidth="1"/>
    <col min="9748" max="9748" width="15.42578125" style="98" customWidth="1"/>
    <col min="9749" max="9984" width="9" style="98" customWidth="1"/>
    <col min="9985" max="9987" width="8.7109375" style="98" customWidth="1"/>
    <col min="9988" max="9991" width="8.85546875" style="98" customWidth="1"/>
    <col min="9992" max="9992" width="9.28515625" style="98" customWidth="1"/>
    <col min="9993" max="9995" width="14.7109375" style="98" customWidth="1"/>
    <col min="9996" max="10001" width="8.85546875" style="98" customWidth="1"/>
    <col min="10002" max="10003" width="8.7109375" style="98" customWidth="1"/>
    <col min="10004" max="10004" width="15.42578125" style="98" customWidth="1"/>
    <col min="10005" max="10240" width="9" style="98" customWidth="1"/>
    <col min="10241" max="10243" width="8.7109375" style="98" customWidth="1"/>
    <col min="10244" max="10247" width="8.85546875" style="98" customWidth="1"/>
    <col min="10248" max="10248" width="9.28515625" style="98" customWidth="1"/>
    <col min="10249" max="10251" width="14.7109375" style="98" customWidth="1"/>
    <col min="10252" max="10257" width="8.85546875" style="98" customWidth="1"/>
    <col min="10258" max="10259" width="8.7109375" style="98" customWidth="1"/>
    <col min="10260" max="10260" width="15.42578125" style="98" customWidth="1"/>
    <col min="10261" max="10496" width="9" style="98" customWidth="1"/>
    <col min="10497" max="10499" width="8.7109375" style="98" customWidth="1"/>
    <col min="10500" max="10503" width="8.85546875" style="98" customWidth="1"/>
    <col min="10504" max="10504" width="9.28515625" style="98" customWidth="1"/>
    <col min="10505" max="10507" width="14.7109375" style="98" customWidth="1"/>
    <col min="10508" max="10513" width="8.85546875" style="98" customWidth="1"/>
    <col min="10514" max="10515" width="8.7109375" style="98" customWidth="1"/>
    <col min="10516" max="10516" width="15.42578125" style="98" customWidth="1"/>
    <col min="10517" max="10752" width="9" style="98" customWidth="1"/>
    <col min="10753" max="10755" width="8.7109375" style="98" customWidth="1"/>
    <col min="10756" max="10759" width="8.85546875" style="98" customWidth="1"/>
    <col min="10760" max="10760" width="9.28515625" style="98" customWidth="1"/>
    <col min="10761" max="10763" width="14.7109375" style="98" customWidth="1"/>
    <col min="10764" max="10769" width="8.85546875" style="98" customWidth="1"/>
    <col min="10770" max="10771" width="8.7109375" style="98" customWidth="1"/>
    <col min="10772" max="10772" width="15.42578125" style="98" customWidth="1"/>
    <col min="10773" max="11008" width="9" style="98" customWidth="1"/>
    <col min="11009" max="11011" width="8.7109375" style="98" customWidth="1"/>
    <col min="11012" max="11015" width="8.85546875" style="98" customWidth="1"/>
    <col min="11016" max="11016" width="9.28515625" style="98" customWidth="1"/>
    <col min="11017" max="11019" width="14.7109375" style="98" customWidth="1"/>
    <col min="11020" max="11025" width="8.85546875" style="98" customWidth="1"/>
    <col min="11026" max="11027" width="8.7109375" style="98" customWidth="1"/>
    <col min="11028" max="11028" width="15.42578125" style="98" customWidth="1"/>
    <col min="11029" max="11264" width="9" style="98" customWidth="1"/>
    <col min="11265" max="11267" width="8.7109375" style="98" customWidth="1"/>
    <col min="11268" max="11271" width="8.85546875" style="98" customWidth="1"/>
    <col min="11272" max="11272" width="9.28515625" style="98" customWidth="1"/>
    <col min="11273" max="11275" width="14.7109375" style="98" customWidth="1"/>
    <col min="11276" max="11281" width="8.85546875" style="98" customWidth="1"/>
    <col min="11282" max="11283" width="8.7109375" style="98" customWidth="1"/>
    <col min="11284" max="11284" width="15.42578125" style="98" customWidth="1"/>
    <col min="11285" max="11520" width="9" style="98" customWidth="1"/>
    <col min="11521" max="11523" width="8.7109375" style="98" customWidth="1"/>
    <col min="11524" max="11527" width="8.85546875" style="98" customWidth="1"/>
    <col min="11528" max="11528" width="9.28515625" style="98" customWidth="1"/>
    <col min="11529" max="11531" width="14.7109375" style="98" customWidth="1"/>
    <col min="11532" max="11537" width="8.85546875" style="98" customWidth="1"/>
    <col min="11538" max="11539" width="8.7109375" style="98" customWidth="1"/>
    <col min="11540" max="11540" width="15.42578125" style="98" customWidth="1"/>
    <col min="11541" max="11776" width="9" style="98" customWidth="1"/>
    <col min="11777" max="11779" width="8.7109375" style="98" customWidth="1"/>
    <col min="11780" max="11783" width="8.85546875" style="98" customWidth="1"/>
    <col min="11784" max="11784" width="9.28515625" style="98" customWidth="1"/>
    <col min="11785" max="11787" width="14.7109375" style="98" customWidth="1"/>
    <col min="11788" max="11793" width="8.85546875" style="98" customWidth="1"/>
    <col min="11794" max="11795" width="8.7109375" style="98" customWidth="1"/>
    <col min="11796" max="11796" width="15.42578125" style="98" customWidth="1"/>
    <col min="11797" max="12032" width="9" style="98" customWidth="1"/>
    <col min="12033" max="12035" width="8.7109375" style="98" customWidth="1"/>
    <col min="12036" max="12039" width="8.85546875" style="98" customWidth="1"/>
    <col min="12040" max="12040" width="9.28515625" style="98" customWidth="1"/>
    <col min="12041" max="12043" width="14.7109375" style="98" customWidth="1"/>
    <col min="12044" max="12049" width="8.85546875" style="98" customWidth="1"/>
    <col min="12050" max="12051" width="8.7109375" style="98" customWidth="1"/>
    <col min="12052" max="12052" width="15.42578125" style="98" customWidth="1"/>
    <col min="12053" max="12288" width="9" style="98" customWidth="1"/>
    <col min="12289" max="12291" width="8.7109375" style="98" customWidth="1"/>
    <col min="12292" max="12295" width="8.85546875" style="98" customWidth="1"/>
    <col min="12296" max="12296" width="9.28515625" style="98" customWidth="1"/>
    <col min="12297" max="12299" width="14.7109375" style="98" customWidth="1"/>
    <col min="12300" max="12305" width="8.85546875" style="98" customWidth="1"/>
    <col min="12306" max="12307" width="8.7109375" style="98" customWidth="1"/>
    <col min="12308" max="12308" width="15.42578125" style="98" customWidth="1"/>
    <col min="12309" max="12544" width="9" style="98" customWidth="1"/>
    <col min="12545" max="12547" width="8.7109375" style="98" customWidth="1"/>
    <col min="12548" max="12551" width="8.85546875" style="98" customWidth="1"/>
    <col min="12552" max="12552" width="9.28515625" style="98" customWidth="1"/>
    <col min="12553" max="12555" width="14.7109375" style="98" customWidth="1"/>
    <col min="12556" max="12561" width="8.85546875" style="98" customWidth="1"/>
    <col min="12562" max="12563" width="8.7109375" style="98" customWidth="1"/>
    <col min="12564" max="12564" width="15.42578125" style="98" customWidth="1"/>
    <col min="12565" max="12800" width="9" style="98" customWidth="1"/>
    <col min="12801" max="12803" width="8.7109375" style="98" customWidth="1"/>
    <col min="12804" max="12807" width="8.85546875" style="98" customWidth="1"/>
    <col min="12808" max="12808" width="9.28515625" style="98" customWidth="1"/>
    <col min="12809" max="12811" width="14.7109375" style="98" customWidth="1"/>
    <col min="12812" max="12817" width="8.85546875" style="98" customWidth="1"/>
    <col min="12818" max="12819" width="8.7109375" style="98" customWidth="1"/>
    <col min="12820" max="12820" width="15.42578125" style="98" customWidth="1"/>
    <col min="12821" max="13056" width="9" style="98" customWidth="1"/>
    <col min="13057" max="13059" width="8.7109375" style="98" customWidth="1"/>
    <col min="13060" max="13063" width="8.85546875" style="98" customWidth="1"/>
    <col min="13064" max="13064" width="9.28515625" style="98" customWidth="1"/>
    <col min="13065" max="13067" width="14.7109375" style="98" customWidth="1"/>
    <col min="13068" max="13073" width="8.85546875" style="98" customWidth="1"/>
    <col min="13074" max="13075" width="8.7109375" style="98" customWidth="1"/>
    <col min="13076" max="13076" width="15.42578125" style="98" customWidth="1"/>
    <col min="13077" max="13312" width="9" style="98" customWidth="1"/>
    <col min="13313" max="13315" width="8.7109375" style="98" customWidth="1"/>
    <col min="13316" max="13319" width="8.85546875" style="98" customWidth="1"/>
    <col min="13320" max="13320" width="9.28515625" style="98" customWidth="1"/>
    <col min="13321" max="13323" width="14.7109375" style="98" customWidth="1"/>
    <col min="13324" max="13329" width="8.85546875" style="98" customWidth="1"/>
    <col min="13330" max="13331" width="8.7109375" style="98" customWidth="1"/>
    <col min="13332" max="13332" width="15.42578125" style="98" customWidth="1"/>
    <col min="13333" max="13568" width="9" style="98" customWidth="1"/>
    <col min="13569" max="13571" width="8.7109375" style="98" customWidth="1"/>
    <col min="13572" max="13575" width="8.85546875" style="98" customWidth="1"/>
    <col min="13576" max="13576" width="9.28515625" style="98" customWidth="1"/>
    <col min="13577" max="13579" width="14.7109375" style="98" customWidth="1"/>
    <col min="13580" max="13585" width="8.85546875" style="98" customWidth="1"/>
    <col min="13586" max="13587" width="8.7109375" style="98" customWidth="1"/>
    <col min="13588" max="13588" width="15.42578125" style="98" customWidth="1"/>
    <col min="13589" max="13824" width="9" style="98" customWidth="1"/>
    <col min="13825" max="13827" width="8.7109375" style="98" customWidth="1"/>
    <col min="13828" max="13831" width="8.85546875" style="98" customWidth="1"/>
    <col min="13832" max="13832" width="9.28515625" style="98" customWidth="1"/>
    <col min="13833" max="13835" width="14.7109375" style="98" customWidth="1"/>
    <col min="13836" max="13841" width="8.85546875" style="98" customWidth="1"/>
    <col min="13842" max="13843" width="8.7109375" style="98" customWidth="1"/>
    <col min="13844" max="13844" width="15.42578125" style="98" customWidth="1"/>
    <col min="13845" max="14080" width="9" style="98" customWidth="1"/>
    <col min="14081" max="14083" width="8.7109375" style="98" customWidth="1"/>
    <col min="14084" max="14087" width="8.85546875" style="98" customWidth="1"/>
    <col min="14088" max="14088" width="9.28515625" style="98" customWidth="1"/>
    <col min="14089" max="14091" width="14.7109375" style="98" customWidth="1"/>
    <col min="14092" max="14097" width="8.85546875" style="98" customWidth="1"/>
    <col min="14098" max="14099" width="8.7109375" style="98" customWidth="1"/>
    <col min="14100" max="14100" width="15.42578125" style="98" customWidth="1"/>
    <col min="14101" max="14336" width="9" style="98" customWidth="1"/>
    <col min="14337" max="14339" width="8.7109375" style="98" customWidth="1"/>
    <col min="14340" max="14343" width="8.85546875" style="98" customWidth="1"/>
    <col min="14344" max="14344" width="9.28515625" style="98" customWidth="1"/>
    <col min="14345" max="14347" width="14.7109375" style="98" customWidth="1"/>
    <col min="14348" max="14353" width="8.85546875" style="98" customWidth="1"/>
    <col min="14354" max="14355" width="8.7109375" style="98" customWidth="1"/>
    <col min="14356" max="14356" width="15.42578125" style="98" customWidth="1"/>
    <col min="14357" max="14592" width="9" style="98" customWidth="1"/>
    <col min="14593" max="14595" width="8.7109375" style="98" customWidth="1"/>
    <col min="14596" max="14599" width="8.85546875" style="98" customWidth="1"/>
    <col min="14600" max="14600" width="9.28515625" style="98" customWidth="1"/>
    <col min="14601" max="14603" width="14.7109375" style="98" customWidth="1"/>
    <col min="14604" max="14609" width="8.85546875" style="98" customWidth="1"/>
    <col min="14610" max="14611" width="8.7109375" style="98" customWidth="1"/>
    <col min="14612" max="14612" width="15.42578125" style="98" customWidth="1"/>
    <col min="14613" max="14848" width="9" style="98" customWidth="1"/>
    <col min="14849" max="14851" width="8.7109375" style="98" customWidth="1"/>
    <col min="14852" max="14855" width="8.85546875" style="98" customWidth="1"/>
    <col min="14856" max="14856" width="9.28515625" style="98" customWidth="1"/>
    <col min="14857" max="14859" width="14.7109375" style="98" customWidth="1"/>
    <col min="14860" max="14865" width="8.85546875" style="98" customWidth="1"/>
    <col min="14866" max="14867" width="8.7109375" style="98" customWidth="1"/>
    <col min="14868" max="14868" width="15.42578125" style="98" customWidth="1"/>
    <col min="14869" max="15104" width="9" style="98" customWidth="1"/>
    <col min="15105" max="15107" width="8.7109375" style="98" customWidth="1"/>
    <col min="15108" max="15111" width="8.85546875" style="98" customWidth="1"/>
    <col min="15112" max="15112" width="9.28515625" style="98" customWidth="1"/>
    <col min="15113" max="15115" width="14.7109375" style="98" customWidth="1"/>
    <col min="15116" max="15121" width="8.85546875" style="98" customWidth="1"/>
    <col min="15122" max="15123" width="8.7109375" style="98" customWidth="1"/>
    <col min="15124" max="15124" width="15.42578125" style="98" customWidth="1"/>
    <col min="15125" max="15360" width="9" style="98" customWidth="1"/>
    <col min="15361" max="15363" width="8.7109375" style="98" customWidth="1"/>
    <col min="15364" max="15367" width="8.85546875" style="98" customWidth="1"/>
    <col min="15368" max="15368" width="9.28515625" style="98" customWidth="1"/>
    <col min="15369" max="15371" width="14.7109375" style="98" customWidth="1"/>
    <col min="15372" max="15377" width="8.85546875" style="98" customWidth="1"/>
    <col min="15378" max="15379" width="8.7109375" style="98" customWidth="1"/>
    <col min="15380" max="15380" width="15.42578125" style="98" customWidth="1"/>
    <col min="15381" max="15616" width="9" style="98" customWidth="1"/>
    <col min="15617" max="15619" width="8.7109375" style="98" customWidth="1"/>
    <col min="15620" max="15623" width="8.85546875" style="98" customWidth="1"/>
    <col min="15624" max="15624" width="9.28515625" style="98" customWidth="1"/>
    <col min="15625" max="15627" width="14.7109375" style="98" customWidth="1"/>
    <col min="15628" max="15633" width="8.85546875" style="98" customWidth="1"/>
    <col min="15634" max="15635" width="8.7109375" style="98" customWidth="1"/>
    <col min="15636" max="15636" width="15.42578125" style="98" customWidth="1"/>
    <col min="15637" max="15872" width="9" style="98" customWidth="1"/>
    <col min="15873" max="15875" width="8.7109375" style="98" customWidth="1"/>
    <col min="15876" max="15879" width="8.85546875" style="98" customWidth="1"/>
    <col min="15880" max="15880" width="9.28515625" style="98" customWidth="1"/>
    <col min="15881" max="15883" width="14.7109375" style="98" customWidth="1"/>
    <col min="15884" max="15889" width="8.85546875" style="98" customWidth="1"/>
    <col min="15890" max="15891" width="8.7109375" style="98" customWidth="1"/>
    <col min="15892" max="15892" width="15.42578125" style="98" customWidth="1"/>
    <col min="15893" max="16128" width="9" style="98" customWidth="1"/>
    <col min="16129" max="16131" width="8.7109375" style="98" customWidth="1"/>
    <col min="16132" max="16135" width="8.85546875" style="98" customWidth="1"/>
    <col min="16136" max="16136" width="9.28515625" style="98" customWidth="1"/>
    <col min="16137" max="16139" width="14.7109375" style="98" customWidth="1"/>
    <col min="16140" max="16145" width="8.85546875" style="98" customWidth="1"/>
    <col min="16146" max="16147" width="8.7109375" style="98" customWidth="1"/>
    <col min="16148" max="16148" width="15.42578125" style="98" customWidth="1"/>
    <col min="16149" max="16384" width="9" style="98" customWidth="1"/>
  </cols>
  <sheetData>
    <row r="1" spans="1:20" s="85" customFormat="1" ht="44.25" customHeight="1">
      <c r="A1" s="83"/>
      <c r="B1" s="84"/>
      <c r="C1" s="84"/>
      <c r="D1" s="84"/>
      <c r="E1" s="84"/>
      <c r="F1" s="84"/>
      <c r="G1" s="84"/>
      <c r="H1" s="84"/>
      <c r="I1" s="84"/>
      <c r="J1" s="84"/>
      <c r="K1" s="84"/>
      <c r="L1" s="84"/>
      <c r="M1" s="84"/>
      <c r="N1" s="84"/>
      <c r="O1" s="84"/>
      <c r="P1" s="84"/>
      <c r="Q1" s="84"/>
      <c r="R1" s="84"/>
      <c r="S1" s="84"/>
      <c r="T1" s="84"/>
    </row>
    <row r="2" spans="1:20" s="85" customFormat="1" ht="85.5" customHeight="1">
      <c r="A2" s="119" t="s">
        <v>0</v>
      </c>
      <c r="B2" s="120"/>
      <c r="C2" s="120"/>
      <c r="D2" s="120"/>
      <c r="E2" s="120"/>
      <c r="F2" s="120"/>
      <c r="G2" s="120"/>
      <c r="H2" s="120"/>
      <c r="I2" s="120"/>
      <c r="J2" s="120"/>
      <c r="K2" s="120"/>
      <c r="L2" s="120"/>
      <c r="M2" s="120"/>
      <c r="N2" s="120"/>
      <c r="O2" s="120"/>
      <c r="P2" s="120"/>
      <c r="Q2" s="120"/>
      <c r="R2" s="120"/>
      <c r="S2" s="120"/>
      <c r="T2" s="86"/>
    </row>
    <row r="3" spans="1:20" s="85" customFormat="1" ht="13.9" customHeight="1">
      <c r="A3" s="84"/>
      <c r="B3" s="84"/>
      <c r="C3" s="84"/>
      <c r="D3" s="84"/>
      <c r="E3" s="84"/>
      <c r="F3" s="84"/>
      <c r="G3" s="84"/>
      <c r="H3" s="84"/>
      <c r="I3" s="84"/>
      <c r="J3" s="84"/>
      <c r="K3" s="84"/>
      <c r="L3" s="84"/>
      <c r="M3" s="84"/>
      <c r="N3" s="84"/>
      <c r="O3" s="84"/>
      <c r="P3" s="84"/>
      <c r="Q3" s="84"/>
      <c r="R3" s="84"/>
      <c r="S3" s="84"/>
      <c r="T3" s="84"/>
    </row>
    <row r="4" spans="1:20" s="85" customFormat="1" ht="13.9" customHeight="1">
      <c r="A4" s="84"/>
      <c r="B4" s="84"/>
      <c r="C4" s="84"/>
      <c r="D4" s="84"/>
      <c r="E4" s="84"/>
      <c r="F4" s="84"/>
      <c r="G4" s="84"/>
      <c r="H4" s="84"/>
      <c r="I4" s="84"/>
      <c r="J4" s="84"/>
      <c r="K4" s="84"/>
      <c r="L4" s="84"/>
      <c r="M4" s="84"/>
      <c r="N4" s="84"/>
      <c r="O4" s="84"/>
      <c r="P4" s="84"/>
      <c r="Q4" s="84"/>
      <c r="R4" s="84"/>
      <c r="S4" s="84"/>
      <c r="T4" s="84"/>
    </row>
    <row r="5" spans="1:20" s="85" customFormat="1" ht="13.9" customHeight="1">
      <c r="A5" s="84"/>
      <c r="B5" s="84"/>
      <c r="C5" s="84"/>
      <c r="D5" s="84"/>
      <c r="E5" s="84"/>
      <c r="F5" s="84"/>
      <c r="G5" s="84"/>
      <c r="H5" s="84"/>
      <c r="I5" s="84"/>
      <c r="J5" s="84"/>
      <c r="K5" s="84"/>
      <c r="L5" s="84"/>
      <c r="M5" s="84"/>
      <c r="N5" s="84"/>
      <c r="O5" s="84"/>
      <c r="P5" s="84"/>
      <c r="Q5" s="84"/>
      <c r="R5" s="84"/>
      <c r="S5" s="84"/>
      <c r="T5" s="84"/>
    </row>
    <row r="6" spans="1:20" s="85" customFormat="1" ht="13.9" customHeight="1">
      <c r="A6" s="84"/>
      <c r="B6" s="84"/>
      <c r="C6" s="84"/>
      <c r="D6" s="84"/>
      <c r="E6" s="84"/>
      <c r="F6" s="84"/>
      <c r="G6" s="84"/>
      <c r="H6" s="84"/>
      <c r="I6" s="84"/>
      <c r="J6" s="84"/>
      <c r="K6" s="84"/>
      <c r="L6" s="84"/>
      <c r="M6" s="84"/>
      <c r="N6" s="84"/>
      <c r="O6" s="84"/>
      <c r="P6" s="84"/>
      <c r="Q6" s="84"/>
      <c r="R6" s="84"/>
      <c r="S6" s="84"/>
      <c r="T6" s="84"/>
    </row>
    <row r="7" spans="1:20" s="85" customFormat="1" ht="13.9" customHeight="1">
      <c r="A7" s="84"/>
      <c r="B7" s="84"/>
      <c r="C7" s="84"/>
      <c r="D7" s="84"/>
      <c r="E7" s="84"/>
      <c r="F7" s="84"/>
      <c r="G7" s="84"/>
      <c r="H7" s="84"/>
      <c r="I7" s="84"/>
      <c r="J7" s="84"/>
      <c r="K7" s="84"/>
      <c r="L7" s="84"/>
      <c r="M7" s="84"/>
      <c r="N7" s="84"/>
      <c r="O7" s="84"/>
      <c r="P7" s="84"/>
      <c r="Q7" s="84"/>
      <c r="R7" s="84"/>
      <c r="S7" s="84"/>
      <c r="T7" s="84"/>
    </row>
    <row r="8" spans="1:20" s="85" customFormat="1" ht="13.9" customHeight="1">
      <c r="A8" s="84"/>
      <c r="B8" s="84"/>
      <c r="C8" s="84"/>
      <c r="D8" s="84"/>
      <c r="E8" s="84"/>
      <c r="F8" s="84"/>
      <c r="G8" s="84"/>
      <c r="H8" s="84"/>
      <c r="I8" s="84"/>
      <c r="J8" s="84"/>
      <c r="K8" s="84"/>
      <c r="L8" s="84"/>
      <c r="M8" s="84"/>
      <c r="N8" s="84"/>
      <c r="O8" s="84"/>
      <c r="P8" s="84"/>
      <c r="Q8" s="84"/>
      <c r="R8" s="84"/>
      <c r="S8" s="84"/>
      <c r="T8" s="84"/>
    </row>
    <row r="9" spans="1:20" s="85" customFormat="1" ht="21.2" customHeight="1">
      <c r="A9" s="87"/>
      <c r="B9" s="87"/>
      <c r="C9" s="87"/>
      <c r="D9" s="87"/>
      <c r="E9" s="88"/>
      <c r="F9" s="89"/>
      <c r="G9" s="89"/>
      <c r="H9" s="89"/>
      <c r="I9" s="89"/>
      <c r="J9" s="89"/>
      <c r="K9" s="89"/>
      <c r="L9" s="84"/>
      <c r="M9" s="84"/>
      <c r="N9" s="88"/>
      <c r="O9" s="88"/>
      <c r="P9" s="88"/>
      <c r="Q9" s="88"/>
      <c r="R9" s="88"/>
      <c r="S9" s="88"/>
      <c r="T9" s="88"/>
    </row>
    <row r="10" spans="1:20" s="85" customFormat="1" ht="13.7" customHeight="1">
      <c r="A10" s="84"/>
      <c r="B10" s="84"/>
      <c r="C10" s="84"/>
      <c r="D10" s="84"/>
      <c r="E10" s="84"/>
      <c r="F10" s="84"/>
      <c r="G10" s="84"/>
      <c r="H10" s="84"/>
      <c r="I10" s="84"/>
      <c r="J10" s="84"/>
      <c r="K10" s="84"/>
      <c r="L10" s="84"/>
      <c r="M10" s="84"/>
      <c r="N10" s="84"/>
      <c r="O10" s="84"/>
      <c r="P10" s="84"/>
      <c r="Q10" s="84"/>
      <c r="R10" s="84"/>
      <c r="S10" s="84"/>
      <c r="T10" s="84"/>
    </row>
    <row r="11" spans="1:20" s="85" customFormat="1" ht="13.9" hidden="1" customHeight="1">
      <c r="A11" s="84"/>
      <c r="B11" s="84"/>
      <c r="C11" s="84"/>
      <c r="D11" s="84"/>
      <c r="E11" s="84"/>
      <c r="F11" s="84"/>
      <c r="G11" s="84"/>
      <c r="H11" s="84"/>
      <c r="I11" s="84"/>
      <c r="J11" s="84"/>
      <c r="K11" s="84"/>
      <c r="L11" s="84"/>
      <c r="M11" s="84"/>
      <c r="N11" s="84"/>
      <c r="O11" s="84"/>
      <c r="P11" s="84"/>
      <c r="Q11" s="84"/>
      <c r="R11" s="84"/>
      <c r="S11" s="84"/>
      <c r="T11" s="84"/>
    </row>
    <row r="12" spans="1:20" s="85" customFormat="1" ht="24" customHeight="1">
      <c r="A12" s="90" t="s">
        <v>1</v>
      </c>
      <c r="B12" s="90"/>
      <c r="C12" s="90"/>
      <c r="D12" s="88"/>
      <c r="E12" s="90"/>
      <c r="F12" s="90"/>
      <c r="G12" s="90"/>
      <c r="H12" s="90"/>
      <c r="I12" s="90"/>
      <c r="J12" s="90"/>
      <c r="K12" s="90"/>
      <c r="L12" s="90"/>
      <c r="M12" s="90"/>
      <c r="N12" s="90"/>
      <c r="O12" s="90"/>
      <c r="P12" s="90"/>
      <c r="Q12" s="90"/>
      <c r="R12" s="90"/>
      <c r="S12" s="90"/>
      <c r="T12" s="90"/>
    </row>
    <row r="13" spans="1:20" s="85" customFormat="1" ht="39" customHeight="1">
      <c r="A13" s="117" t="s">
        <v>2</v>
      </c>
      <c r="B13" s="120"/>
      <c r="C13" s="120"/>
      <c r="D13" s="120"/>
      <c r="E13" s="120"/>
      <c r="F13" s="120"/>
      <c r="G13" s="120"/>
      <c r="H13" s="120"/>
      <c r="I13" s="120"/>
      <c r="J13" s="120"/>
      <c r="K13" s="120"/>
      <c r="L13" s="120"/>
      <c r="M13" s="120"/>
      <c r="N13" s="120"/>
      <c r="O13" s="120"/>
      <c r="P13" s="120"/>
      <c r="Q13" s="120"/>
      <c r="R13" s="120"/>
      <c r="S13" s="120"/>
      <c r="T13" s="91"/>
    </row>
    <row r="14" spans="1:20" s="85" customFormat="1" ht="13.9" customHeight="1">
      <c r="A14" s="84"/>
      <c r="B14" s="84"/>
      <c r="C14" s="84"/>
      <c r="D14" s="84"/>
      <c r="E14" s="84"/>
      <c r="F14" s="84"/>
      <c r="G14" s="84"/>
      <c r="H14" s="84"/>
      <c r="I14" s="84"/>
      <c r="J14" s="84"/>
      <c r="K14" s="84"/>
      <c r="L14" s="84"/>
      <c r="M14" s="84"/>
      <c r="N14" s="84"/>
      <c r="O14" s="84"/>
      <c r="P14" s="84"/>
      <c r="Q14" s="84"/>
      <c r="R14" s="84"/>
      <c r="S14" s="84"/>
      <c r="T14" s="84"/>
    </row>
    <row r="15" spans="1:20" s="96" customFormat="1" ht="9" customHeight="1">
      <c r="A15" s="92"/>
      <c r="B15" s="93"/>
      <c r="C15" s="94"/>
      <c r="D15" s="93"/>
      <c r="E15" s="92"/>
      <c r="F15" s="92"/>
      <c r="G15" s="92"/>
      <c r="H15" s="92"/>
      <c r="I15" s="92"/>
      <c r="J15" s="92"/>
      <c r="K15" s="95"/>
      <c r="L15" s="95"/>
      <c r="N15" s="97"/>
      <c r="O15" s="97"/>
      <c r="P15" s="97"/>
      <c r="Q15" s="95"/>
    </row>
    <row r="16" spans="1:20" s="96" customFormat="1" ht="12.75" customHeight="1" thickBot="1">
      <c r="A16" s="92"/>
      <c r="B16" s="93"/>
      <c r="C16" s="94"/>
      <c r="D16" s="93"/>
      <c r="E16" s="92"/>
      <c r="F16" s="92"/>
      <c r="G16" s="92"/>
      <c r="H16" s="92"/>
      <c r="I16" s="92"/>
      <c r="J16" s="92"/>
      <c r="K16" s="95"/>
      <c r="L16" s="95"/>
      <c r="N16" s="97"/>
      <c r="O16" s="97"/>
      <c r="P16" s="97"/>
      <c r="Q16" s="95"/>
    </row>
    <row r="17" spans="1:20" s="96" customFormat="1" ht="28.5" customHeight="1" thickBot="1">
      <c r="A17" s="92"/>
      <c r="B17" s="93"/>
      <c r="C17" s="94"/>
      <c r="D17" s="93"/>
      <c r="E17" s="94"/>
      <c r="F17" s="92"/>
      <c r="G17" s="92"/>
      <c r="H17" s="98"/>
      <c r="I17" s="99" t="s">
        <v>3</v>
      </c>
      <c r="J17" s="100" t="s">
        <v>4</v>
      </c>
      <c r="K17" s="100" t="s">
        <v>5</v>
      </c>
      <c r="L17" s="95"/>
      <c r="M17" s="95"/>
      <c r="N17" s="95"/>
      <c r="O17" s="95"/>
      <c r="P17" s="95"/>
      <c r="Q17" s="95"/>
    </row>
    <row r="18" spans="1:20" s="96" customFormat="1" ht="39" customHeight="1">
      <c r="A18" s="92"/>
      <c r="B18" s="93"/>
      <c r="C18" s="94"/>
      <c r="D18" s="93"/>
      <c r="E18" s="92"/>
      <c r="F18" s="92"/>
      <c r="G18" s="92"/>
      <c r="H18" s="98"/>
      <c r="I18" s="101"/>
      <c r="J18" s="101"/>
      <c r="K18" s="101"/>
      <c r="L18" s="95"/>
      <c r="M18" s="95"/>
      <c r="N18" s="95"/>
      <c r="O18" s="95"/>
      <c r="P18" s="95"/>
      <c r="Q18" s="95"/>
    </row>
    <row r="19" spans="1:20" s="96" customFormat="1" ht="41.25" customHeight="1" thickBot="1">
      <c r="A19" s="92"/>
      <c r="B19" s="93"/>
      <c r="C19" s="94"/>
      <c r="D19" s="94"/>
      <c r="E19" s="94"/>
      <c r="F19" s="94"/>
      <c r="G19" s="92"/>
      <c r="H19" s="98"/>
      <c r="I19" s="102"/>
      <c r="J19" s="102"/>
      <c r="K19" s="102"/>
      <c r="L19" s="95"/>
      <c r="M19" s="95"/>
      <c r="N19" s="95"/>
      <c r="O19" s="95"/>
      <c r="P19" s="95"/>
      <c r="Q19" s="95"/>
    </row>
    <row r="20" spans="1:20" s="96" customFormat="1" ht="51" customHeight="1">
      <c r="A20" s="92"/>
      <c r="B20" s="93"/>
      <c r="C20" s="94"/>
      <c r="D20" s="94"/>
      <c r="E20" s="94"/>
      <c r="F20" s="94"/>
      <c r="G20" s="92"/>
      <c r="H20" s="92"/>
      <c r="I20" s="92"/>
      <c r="J20" s="92"/>
      <c r="K20" s="95"/>
      <c r="L20" s="95"/>
      <c r="M20" s="95"/>
      <c r="N20" s="95"/>
      <c r="O20" s="95"/>
      <c r="P20" s="95"/>
      <c r="Q20" s="95"/>
    </row>
    <row r="21" spans="1:20" s="96" customFormat="1" ht="37.5" customHeight="1">
      <c r="A21" s="92"/>
      <c r="B21" s="93"/>
      <c r="C21" s="94"/>
      <c r="D21" s="94"/>
      <c r="E21" s="94"/>
      <c r="F21" s="94"/>
      <c r="G21" s="92"/>
      <c r="H21" s="92"/>
      <c r="I21" s="92"/>
      <c r="J21" s="92"/>
      <c r="K21" s="95"/>
      <c r="L21" s="95"/>
      <c r="M21" s="95"/>
      <c r="N21" s="95"/>
      <c r="O21" s="95"/>
      <c r="P21" s="95"/>
      <c r="Q21" s="95"/>
    </row>
    <row r="22" spans="1:20" s="96" customFormat="1" ht="33.75" customHeight="1"/>
    <row r="23" spans="1:20" s="96" customFormat="1" ht="13.5" customHeight="1"/>
    <row r="24" spans="1:20" s="96" customFormat="1" ht="13.5" customHeight="1"/>
    <row r="25" spans="1:20" s="96" customFormat="1" ht="13.5" customHeight="1"/>
    <row r="26" spans="1:20" s="96" customFormat="1" ht="13.5" customHeight="1"/>
    <row r="27" spans="1:20" s="96" customFormat="1" ht="36" customHeight="1">
      <c r="A27" s="118" t="s">
        <v>6</v>
      </c>
      <c r="B27" s="121"/>
      <c r="C27" s="121"/>
      <c r="D27" s="121"/>
      <c r="E27" s="121"/>
      <c r="F27" s="121"/>
      <c r="G27" s="121"/>
      <c r="H27" s="121"/>
      <c r="I27" s="121"/>
      <c r="J27" s="121"/>
      <c r="K27" s="121"/>
      <c r="L27" s="121"/>
      <c r="M27" s="121"/>
      <c r="N27" s="121"/>
      <c r="O27" s="121"/>
      <c r="P27" s="121"/>
      <c r="Q27" s="121"/>
      <c r="R27" s="121"/>
      <c r="S27" s="121"/>
      <c r="T27" s="121"/>
    </row>
  </sheetData>
  <mergeCells count="3">
    <mergeCell ref="A13:S13"/>
    <mergeCell ref="A27:T27"/>
    <mergeCell ref="A2:S2"/>
  </mergeCells>
  <printOptions horizontalCentered="1"/>
  <pageMargins left="0.74803149606299213" right="0.74803149606299213" top="0.98425196850393704" bottom="0.78740157480314965" header="0.78740157480314965" footer="0.39370078740157483"/>
  <pageSetup paperSize="9" scale="70" fitToHeight="9" orientation="landscape" verticalDpi="300" r:id="rId1"/>
  <headerFooter alignWithMargins="0">
    <oddHeader>&amp;L&amp;"Calibri"&amp;8&amp;K000000 대외비(Restricted)&amp;1#_x000D_&amp;"Calibri"&amp;11&amp;K000000&amp;"Calibri"&amp;1 &amp;K000000 대외비(Restricted)#_x000D_</oddHead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A197"/>
  <sheetViews>
    <sheetView zoomScale="70" zoomScaleNormal="70" workbookViewId="0">
      <pane xSplit="16" ySplit="5" topLeftCell="Q82" activePane="bottomRight" state="frozen"/>
      <selection pane="bottomRight" activeCell="U90" sqref="U89:U90"/>
      <selection pane="bottomLeft" activeCell="A6" sqref="A6"/>
      <selection pane="topRight" activeCell="Q1" sqref="Q1"/>
    </sheetView>
  </sheetViews>
  <sheetFormatPr defaultRowHeight="14.45" outlineLevelCol="1"/>
  <cols>
    <col min="1" max="1" width="5.7109375" customWidth="1"/>
    <col min="2" max="2" width="11.28515625" customWidth="1"/>
    <col min="3" max="3" width="21.28515625" customWidth="1"/>
    <col min="4" max="4" width="8.7109375" customWidth="1"/>
    <col min="5" max="5" width="18" hidden="1" customWidth="1" outlineLevel="1"/>
    <col min="6" max="6" width="14.28515625" customWidth="1" collapsed="1"/>
    <col min="7" max="7" width="35.7109375" customWidth="1"/>
    <col min="8" max="8" width="14.28515625" customWidth="1"/>
    <col min="9" max="9" width="28.7109375" customWidth="1"/>
    <col min="10" max="16" width="14.28515625" hidden="1" customWidth="1" outlineLevel="1"/>
    <col min="17" max="17" width="8.7109375" customWidth="1" collapsed="1"/>
    <col min="18" max="18" width="11.28515625" customWidth="1"/>
    <col min="19" max="36" width="13" customWidth="1"/>
    <col min="37" max="37" width="13" customWidth="1" collapsed="1"/>
    <col min="38" max="52" width="13" customWidth="1"/>
    <col min="53" max="53" width="21.28515625" customWidth="1"/>
  </cols>
  <sheetData>
    <row r="1" spans="1:53" ht="18.75" customHeight="1">
      <c r="A1" s="115" t="s">
        <v>7</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row>
    <row r="2" spans="1:53" ht="13.5" customHeight="1">
      <c r="A2" s="116" t="s">
        <v>8</v>
      </c>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c r="AZ2" s="123"/>
      <c r="BA2" s="123"/>
    </row>
    <row r="3" spans="1:53" ht="23.25" customHeight="1">
      <c r="A3" s="104" t="s">
        <v>9</v>
      </c>
      <c r="B3" s="104" t="s">
        <v>10</v>
      </c>
      <c r="C3" s="104" t="s">
        <v>11</v>
      </c>
      <c r="D3" s="104" t="s">
        <v>12</v>
      </c>
      <c r="E3" s="104" t="s">
        <v>13</v>
      </c>
      <c r="F3" s="104" t="s">
        <v>14</v>
      </c>
      <c r="G3" s="104" t="s">
        <v>15</v>
      </c>
      <c r="I3" s="104" t="s">
        <v>16</v>
      </c>
      <c r="J3" s="104" t="s">
        <v>17</v>
      </c>
      <c r="K3" s="104" t="s">
        <v>18</v>
      </c>
      <c r="L3" s="104" t="s">
        <v>19</v>
      </c>
      <c r="M3" s="104" t="s">
        <v>20</v>
      </c>
      <c r="N3" s="104" t="s">
        <v>21</v>
      </c>
      <c r="O3" s="104" t="s">
        <v>22</v>
      </c>
      <c r="P3" s="104" t="s">
        <v>23</v>
      </c>
      <c r="Q3" s="114" t="s">
        <v>24</v>
      </c>
      <c r="R3" s="114" t="s">
        <v>25</v>
      </c>
      <c r="S3" s="113" t="s">
        <v>26</v>
      </c>
      <c r="T3" s="124"/>
      <c r="U3" s="124"/>
      <c r="V3" s="124"/>
      <c r="W3" s="124"/>
      <c r="X3" s="124"/>
      <c r="Y3" s="124"/>
      <c r="Z3" s="124"/>
      <c r="AA3" s="124"/>
      <c r="AB3" s="124"/>
      <c r="AC3" s="124"/>
      <c r="AD3" s="124"/>
      <c r="AE3" s="125"/>
      <c r="AF3" s="113" t="s">
        <v>27</v>
      </c>
      <c r="AG3" s="124"/>
      <c r="AH3" s="124"/>
      <c r="AI3" s="124"/>
      <c r="AJ3" s="124"/>
      <c r="AK3" s="124"/>
      <c r="AL3" s="124"/>
      <c r="AM3" s="124"/>
      <c r="AN3" s="124"/>
      <c r="AO3" s="124"/>
      <c r="AP3" s="124"/>
      <c r="AQ3" s="124"/>
      <c r="AR3" s="124"/>
      <c r="AS3" s="124"/>
      <c r="AT3" s="124"/>
      <c r="AU3" s="124"/>
      <c r="AV3" s="124"/>
      <c r="AW3" s="124"/>
      <c r="AX3" s="124"/>
      <c r="AY3" s="124"/>
      <c r="AZ3" s="125"/>
      <c r="BA3" s="114" t="s">
        <v>28</v>
      </c>
    </row>
    <row r="4" spans="1:53" ht="23.25" customHeight="1">
      <c r="G4" s="104" t="s">
        <v>29</v>
      </c>
      <c r="H4" s="104" t="s">
        <v>30</v>
      </c>
      <c r="Q4" s="126"/>
      <c r="R4" s="126"/>
      <c r="S4" s="103" t="s">
        <v>31</v>
      </c>
      <c r="T4" s="103" t="s">
        <v>32</v>
      </c>
      <c r="U4" s="103" t="s">
        <v>33</v>
      </c>
      <c r="V4" s="103" t="s">
        <v>34</v>
      </c>
      <c r="W4" s="103" t="s">
        <v>35</v>
      </c>
      <c r="X4" s="103" t="s">
        <v>36</v>
      </c>
      <c r="Y4" s="104" t="s">
        <v>37</v>
      </c>
      <c r="Z4" s="104" t="s">
        <v>38</v>
      </c>
      <c r="AA4" s="103" t="s">
        <v>39</v>
      </c>
      <c r="AB4" s="103" t="s">
        <v>40</v>
      </c>
      <c r="AC4" s="104" t="s">
        <v>41</v>
      </c>
      <c r="AD4" s="103" t="s">
        <v>42</v>
      </c>
      <c r="AE4" s="103" t="s">
        <v>43</v>
      </c>
      <c r="AF4" s="104" t="s">
        <v>44</v>
      </c>
      <c r="AG4" s="104" t="s">
        <v>45</v>
      </c>
      <c r="AH4" s="103" t="s">
        <v>46</v>
      </c>
      <c r="AI4" s="104" t="s">
        <v>47</v>
      </c>
      <c r="AJ4" s="104" t="s">
        <v>48</v>
      </c>
      <c r="AK4" s="103" t="s">
        <v>49</v>
      </c>
      <c r="AL4" s="103" t="s">
        <v>50</v>
      </c>
      <c r="AM4" s="103" t="s">
        <v>51</v>
      </c>
      <c r="AN4" s="103" t="s">
        <v>52</v>
      </c>
      <c r="AO4" s="103" t="s">
        <v>53</v>
      </c>
      <c r="AP4" s="103" t="s">
        <v>54</v>
      </c>
      <c r="AQ4" s="103" t="s">
        <v>55</v>
      </c>
      <c r="AR4" s="103" t="s">
        <v>56</v>
      </c>
      <c r="AS4" s="103" t="s">
        <v>57</v>
      </c>
      <c r="AT4" s="103" t="s">
        <v>58</v>
      </c>
      <c r="AU4" s="103" t="s">
        <v>59</v>
      </c>
      <c r="AV4" s="103" t="s">
        <v>60</v>
      </c>
      <c r="AW4" s="103" t="s">
        <v>61</v>
      </c>
      <c r="AX4" s="103" t="s">
        <v>62</v>
      </c>
      <c r="AY4" s="103" t="s">
        <v>63</v>
      </c>
      <c r="AZ4" s="105" t="s">
        <v>64</v>
      </c>
      <c r="BA4" s="126"/>
    </row>
    <row r="5" spans="1:53" ht="23.25" customHeight="1">
      <c r="Q5" s="127"/>
      <c r="R5" s="127"/>
      <c r="S5" s="104" t="s">
        <v>65</v>
      </c>
      <c r="T5" s="104" t="s">
        <v>65</v>
      </c>
      <c r="U5" s="104" t="s">
        <v>66</v>
      </c>
      <c r="V5" s="103" t="s">
        <v>66</v>
      </c>
      <c r="W5" s="103" t="s">
        <v>66</v>
      </c>
      <c r="X5" s="103" t="s">
        <v>66</v>
      </c>
      <c r="Y5" s="103" t="s">
        <v>67</v>
      </c>
      <c r="Z5" s="104" t="s">
        <v>68</v>
      </c>
      <c r="AA5" s="103" t="s">
        <v>69</v>
      </c>
      <c r="AB5" s="103" t="s">
        <v>70</v>
      </c>
      <c r="AC5" s="103" t="s">
        <v>71</v>
      </c>
      <c r="AD5" s="103" t="s">
        <v>72</v>
      </c>
      <c r="AE5" s="103" t="s">
        <v>73</v>
      </c>
      <c r="AF5" s="104" t="s">
        <v>74</v>
      </c>
      <c r="AG5" s="104" t="s">
        <v>75</v>
      </c>
      <c r="AH5" s="103" t="s">
        <v>76</v>
      </c>
      <c r="AI5" s="104" t="s">
        <v>77</v>
      </c>
      <c r="AJ5" s="104" t="s">
        <v>78</v>
      </c>
      <c r="AK5" s="103" t="s">
        <v>79</v>
      </c>
      <c r="AL5" s="103" t="s">
        <v>80</v>
      </c>
      <c r="AM5" s="103" t="s">
        <v>81</v>
      </c>
      <c r="AN5" s="103" t="s">
        <v>82</v>
      </c>
      <c r="AO5" s="103" t="s">
        <v>83</v>
      </c>
      <c r="AP5" s="103" t="s">
        <v>84</v>
      </c>
      <c r="AQ5" s="103" t="s">
        <v>72</v>
      </c>
      <c r="AR5" s="103" t="s">
        <v>85</v>
      </c>
      <c r="AS5" s="103" t="s">
        <v>86</v>
      </c>
      <c r="AT5" s="103" t="s">
        <v>87</v>
      </c>
      <c r="AU5" s="103" t="s">
        <v>86</v>
      </c>
      <c r="AV5" s="103" t="s">
        <v>87</v>
      </c>
      <c r="AW5" s="103" t="s">
        <v>87</v>
      </c>
      <c r="AX5" s="103" t="s">
        <v>86</v>
      </c>
      <c r="AY5" s="103" t="s">
        <v>87</v>
      </c>
      <c r="AZ5" s="103" t="s">
        <v>87</v>
      </c>
      <c r="BA5" s="127"/>
    </row>
    <row r="6" spans="1:53" ht="18.75" customHeight="1">
      <c r="A6" s="4">
        <v>1</v>
      </c>
      <c r="B6" s="5" t="s">
        <v>88</v>
      </c>
      <c r="C6" s="6"/>
      <c r="D6" s="6" t="s">
        <v>89</v>
      </c>
      <c r="E6" s="4"/>
      <c r="F6" s="6" t="s">
        <v>90</v>
      </c>
      <c r="G6" s="7"/>
      <c r="H6" s="9"/>
      <c r="I6" s="7"/>
      <c r="J6" s="4"/>
      <c r="K6" s="19">
        <v>0</v>
      </c>
      <c r="L6" s="4"/>
      <c r="M6" s="19">
        <v>0</v>
      </c>
      <c r="N6" s="20">
        <v>0</v>
      </c>
      <c r="O6" s="4"/>
      <c r="P6" s="4"/>
      <c r="Q6" s="4"/>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9"/>
    </row>
    <row r="7" spans="1:53" ht="18.75" customHeight="1">
      <c r="A7" s="4">
        <v>2</v>
      </c>
      <c r="B7" s="5" t="s">
        <v>88</v>
      </c>
      <c r="C7" s="6"/>
      <c r="D7" s="38" t="s">
        <v>91</v>
      </c>
      <c r="E7" s="58"/>
      <c r="F7" s="38" t="s">
        <v>92</v>
      </c>
      <c r="G7" s="60"/>
      <c r="H7" s="9"/>
      <c r="I7" s="7"/>
      <c r="J7" s="4"/>
      <c r="K7" s="19">
        <v>0</v>
      </c>
      <c r="L7" s="4"/>
      <c r="M7" s="19">
        <v>0</v>
      </c>
      <c r="N7" s="20">
        <v>0</v>
      </c>
      <c r="O7" s="4"/>
      <c r="P7" s="4"/>
      <c r="Q7" s="4"/>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9"/>
    </row>
    <row r="8" spans="1:53" ht="18.75" customHeight="1">
      <c r="A8" s="4">
        <v>3</v>
      </c>
      <c r="B8" s="21" t="s">
        <v>88</v>
      </c>
      <c r="C8" s="3"/>
      <c r="D8" s="1"/>
      <c r="E8" s="2"/>
      <c r="F8" s="1"/>
      <c r="G8" s="26" t="s">
        <v>93</v>
      </c>
      <c r="H8" s="1"/>
      <c r="I8" s="22"/>
      <c r="J8" s="2"/>
      <c r="K8" s="23">
        <v>0</v>
      </c>
      <c r="L8" s="2"/>
      <c r="M8" s="23">
        <v>0</v>
      </c>
      <c r="N8" s="24">
        <v>0</v>
      </c>
      <c r="O8" s="2"/>
      <c r="P8" s="2"/>
      <c r="Q8" s="2"/>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1"/>
    </row>
    <row r="9" spans="1:53" ht="30.75" customHeight="1">
      <c r="A9" s="4">
        <v>4</v>
      </c>
      <c r="B9" s="21" t="s">
        <v>88</v>
      </c>
      <c r="C9" s="3"/>
      <c r="D9" s="1"/>
      <c r="E9" s="2"/>
      <c r="F9" s="1"/>
      <c r="G9" s="26" t="s">
        <v>94</v>
      </c>
      <c r="H9" s="1"/>
      <c r="I9" s="22"/>
      <c r="J9" s="2"/>
      <c r="K9" s="23">
        <v>0</v>
      </c>
      <c r="L9" s="2"/>
      <c r="M9" s="23">
        <v>0</v>
      </c>
      <c r="N9" s="24">
        <v>0</v>
      </c>
      <c r="O9" s="2"/>
      <c r="P9" s="2"/>
      <c r="Q9" s="2"/>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1"/>
    </row>
    <row r="10" spans="1:53" ht="18.75" customHeight="1">
      <c r="A10" s="4">
        <v>5</v>
      </c>
      <c r="B10" s="21" t="s">
        <v>88</v>
      </c>
      <c r="C10" s="3"/>
      <c r="D10" s="1"/>
      <c r="E10" s="2"/>
      <c r="F10" s="1"/>
      <c r="G10" s="26" t="s">
        <v>95</v>
      </c>
      <c r="H10" s="1"/>
      <c r="I10" s="22"/>
      <c r="J10" s="2"/>
      <c r="K10" s="23">
        <v>0</v>
      </c>
      <c r="L10" s="2"/>
      <c r="M10" s="23">
        <v>0</v>
      </c>
      <c r="N10" s="24">
        <v>0</v>
      </c>
      <c r="O10" s="2"/>
      <c r="P10" s="2"/>
      <c r="Q10" s="2"/>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1"/>
    </row>
    <row r="11" spans="1:53" ht="30.75" customHeight="1">
      <c r="A11" s="4">
        <v>6</v>
      </c>
      <c r="B11" s="21" t="s">
        <v>88</v>
      </c>
      <c r="C11" s="3"/>
      <c r="D11" s="1"/>
      <c r="E11" s="2"/>
      <c r="F11" s="1"/>
      <c r="G11" s="26" t="s">
        <v>96</v>
      </c>
      <c r="H11" s="1"/>
      <c r="I11" s="22"/>
      <c r="J11" s="2"/>
      <c r="K11" s="23">
        <v>0</v>
      </c>
      <c r="L11" s="2"/>
      <c r="M11" s="23">
        <v>0</v>
      </c>
      <c r="N11" s="24">
        <v>0</v>
      </c>
      <c r="O11" s="2"/>
      <c r="P11" s="2"/>
      <c r="Q11" s="2"/>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1"/>
    </row>
    <row r="12" spans="1:53" ht="30.75" customHeight="1">
      <c r="A12" s="4">
        <v>7</v>
      </c>
      <c r="B12" s="21" t="s">
        <v>88</v>
      </c>
      <c r="C12" s="3"/>
      <c r="D12" s="1"/>
      <c r="E12" s="2"/>
      <c r="F12" s="1"/>
      <c r="G12" s="26" t="s">
        <v>97</v>
      </c>
      <c r="H12" s="1"/>
      <c r="I12" s="22"/>
      <c r="J12" s="2"/>
      <c r="K12" s="23">
        <v>0</v>
      </c>
      <c r="L12" s="2"/>
      <c r="M12" s="23">
        <v>0</v>
      </c>
      <c r="N12" s="24">
        <v>0</v>
      </c>
      <c r="O12" s="2"/>
      <c r="P12" s="2"/>
      <c r="Q12" s="2"/>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1"/>
    </row>
    <row r="13" spans="1:53" ht="30.75" customHeight="1">
      <c r="A13" s="4">
        <v>8</v>
      </c>
      <c r="B13" s="21" t="s">
        <v>88</v>
      </c>
      <c r="C13" s="3"/>
      <c r="D13" s="1"/>
      <c r="E13" s="2"/>
      <c r="F13" s="1"/>
      <c r="G13" s="26" t="s">
        <v>98</v>
      </c>
      <c r="H13" s="1"/>
      <c r="I13" s="22"/>
      <c r="J13" s="2"/>
      <c r="K13" s="23">
        <v>0</v>
      </c>
      <c r="L13" s="2"/>
      <c r="M13" s="23">
        <v>0</v>
      </c>
      <c r="N13" s="24">
        <v>0</v>
      </c>
      <c r="O13" s="2"/>
      <c r="P13" s="2"/>
      <c r="Q13" s="2"/>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1"/>
    </row>
    <row r="14" spans="1:53" ht="18.75" customHeight="1">
      <c r="A14" s="4">
        <v>9</v>
      </c>
      <c r="B14" s="21" t="s">
        <v>88</v>
      </c>
      <c r="C14" s="3"/>
      <c r="D14" s="1"/>
      <c r="E14" s="2"/>
      <c r="F14" s="1"/>
      <c r="G14" s="26" t="s">
        <v>99</v>
      </c>
      <c r="H14" s="1"/>
      <c r="I14" s="22"/>
      <c r="J14" s="2"/>
      <c r="K14" s="23">
        <v>0</v>
      </c>
      <c r="L14" s="2"/>
      <c r="M14" s="23">
        <v>0</v>
      </c>
      <c r="N14" s="24">
        <v>0</v>
      </c>
      <c r="O14" s="2"/>
      <c r="P14" s="2"/>
      <c r="Q14" s="2"/>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1"/>
    </row>
    <row r="15" spans="1:53" ht="18.75" customHeight="1">
      <c r="A15" s="4">
        <v>10</v>
      </c>
      <c r="B15" s="21" t="s">
        <v>88</v>
      </c>
      <c r="C15" s="3"/>
      <c r="D15" s="1"/>
      <c r="E15" s="2"/>
      <c r="F15" s="1"/>
      <c r="G15" s="26" t="s">
        <v>100</v>
      </c>
      <c r="H15" s="1"/>
      <c r="I15" s="22"/>
      <c r="J15" s="2"/>
      <c r="K15" s="23">
        <v>0</v>
      </c>
      <c r="L15" s="2"/>
      <c r="M15" s="23">
        <v>0</v>
      </c>
      <c r="N15" s="24">
        <v>0</v>
      </c>
      <c r="O15" s="2"/>
      <c r="P15" s="2"/>
      <c r="Q15" s="2"/>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1"/>
    </row>
    <row r="16" spans="1:53" ht="18.75" customHeight="1">
      <c r="A16" s="4">
        <v>11</v>
      </c>
      <c r="B16" s="21" t="s">
        <v>88</v>
      </c>
      <c r="C16" s="3"/>
      <c r="D16" s="1"/>
      <c r="E16" s="2"/>
      <c r="F16" s="1"/>
      <c r="G16" s="26" t="s">
        <v>101</v>
      </c>
      <c r="H16" s="1"/>
      <c r="I16" s="22"/>
      <c r="J16" s="2"/>
      <c r="K16" s="23">
        <v>0</v>
      </c>
      <c r="L16" s="2"/>
      <c r="M16" s="23">
        <v>0</v>
      </c>
      <c r="N16" s="24">
        <v>0</v>
      </c>
      <c r="O16" s="2"/>
      <c r="P16" s="2"/>
      <c r="Q16" s="2"/>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1"/>
    </row>
    <row r="17" spans="1:53" ht="18.75" customHeight="1">
      <c r="A17" s="4">
        <v>12</v>
      </c>
      <c r="B17" s="21" t="s">
        <v>88</v>
      </c>
      <c r="C17" s="3"/>
      <c r="D17" s="1"/>
      <c r="E17" s="2"/>
      <c r="F17" s="1"/>
      <c r="G17" s="26" t="s">
        <v>102</v>
      </c>
      <c r="H17" s="1"/>
      <c r="I17" s="22"/>
      <c r="J17" s="2"/>
      <c r="K17" s="23">
        <v>0</v>
      </c>
      <c r="L17" s="2"/>
      <c r="M17" s="23">
        <v>0</v>
      </c>
      <c r="N17" s="24">
        <v>0</v>
      </c>
      <c r="O17" s="2"/>
      <c r="P17" s="2"/>
      <c r="Q17" s="2"/>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1"/>
    </row>
    <row r="18" spans="1:53" ht="18.75" customHeight="1">
      <c r="A18" s="4">
        <v>13</v>
      </c>
      <c r="B18" s="11" t="s">
        <v>88</v>
      </c>
      <c r="C18" s="12"/>
      <c r="D18" s="12" t="s">
        <v>103</v>
      </c>
      <c r="E18" s="13"/>
      <c r="F18" s="14"/>
      <c r="G18" s="15"/>
      <c r="H18" s="12" t="s">
        <v>104</v>
      </c>
      <c r="I18" s="18" t="s">
        <v>105</v>
      </c>
      <c r="J18" s="13" t="s">
        <v>106</v>
      </c>
      <c r="K18" s="10">
        <v>3</v>
      </c>
      <c r="L18" s="13" t="s">
        <v>89</v>
      </c>
      <c r="M18" s="10">
        <v>12</v>
      </c>
      <c r="N18" s="27">
        <v>0</v>
      </c>
      <c r="O18" s="13" t="s">
        <v>107</v>
      </c>
      <c r="P18" s="13" t="s">
        <v>108</v>
      </c>
      <c r="Q18" s="13" t="s">
        <v>109</v>
      </c>
      <c r="R18" s="17">
        <f t="shared" ref="R18:R23" si="0">SUM(S18:AZ18)</f>
        <v>7200</v>
      </c>
      <c r="S18" s="17"/>
      <c r="T18" s="17"/>
      <c r="U18" s="17"/>
      <c r="V18" s="17"/>
      <c r="W18" s="17"/>
      <c r="X18" s="17"/>
      <c r="Y18" s="17"/>
      <c r="Z18" s="17"/>
      <c r="AA18" s="17"/>
      <c r="AB18" s="17"/>
      <c r="AC18" s="17"/>
      <c r="AD18" s="17"/>
      <c r="AE18" s="17"/>
      <c r="AF18" s="17">
        <f>6*200+3*200+12*100</f>
        <v>3000</v>
      </c>
      <c r="AG18" s="17">
        <f>6*200+3*200+12*100</f>
        <v>3000</v>
      </c>
      <c r="AH18" s="17"/>
      <c r="AI18" s="17"/>
      <c r="AJ18" s="17"/>
      <c r="AK18" s="17"/>
      <c r="AL18" s="17"/>
      <c r="AM18" s="17"/>
      <c r="AN18" s="17"/>
      <c r="AO18" s="17"/>
      <c r="AP18" s="17"/>
      <c r="AQ18" s="17"/>
      <c r="AR18" s="17"/>
      <c r="AS18" s="17"/>
      <c r="AT18" s="17"/>
      <c r="AU18" s="17"/>
      <c r="AV18" s="17"/>
      <c r="AW18" s="17"/>
      <c r="AX18" s="17"/>
      <c r="AY18" s="17"/>
      <c r="AZ18" s="17">
        <f>6*200</f>
        <v>1200</v>
      </c>
      <c r="BA18" s="12" t="s">
        <v>110</v>
      </c>
    </row>
    <row r="19" spans="1:53" ht="18.75" customHeight="1">
      <c r="A19" s="4">
        <v>14</v>
      </c>
      <c r="B19" s="11" t="s">
        <v>88</v>
      </c>
      <c r="C19" s="12"/>
      <c r="D19" s="12" t="s">
        <v>111</v>
      </c>
      <c r="E19" s="13"/>
      <c r="F19" s="14"/>
      <c r="G19" s="15"/>
      <c r="H19" s="12" t="s">
        <v>104</v>
      </c>
      <c r="I19" s="18" t="s">
        <v>112</v>
      </c>
      <c r="J19" s="10"/>
      <c r="K19" s="10">
        <v>3</v>
      </c>
      <c r="L19" s="13" t="s">
        <v>89</v>
      </c>
      <c r="M19" s="10">
        <v>12</v>
      </c>
      <c r="N19" s="27">
        <v>0</v>
      </c>
      <c r="O19" s="13" t="s">
        <v>107</v>
      </c>
      <c r="P19" s="10"/>
      <c r="Q19" s="13" t="s">
        <v>109</v>
      </c>
      <c r="R19" s="17">
        <f t="shared" si="0"/>
        <v>0</v>
      </c>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2"/>
    </row>
    <row r="20" spans="1:53" ht="18.75" customHeight="1">
      <c r="A20" s="4">
        <v>15</v>
      </c>
      <c r="B20" s="11" t="s">
        <v>88</v>
      </c>
      <c r="C20" s="12"/>
      <c r="D20" s="12" t="s">
        <v>113</v>
      </c>
      <c r="E20" s="13"/>
      <c r="F20" s="14"/>
      <c r="G20" s="15"/>
      <c r="H20" s="12" t="s">
        <v>114</v>
      </c>
      <c r="I20" s="18" t="s">
        <v>105</v>
      </c>
      <c r="J20" s="13" t="s">
        <v>106</v>
      </c>
      <c r="K20" s="10">
        <v>3</v>
      </c>
      <c r="L20" s="13" t="s">
        <v>89</v>
      </c>
      <c r="M20" s="10">
        <v>10</v>
      </c>
      <c r="N20" s="27">
        <v>0</v>
      </c>
      <c r="O20" s="13" t="s">
        <v>107</v>
      </c>
      <c r="P20" s="13" t="s">
        <v>115</v>
      </c>
      <c r="Q20" s="13" t="s">
        <v>109</v>
      </c>
      <c r="R20" s="17">
        <f t="shared" si="0"/>
        <v>0</v>
      </c>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2"/>
    </row>
    <row r="21" spans="1:53" ht="18.75" customHeight="1">
      <c r="A21" s="4">
        <v>16</v>
      </c>
      <c r="B21" s="11" t="s">
        <v>88</v>
      </c>
      <c r="C21" s="12"/>
      <c r="D21" s="12" t="s">
        <v>116</v>
      </c>
      <c r="E21" s="13"/>
      <c r="F21" s="14"/>
      <c r="G21" s="15"/>
      <c r="H21" s="12" t="s">
        <v>117</v>
      </c>
      <c r="I21" s="18" t="s">
        <v>112</v>
      </c>
      <c r="J21" s="10"/>
      <c r="K21" s="10">
        <v>3</v>
      </c>
      <c r="L21" s="13" t="s">
        <v>89</v>
      </c>
      <c r="M21" s="10">
        <v>2</v>
      </c>
      <c r="N21" s="27">
        <v>0</v>
      </c>
      <c r="O21" s="13" t="s">
        <v>107</v>
      </c>
      <c r="P21" s="10"/>
      <c r="Q21" s="13" t="s">
        <v>109</v>
      </c>
      <c r="R21" s="17">
        <f t="shared" si="0"/>
        <v>0</v>
      </c>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4"/>
    </row>
    <row r="22" spans="1:53" ht="18.75" customHeight="1">
      <c r="A22" s="4">
        <v>17</v>
      </c>
      <c r="B22" s="11" t="s">
        <v>88</v>
      </c>
      <c r="C22" s="12"/>
      <c r="D22" s="12" t="s">
        <v>118</v>
      </c>
      <c r="E22" s="13"/>
      <c r="F22" s="14"/>
      <c r="G22" s="15"/>
      <c r="H22" s="12" t="s">
        <v>119</v>
      </c>
      <c r="I22" s="18" t="s">
        <v>112</v>
      </c>
      <c r="J22" s="10"/>
      <c r="K22" s="10">
        <v>3</v>
      </c>
      <c r="L22" s="13" t="s">
        <v>89</v>
      </c>
      <c r="M22" s="10">
        <v>8</v>
      </c>
      <c r="N22" s="27">
        <v>0</v>
      </c>
      <c r="O22" s="13" t="s">
        <v>107</v>
      </c>
      <c r="P22" s="10"/>
      <c r="Q22" s="13" t="s">
        <v>109</v>
      </c>
      <c r="R22" s="17">
        <f t="shared" si="0"/>
        <v>1600</v>
      </c>
      <c r="S22" s="17"/>
      <c r="T22" s="17"/>
      <c r="U22" s="17"/>
      <c r="V22" s="17"/>
      <c r="W22" s="17"/>
      <c r="X22" s="17"/>
      <c r="Y22" s="17"/>
      <c r="Z22" s="17"/>
      <c r="AA22" s="17"/>
      <c r="AB22" s="17"/>
      <c r="AC22" s="17"/>
      <c r="AD22" s="17"/>
      <c r="AE22" s="17"/>
      <c r="AF22" s="17">
        <f>1*500</f>
        <v>500</v>
      </c>
      <c r="AG22" s="17">
        <f>1*500</f>
        <v>500</v>
      </c>
      <c r="AH22" s="17"/>
      <c r="AI22" s="17"/>
      <c r="AJ22" s="17"/>
      <c r="AK22" s="17"/>
      <c r="AL22" s="17"/>
      <c r="AM22" s="17"/>
      <c r="AN22" s="17"/>
      <c r="AO22" s="17"/>
      <c r="AP22" s="17"/>
      <c r="AQ22" s="17"/>
      <c r="AR22" s="17"/>
      <c r="AS22" s="17"/>
      <c r="AT22" s="17"/>
      <c r="AU22" s="17"/>
      <c r="AV22" s="17"/>
      <c r="AW22" s="17"/>
      <c r="AX22" s="17"/>
      <c r="AY22" s="17"/>
      <c r="AZ22" s="17">
        <f>3*2*100</f>
        <v>600</v>
      </c>
      <c r="BA22" s="12" t="s">
        <v>120</v>
      </c>
    </row>
    <row r="23" spans="1:53" ht="18.75" customHeight="1">
      <c r="A23" s="4">
        <v>35</v>
      </c>
      <c r="B23" s="11" t="s">
        <v>88</v>
      </c>
      <c r="C23" s="12"/>
      <c r="D23" s="12" t="s">
        <v>121</v>
      </c>
      <c r="E23" s="13"/>
      <c r="F23" s="14"/>
      <c r="G23" s="15"/>
      <c r="H23" s="12" t="s">
        <v>122</v>
      </c>
      <c r="I23" s="18" t="s">
        <v>123</v>
      </c>
      <c r="J23" s="13" t="s">
        <v>124</v>
      </c>
      <c r="K23" s="10">
        <v>2</v>
      </c>
      <c r="L23" s="13" t="s">
        <v>89</v>
      </c>
      <c r="M23" s="10">
        <v>14</v>
      </c>
      <c r="N23" s="27">
        <v>0</v>
      </c>
      <c r="O23" s="13" t="s">
        <v>107</v>
      </c>
      <c r="P23" s="13" t="s">
        <v>125</v>
      </c>
      <c r="Q23" s="13" t="s">
        <v>109</v>
      </c>
      <c r="R23" s="17">
        <f t="shared" si="0"/>
        <v>400</v>
      </c>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f>100*4</f>
        <v>400</v>
      </c>
      <c r="BA23" s="12" t="s">
        <v>126</v>
      </c>
    </row>
    <row r="24" spans="1:53" ht="18.75" customHeight="1">
      <c r="A24" s="4">
        <v>18</v>
      </c>
      <c r="B24" s="5" t="s">
        <v>88</v>
      </c>
      <c r="C24" s="6"/>
      <c r="D24" s="38" t="s">
        <v>127</v>
      </c>
      <c r="E24" s="58"/>
      <c r="F24" s="38" t="s">
        <v>128</v>
      </c>
      <c r="G24" s="60"/>
      <c r="H24" s="9"/>
      <c r="I24" s="7"/>
      <c r="J24" s="4"/>
      <c r="K24" s="19">
        <v>0</v>
      </c>
      <c r="L24" s="4"/>
      <c r="M24" s="19">
        <v>0</v>
      </c>
      <c r="N24" s="20">
        <v>0</v>
      </c>
      <c r="O24" s="4"/>
      <c r="P24" s="4"/>
      <c r="Q24" s="4"/>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9"/>
    </row>
    <row r="25" spans="1:53" ht="18.75" customHeight="1">
      <c r="A25" s="4">
        <v>19</v>
      </c>
      <c r="B25" s="21" t="s">
        <v>88</v>
      </c>
      <c r="C25" s="3"/>
      <c r="D25" s="1"/>
      <c r="E25" s="2"/>
      <c r="F25" s="1"/>
      <c r="G25" s="26" t="s">
        <v>93</v>
      </c>
      <c r="H25" s="1"/>
      <c r="I25" s="22"/>
      <c r="J25" s="2"/>
      <c r="K25" s="23">
        <v>0</v>
      </c>
      <c r="L25" s="2"/>
      <c r="M25" s="23">
        <v>0</v>
      </c>
      <c r="N25" s="24">
        <v>0</v>
      </c>
      <c r="O25" s="2"/>
      <c r="P25" s="2"/>
      <c r="Q25" s="2"/>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81"/>
    </row>
    <row r="26" spans="1:53" ht="30.75" customHeight="1">
      <c r="A26" s="4">
        <v>20</v>
      </c>
      <c r="B26" s="21" t="s">
        <v>88</v>
      </c>
      <c r="C26" s="3"/>
      <c r="D26" s="1"/>
      <c r="E26" s="2"/>
      <c r="F26" s="1"/>
      <c r="G26" s="26" t="s">
        <v>94</v>
      </c>
      <c r="H26" s="1"/>
      <c r="I26" s="22"/>
      <c r="J26" s="2"/>
      <c r="K26" s="23">
        <v>0</v>
      </c>
      <c r="L26" s="2"/>
      <c r="M26" s="23">
        <v>0</v>
      </c>
      <c r="N26" s="24">
        <v>0</v>
      </c>
      <c r="O26" s="2"/>
      <c r="P26" s="2"/>
      <c r="Q26" s="2"/>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1"/>
    </row>
    <row r="27" spans="1:53" ht="18.75" customHeight="1">
      <c r="A27" s="4">
        <v>21</v>
      </c>
      <c r="B27" s="21" t="s">
        <v>88</v>
      </c>
      <c r="C27" s="3"/>
      <c r="D27" s="1"/>
      <c r="E27" s="2"/>
      <c r="F27" s="1"/>
      <c r="G27" s="26" t="s">
        <v>129</v>
      </c>
      <c r="H27" s="1"/>
      <c r="I27" s="22"/>
      <c r="J27" s="2"/>
      <c r="K27" s="23">
        <v>0</v>
      </c>
      <c r="L27" s="2"/>
      <c r="M27" s="23">
        <v>0</v>
      </c>
      <c r="N27" s="24">
        <v>0</v>
      </c>
      <c r="O27" s="2"/>
      <c r="P27" s="2"/>
      <c r="Q27" s="2"/>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1"/>
    </row>
    <row r="28" spans="1:53" ht="30.75" customHeight="1">
      <c r="A28" s="4">
        <v>22</v>
      </c>
      <c r="B28" s="21" t="s">
        <v>88</v>
      </c>
      <c r="C28" s="3"/>
      <c r="D28" s="1"/>
      <c r="E28" s="2"/>
      <c r="F28" s="1"/>
      <c r="G28" s="26" t="s">
        <v>96</v>
      </c>
      <c r="H28" s="1"/>
      <c r="I28" s="22"/>
      <c r="J28" s="2"/>
      <c r="K28" s="23">
        <v>0</v>
      </c>
      <c r="L28" s="2"/>
      <c r="M28" s="23">
        <v>0</v>
      </c>
      <c r="N28" s="24">
        <v>0</v>
      </c>
      <c r="O28" s="2"/>
      <c r="P28" s="2"/>
      <c r="Q28" s="2"/>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1"/>
    </row>
    <row r="29" spans="1:53" ht="30.75" customHeight="1">
      <c r="A29" s="4">
        <v>23</v>
      </c>
      <c r="B29" s="21" t="s">
        <v>88</v>
      </c>
      <c r="C29" s="3"/>
      <c r="D29" s="1"/>
      <c r="E29" s="2"/>
      <c r="F29" s="1"/>
      <c r="G29" s="26" t="s">
        <v>97</v>
      </c>
      <c r="H29" s="1"/>
      <c r="I29" s="22"/>
      <c r="J29" s="2"/>
      <c r="K29" s="23">
        <v>0</v>
      </c>
      <c r="L29" s="2"/>
      <c r="M29" s="23">
        <v>0</v>
      </c>
      <c r="N29" s="24">
        <v>0</v>
      </c>
      <c r="O29" s="2"/>
      <c r="P29" s="2"/>
      <c r="Q29" s="2"/>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1"/>
    </row>
    <row r="30" spans="1:53" ht="30.75" customHeight="1">
      <c r="A30" s="4">
        <v>24</v>
      </c>
      <c r="B30" s="21" t="s">
        <v>88</v>
      </c>
      <c r="C30" s="3"/>
      <c r="D30" s="1"/>
      <c r="E30" s="2"/>
      <c r="F30" s="1"/>
      <c r="G30" s="26" t="s">
        <v>98</v>
      </c>
      <c r="H30" s="1"/>
      <c r="I30" s="22"/>
      <c r="J30" s="2"/>
      <c r="K30" s="23">
        <v>0</v>
      </c>
      <c r="L30" s="2"/>
      <c r="M30" s="23">
        <v>0</v>
      </c>
      <c r="N30" s="24">
        <v>0</v>
      </c>
      <c r="O30" s="2"/>
      <c r="P30" s="2"/>
      <c r="Q30" s="2"/>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1"/>
    </row>
    <row r="31" spans="1:53" ht="18.75" customHeight="1">
      <c r="A31" s="4">
        <v>25</v>
      </c>
      <c r="B31" s="21" t="s">
        <v>88</v>
      </c>
      <c r="C31" s="3"/>
      <c r="D31" s="1"/>
      <c r="E31" s="2"/>
      <c r="F31" s="1"/>
      <c r="G31" s="26" t="s">
        <v>99</v>
      </c>
      <c r="H31" s="1"/>
      <c r="I31" s="22"/>
      <c r="J31" s="2"/>
      <c r="K31" s="23">
        <v>0</v>
      </c>
      <c r="L31" s="2"/>
      <c r="M31" s="23">
        <v>0</v>
      </c>
      <c r="N31" s="24">
        <v>0</v>
      </c>
      <c r="O31" s="2"/>
      <c r="P31" s="2"/>
      <c r="Q31" s="2"/>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1"/>
    </row>
    <row r="32" spans="1:53" ht="18.75" customHeight="1">
      <c r="A32" s="4">
        <v>26</v>
      </c>
      <c r="B32" s="21" t="s">
        <v>88</v>
      </c>
      <c r="C32" s="3"/>
      <c r="D32" s="1"/>
      <c r="E32" s="2"/>
      <c r="F32" s="1"/>
      <c r="G32" s="26" t="s">
        <v>100</v>
      </c>
      <c r="H32" s="1"/>
      <c r="I32" s="22"/>
      <c r="J32" s="2"/>
      <c r="K32" s="23">
        <v>0</v>
      </c>
      <c r="L32" s="2"/>
      <c r="M32" s="23">
        <v>0</v>
      </c>
      <c r="N32" s="24">
        <v>0</v>
      </c>
      <c r="O32" s="2"/>
      <c r="P32" s="2"/>
      <c r="Q32" s="2"/>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1"/>
    </row>
    <row r="33" spans="1:53" ht="18.75" customHeight="1">
      <c r="A33" s="4">
        <v>27</v>
      </c>
      <c r="B33" s="21" t="s">
        <v>88</v>
      </c>
      <c r="C33" s="3"/>
      <c r="D33" s="1"/>
      <c r="E33" s="2"/>
      <c r="F33" s="1"/>
      <c r="G33" s="26" t="s">
        <v>101</v>
      </c>
      <c r="H33" s="1"/>
      <c r="I33" s="22"/>
      <c r="J33" s="2"/>
      <c r="K33" s="23">
        <v>0</v>
      </c>
      <c r="L33" s="2"/>
      <c r="M33" s="23">
        <v>0</v>
      </c>
      <c r="N33" s="24">
        <v>0</v>
      </c>
      <c r="O33" s="2"/>
      <c r="P33" s="2"/>
      <c r="Q33" s="2"/>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1"/>
    </row>
    <row r="34" spans="1:53" ht="18.75" customHeight="1">
      <c r="A34" s="4">
        <v>28</v>
      </c>
      <c r="B34" s="21" t="s">
        <v>88</v>
      </c>
      <c r="C34" s="3"/>
      <c r="D34" s="1"/>
      <c r="E34" s="2"/>
      <c r="F34" s="1"/>
      <c r="G34" s="26" t="s">
        <v>102</v>
      </c>
      <c r="H34" s="1"/>
      <c r="I34" s="22"/>
      <c r="J34" s="2"/>
      <c r="K34" s="23">
        <v>0</v>
      </c>
      <c r="L34" s="2"/>
      <c r="M34" s="23">
        <v>0</v>
      </c>
      <c r="N34" s="24">
        <v>0</v>
      </c>
      <c r="O34" s="2"/>
      <c r="P34" s="2"/>
      <c r="Q34" s="2"/>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1"/>
    </row>
    <row r="35" spans="1:53" ht="18.75" customHeight="1">
      <c r="A35" s="4">
        <v>29</v>
      </c>
      <c r="B35" s="11" t="s">
        <v>88</v>
      </c>
      <c r="C35" s="12"/>
      <c r="D35" s="12" t="s">
        <v>130</v>
      </c>
      <c r="E35" s="13"/>
      <c r="F35" s="14"/>
      <c r="G35" s="15"/>
      <c r="H35" s="12" t="s">
        <v>131</v>
      </c>
      <c r="I35" s="18" t="s">
        <v>123</v>
      </c>
      <c r="J35" s="13" t="s">
        <v>124</v>
      </c>
      <c r="K35" s="10">
        <v>3</v>
      </c>
      <c r="L35" s="13" t="s">
        <v>89</v>
      </c>
      <c r="M35" s="10">
        <v>14</v>
      </c>
      <c r="N35" s="27">
        <v>0</v>
      </c>
      <c r="O35" s="13" t="s">
        <v>107</v>
      </c>
      <c r="P35" s="13" t="s">
        <v>132</v>
      </c>
      <c r="Q35" s="13" t="s">
        <v>109</v>
      </c>
      <c r="R35" s="17">
        <f t="shared" ref="R35:R41" si="1">SUM(S35:AZ35)</f>
        <v>0</v>
      </c>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2"/>
    </row>
    <row r="36" spans="1:53" ht="18.75" customHeight="1">
      <c r="A36" s="4">
        <v>30</v>
      </c>
      <c r="B36" s="11" t="s">
        <v>88</v>
      </c>
      <c r="C36" s="12"/>
      <c r="D36" s="12" t="s">
        <v>133</v>
      </c>
      <c r="E36" s="13"/>
      <c r="F36" s="14"/>
      <c r="G36" s="15"/>
      <c r="H36" s="12" t="s">
        <v>104</v>
      </c>
      <c r="I36" s="18" t="s">
        <v>123</v>
      </c>
      <c r="J36" s="13" t="s">
        <v>124</v>
      </c>
      <c r="K36" s="10">
        <v>3</v>
      </c>
      <c r="L36" s="13" t="s">
        <v>89</v>
      </c>
      <c r="M36" s="10">
        <v>12</v>
      </c>
      <c r="N36" s="27">
        <v>0</v>
      </c>
      <c r="O36" s="13" t="s">
        <v>107</v>
      </c>
      <c r="P36" s="13" t="s">
        <v>134</v>
      </c>
      <c r="Q36" s="13" t="s">
        <v>109</v>
      </c>
      <c r="R36" s="17">
        <f t="shared" si="1"/>
        <v>1400</v>
      </c>
      <c r="S36" s="17"/>
      <c r="T36" s="17"/>
      <c r="U36" s="17"/>
      <c r="V36" s="17"/>
      <c r="W36" s="17"/>
      <c r="X36" s="17"/>
      <c r="Y36" s="17"/>
      <c r="Z36" s="17"/>
      <c r="AA36" s="17"/>
      <c r="AB36" s="17"/>
      <c r="AC36" s="17"/>
      <c r="AD36" s="17"/>
      <c r="AE36" s="17"/>
      <c r="AF36" s="17"/>
      <c r="AG36" s="17"/>
      <c r="AH36" s="17"/>
      <c r="AI36" s="17">
        <f>7*100</f>
        <v>700</v>
      </c>
      <c r="AJ36" s="17">
        <f>7*100</f>
        <v>700</v>
      </c>
      <c r="AK36" s="17"/>
      <c r="AL36" s="17"/>
      <c r="AM36" s="17"/>
      <c r="AN36" s="17"/>
      <c r="AO36" s="17"/>
      <c r="AP36" s="17"/>
      <c r="AQ36" s="17"/>
      <c r="AR36" s="17"/>
      <c r="AS36" s="17"/>
      <c r="AT36" s="17"/>
      <c r="AU36" s="17"/>
      <c r="AV36" s="17"/>
      <c r="AW36" s="17"/>
      <c r="AX36" s="17"/>
      <c r="AY36" s="17"/>
      <c r="AZ36" s="17"/>
      <c r="BA36" s="12" t="s">
        <v>135</v>
      </c>
    </row>
    <row r="37" spans="1:53" ht="18.75" customHeight="1">
      <c r="A37" s="4">
        <v>31</v>
      </c>
      <c r="B37" s="11" t="s">
        <v>88</v>
      </c>
      <c r="C37" s="12"/>
      <c r="D37" s="12" t="s">
        <v>136</v>
      </c>
      <c r="E37" s="13"/>
      <c r="F37" s="14"/>
      <c r="G37" s="15"/>
      <c r="H37" s="12" t="s">
        <v>137</v>
      </c>
      <c r="I37" s="18" t="s">
        <v>138</v>
      </c>
      <c r="J37" s="10"/>
      <c r="K37" s="10">
        <v>3</v>
      </c>
      <c r="L37" s="13" t="s">
        <v>89</v>
      </c>
      <c r="M37" s="10">
        <v>12</v>
      </c>
      <c r="N37" s="27">
        <v>0</v>
      </c>
      <c r="O37" s="13" t="s">
        <v>107</v>
      </c>
      <c r="P37" s="10"/>
      <c r="Q37" s="13" t="s">
        <v>109</v>
      </c>
      <c r="R37" s="17">
        <f t="shared" si="1"/>
        <v>0</v>
      </c>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4"/>
    </row>
    <row r="38" spans="1:53" ht="18.75" customHeight="1">
      <c r="A38" s="4">
        <v>32</v>
      </c>
      <c r="B38" s="11" t="s">
        <v>88</v>
      </c>
      <c r="C38" s="12"/>
      <c r="D38" s="12" t="s">
        <v>139</v>
      </c>
      <c r="E38" s="13"/>
      <c r="F38" s="14"/>
      <c r="G38" s="15"/>
      <c r="H38" s="12" t="s">
        <v>114</v>
      </c>
      <c r="I38" s="18" t="s">
        <v>123</v>
      </c>
      <c r="J38" s="13" t="s">
        <v>124</v>
      </c>
      <c r="K38" s="10">
        <v>3</v>
      </c>
      <c r="L38" s="13" t="s">
        <v>89</v>
      </c>
      <c r="M38" s="10">
        <v>10</v>
      </c>
      <c r="N38" s="27">
        <v>0</v>
      </c>
      <c r="O38" s="13" t="s">
        <v>107</v>
      </c>
      <c r="P38" s="13" t="s">
        <v>140</v>
      </c>
      <c r="Q38" s="13" t="s">
        <v>109</v>
      </c>
      <c r="R38" s="17">
        <f t="shared" si="1"/>
        <v>0</v>
      </c>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2"/>
    </row>
    <row r="39" spans="1:53" ht="18.75" customHeight="1">
      <c r="A39" s="4">
        <v>33</v>
      </c>
      <c r="B39" s="11" t="s">
        <v>88</v>
      </c>
      <c r="C39" s="12"/>
      <c r="D39" s="12" t="s">
        <v>141</v>
      </c>
      <c r="E39" s="13"/>
      <c r="F39" s="14"/>
      <c r="G39" s="15"/>
      <c r="H39" s="12" t="s">
        <v>142</v>
      </c>
      <c r="I39" s="18" t="s">
        <v>123</v>
      </c>
      <c r="J39" s="13" t="s">
        <v>124</v>
      </c>
      <c r="K39" s="10">
        <v>3</v>
      </c>
      <c r="L39" s="13" t="s">
        <v>89</v>
      </c>
      <c r="M39" s="10">
        <v>8</v>
      </c>
      <c r="N39" s="27">
        <v>0</v>
      </c>
      <c r="O39" s="13" t="s">
        <v>107</v>
      </c>
      <c r="P39" s="13" t="s">
        <v>143</v>
      </c>
      <c r="Q39" s="13" t="s">
        <v>109</v>
      </c>
      <c r="R39" s="17">
        <f t="shared" si="1"/>
        <v>0</v>
      </c>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2"/>
    </row>
    <row r="40" spans="1:53" ht="18.75" customHeight="1">
      <c r="A40" s="4">
        <v>34</v>
      </c>
      <c r="B40" s="11" t="s">
        <v>88</v>
      </c>
      <c r="C40" s="12"/>
      <c r="D40" s="12" t="s">
        <v>144</v>
      </c>
      <c r="E40" s="13"/>
      <c r="F40" s="14"/>
      <c r="G40" s="15"/>
      <c r="H40" s="12" t="s">
        <v>119</v>
      </c>
      <c r="I40" s="18" t="s">
        <v>123</v>
      </c>
      <c r="J40" s="13" t="s">
        <v>124</v>
      </c>
      <c r="K40" s="10">
        <v>3</v>
      </c>
      <c r="L40" s="13" t="s">
        <v>89</v>
      </c>
      <c r="M40" s="10">
        <v>6</v>
      </c>
      <c r="N40" s="27">
        <v>0</v>
      </c>
      <c r="O40" s="13" t="s">
        <v>107</v>
      </c>
      <c r="P40" s="13" t="s">
        <v>145</v>
      </c>
      <c r="Q40" s="13" t="s">
        <v>109</v>
      </c>
      <c r="R40" s="17">
        <f t="shared" si="1"/>
        <v>4200</v>
      </c>
      <c r="S40" s="17"/>
      <c r="T40" s="17"/>
      <c r="U40" s="17"/>
      <c r="V40" s="17"/>
      <c r="W40" s="17"/>
      <c r="X40" s="17"/>
      <c r="Y40" s="17"/>
      <c r="Z40" s="17"/>
      <c r="AA40" s="17"/>
      <c r="AB40" s="17"/>
      <c r="AC40" s="17"/>
      <c r="AD40" s="17"/>
      <c r="AE40" s="17"/>
      <c r="AF40" s="17"/>
      <c r="AG40" s="17"/>
      <c r="AH40" s="17"/>
      <c r="AI40" s="17">
        <f>2*100+2*100+2*100</f>
        <v>600</v>
      </c>
      <c r="AJ40" s="17">
        <f>2*100+2*100+2*100+2*2*100+2*2*100</f>
        <v>1400</v>
      </c>
      <c r="AK40" s="17"/>
      <c r="AL40" s="17"/>
      <c r="AM40" s="17"/>
      <c r="AN40" s="17"/>
      <c r="AO40" s="17"/>
      <c r="AP40" s="17"/>
      <c r="AQ40" s="17"/>
      <c r="AR40" s="17"/>
      <c r="AS40" s="17">
        <f>2*100+2*100+2*100+2*2*100</f>
        <v>1000</v>
      </c>
      <c r="AT40" s="17">
        <f>2*100</f>
        <v>200</v>
      </c>
      <c r="AU40" s="17">
        <f>2*2*100</f>
        <v>400</v>
      </c>
      <c r="AV40" s="17">
        <f>2*100</f>
        <v>200</v>
      </c>
      <c r="AW40" s="17">
        <f>2*100</f>
        <v>200</v>
      </c>
      <c r="AX40" s="17">
        <f>2*100</f>
        <v>200</v>
      </c>
      <c r="AY40" s="17"/>
      <c r="AZ40" s="17"/>
      <c r="BA40" s="12" t="s">
        <v>146</v>
      </c>
    </row>
    <row r="41" spans="1:53" ht="18.75" customHeight="1">
      <c r="A41" s="4">
        <v>35</v>
      </c>
      <c r="B41" s="11" t="s">
        <v>88</v>
      </c>
      <c r="C41" s="12"/>
      <c r="D41" s="12" t="s">
        <v>121</v>
      </c>
      <c r="E41" s="13"/>
      <c r="F41" s="14"/>
      <c r="G41" s="15"/>
      <c r="H41" s="12" t="s">
        <v>122</v>
      </c>
      <c r="I41" s="18" t="s">
        <v>123</v>
      </c>
      <c r="J41" s="13" t="s">
        <v>124</v>
      </c>
      <c r="K41" s="10">
        <v>2</v>
      </c>
      <c r="L41" s="13" t="s">
        <v>89</v>
      </c>
      <c r="M41" s="10">
        <v>14</v>
      </c>
      <c r="N41" s="27">
        <v>0</v>
      </c>
      <c r="O41" s="13" t="s">
        <v>107</v>
      </c>
      <c r="P41" s="13" t="s">
        <v>125</v>
      </c>
      <c r="Q41" s="13" t="s">
        <v>109</v>
      </c>
      <c r="R41" s="17">
        <f t="shared" si="1"/>
        <v>1400</v>
      </c>
      <c r="S41" s="17"/>
      <c r="T41" s="17"/>
      <c r="U41" s="17"/>
      <c r="V41" s="17"/>
      <c r="W41" s="17"/>
      <c r="X41" s="17"/>
      <c r="Y41" s="17"/>
      <c r="Z41" s="17"/>
      <c r="AA41" s="17"/>
      <c r="AB41" s="17"/>
      <c r="AC41" s="17"/>
      <c r="AD41" s="17"/>
      <c r="AE41" s="17"/>
      <c r="AF41" s="17"/>
      <c r="AG41" s="17"/>
      <c r="AH41" s="17"/>
      <c r="AI41" s="17">
        <f>7*100</f>
        <v>700</v>
      </c>
      <c r="AJ41" s="17">
        <f>7*100</f>
        <v>700</v>
      </c>
      <c r="AK41" s="17"/>
      <c r="AL41" s="17"/>
      <c r="AM41" s="17"/>
      <c r="AN41" s="17"/>
      <c r="AO41" s="17"/>
      <c r="AP41" s="17"/>
      <c r="AQ41" s="17"/>
      <c r="AR41" s="17"/>
      <c r="AS41" s="17"/>
      <c r="AT41" s="17"/>
      <c r="AU41" s="17"/>
      <c r="AV41" s="17"/>
      <c r="AW41" s="17"/>
      <c r="AX41" s="17"/>
      <c r="AY41" s="17"/>
      <c r="AZ41" s="17"/>
      <c r="BA41" s="12" t="s">
        <v>147</v>
      </c>
    </row>
    <row r="42" spans="1:53" ht="18.75" customHeight="1">
      <c r="A42" s="4">
        <v>36</v>
      </c>
      <c r="B42" s="5" t="s">
        <v>88</v>
      </c>
      <c r="C42" s="6"/>
      <c r="D42" s="38" t="s">
        <v>148</v>
      </c>
      <c r="E42" s="58"/>
      <c r="F42" s="38" t="s">
        <v>149</v>
      </c>
      <c r="G42" s="60"/>
      <c r="H42" s="9"/>
      <c r="I42" s="7"/>
      <c r="J42" s="4"/>
      <c r="K42" s="19">
        <v>0</v>
      </c>
      <c r="L42" s="4"/>
      <c r="M42" s="19">
        <v>0</v>
      </c>
      <c r="N42" s="20">
        <v>0</v>
      </c>
      <c r="O42" s="4"/>
      <c r="P42" s="4"/>
      <c r="Q42" s="4"/>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9"/>
    </row>
    <row r="43" spans="1:53" ht="18.75" customHeight="1">
      <c r="A43" s="4">
        <v>37</v>
      </c>
      <c r="B43" s="21" t="s">
        <v>88</v>
      </c>
      <c r="C43" s="3"/>
      <c r="D43" s="1"/>
      <c r="E43" s="2"/>
      <c r="F43" s="1"/>
      <c r="G43" s="26" t="s">
        <v>150</v>
      </c>
      <c r="H43" s="1"/>
      <c r="I43" s="22"/>
      <c r="J43" s="2"/>
      <c r="K43" s="23">
        <v>0</v>
      </c>
      <c r="L43" s="2"/>
      <c r="M43" s="23">
        <v>0</v>
      </c>
      <c r="N43" s="24">
        <v>0</v>
      </c>
      <c r="O43" s="2"/>
      <c r="P43" s="2"/>
      <c r="Q43" s="2"/>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1"/>
    </row>
    <row r="44" spans="1:53" ht="30.75" customHeight="1">
      <c r="A44" s="4">
        <v>38</v>
      </c>
      <c r="B44" s="21" t="s">
        <v>88</v>
      </c>
      <c r="C44" s="3"/>
      <c r="D44" s="1"/>
      <c r="E44" s="2"/>
      <c r="F44" s="1"/>
      <c r="G44" s="26" t="s">
        <v>94</v>
      </c>
      <c r="H44" s="1"/>
      <c r="I44" s="22"/>
      <c r="J44" s="2"/>
      <c r="K44" s="23">
        <v>0</v>
      </c>
      <c r="L44" s="2"/>
      <c r="M44" s="23">
        <v>0</v>
      </c>
      <c r="N44" s="24">
        <v>0</v>
      </c>
      <c r="O44" s="2"/>
      <c r="P44" s="2"/>
      <c r="Q44" s="2"/>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1"/>
    </row>
    <row r="45" spans="1:53" ht="18.75" customHeight="1">
      <c r="A45" s="4">
        <v>39</v>
      </c>
      <c r="B45" s="21" t="s">
        <v>88</v>
      </c>
      <c r="C45" s="3"/>
      <c r="D45" s="1"/>
      <c r="E45" s="2"/>
      <c r="F45" s="1"/>
      <c r="G45" s="26" t="s">
        <v>129</v>
      </c>
      <c r="H45" s="1"/>
      <c r="I45" s="22"/>
      <c r="J45" s="2"/>
      <c r="K45" s="23">
        <v>0</v>
      </c>
      <c r="L45" s="2"/>
      <c r="M45" s="23">
        <v>0</v>
      </c>
      <c r="N45" s="24">
        <v>0</v>
      </c>
      <c r="O45" s="2"/>
      <c r="P45" s="2"/>
      <c r="Q45" s="2"/>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1"/>
    </row>
    <row r="46" spans="1:53" ht="18.75" customHeight="1">
      <c r="A46" s="4">
        <v>40</v>
      </c>
      <c r="B46" s="21" t="s">
        <v>88</v>
      </c>
      <c r="C46" s="3"/>
      <c r="D46" s="1"/>
      <c r="E46" s="2"/>
      <c r="F46" s="1"/>
      <c r="G46" s="26" t="s">
        <v>151</v>
      </c>
      <c r="H46" s="1"/>
      <c r="I46" s="22"/>
      <c r="J46" s="2"/>
      <c r="K46" s="23">
        <v>0</v>
      </c>
      <c r="L46" s="2"/>
      <c r="M46" s="23">
        <v>0</v>
      </c>
      <c r="N46" s="24">
        <v>0</v>
      </c>
      <c r="O46" s="2"/>
      <c r="P46" s="2"/>
      <c r="Q46" s="2"/>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1"/>
    </row>
    <row r="47" spans="1:53" ht="30.75" customHeight="1">
      <c r="A47" s="4">
        <v>41</v>
      </c>
      <c r="B47" s="21" t="s">
        <v>88</v>
      </c>
      <c r="C47" s="3"/>
      <c r="D47" s="1"/>
      <c r="E47" s="2"/>
      <c r="F47" s="1"/>
      <c r="G47" s="26" t="s">
        <v>152</v>
      </c>
      <c r="H47" s="1"/>
      <c r="I47" s="22"/>
      <c r="J47" s="2"/>
      <c r="K47" s="23">
        <v>0</v>
      </c>
      <c r="L47" s="2"/>
      <c r="M47" s="23">
        <v>0</v>
      </c>
      <c r="N47" s="24">
        <v>0</v>
      </c>
      <c r="O47" s="2"/>
      <c r="P47" s="2"/>
      <c r="Q47" s="2"/>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1"/>
    </row>
    <row r="48" spans="1:53" ht="30.75" customHeight="1">
      <c r="A48" s="4">
        <v>42</v>
      </c>
      <c r="B48" s="21" t="s">
        <v>88</v>
      </c>
      <c r="C48" s="3"/>
      <c r="D48" s="1"/>
      <c r="E48" s="2"/>
      <c r="F48" s="1"/>
      <c r="G48" s="26" t="s">
        <v>98</v>
      </c>
      <c r="H48" s="1"/>
      <c r="I48" s="22"/>
      <c r="J48" s="2"/>
      <c r="K48" s="23">
        <v>0</v>
      </c>
      <c r="L48" s="2"/>
      <c r="M48" s="23">
        <v>0</v>
      </c>
      <c r="N48" s="24">
        <v>0</v>
      </c>
      <c r="O48" s="2"/>
      <c r="P48" s="2"/>
      <c r="Q48" s="2"/>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1"/>
    </row>
    <row r="49" spans="1:53" ht="18.75" customHeight="1">
      <c r="A49" s="4">
        <v>43</v>
      </c>
      <c r="B49" s="21" t="s">
        <v>88</v>
      </c>
      <c r="C49" s="3"/>
      <c r="D49" s="1"/>
      <c r="E49" s="2"/>
      <c r="F49" s="1"/>
      <c r="G49" s="26" t="s">
        <v>100</v>
      </c>
      <c r="H49" s="1"/>
      <c r="I49" s="22"/>
      <c r="J49" s="2"/>
      <c r="K49" s="23">
        <v>0</v>
      </c>
      <c r="L49" s="2"/>
      <c r="M49" s="23">
        <v>0</v>
      </c>
      <c r="N49" s="24">
        <v>0</v>
      </c>
      <c r="O49" s="2"/>
      <c r="P49" s="2"/>
      <c r="Q49" s="2"/>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1"/>
    </row>
    <row r="50" spans="1:53" ht="18.75" customHeight="1">
      <c r="A50" s="4">
        <v>44</v>
      </c>
      <c r="B50" s="21" t="s">
        <v>88</v>
      </c>
      <c r="C50" s="3"/>
      <c r="D50" s="1"/>
      <c r="E50" s="2"/>
      <c r="F50" s="1"/>
      <c r="G50" s="26" t="s">
        <v>101</v>
      </c>
      <c r="H50" s="1"/>
      <c r="I50" s="22"/>
      <c r="J50" s="2"/>
      <c r="K50" s="23">
        <v>0</v>
      </c>
      <c r="L50" s="2"/>
      <c r="M50" s="23">
        <v>0</v>
      </c>
      <c r="N50" s="24">
        <v>0</v>
      </c>
      <c r="O50" s="2"/>
      <c r="P50" s="2"/>
      <c r="Q50" s="2"/>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1"/>
    </row>
    <row r="51" spans="1:53" ht="18.75" customHeight="1">
      <c r="A51" s="4">
        <v>45</v>
      </c>
      <c r="B51" s="21" t="s">
        <v>88</v>
      </c>
      <c r="C51" s="3"/>
      <c r="D51" s="1"/>
      <c r="E51" s="2"/>
      <c r="F51" s="1"/>
      <c r="G51" s="26" t="s">
        <v>102</v>
      </c>
      <c r="H51" s="1"/>
      <c r="I51" s="22"/>
      <c r="J51" s="2"/>
      <c r="K51" s="23">
        <v>0</v>
      </c>
      <c r="L51" s="2"/>
      <c r="M51" s="23">
        <v>0</v>
      </c>
      <c r="N51" s="24">
        <v>0</v>
      </c>
      <c r="O51" s="2"/>
      <c r="P51" s="2"/>
      <c r="Q51" s="2"/>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1"/>
    </row>
    <row r="52" spans="1:53" ht="18.75" customHeight="1">
      <c r="A52" s="4">
        <v>46</v>
      </c>
      <c r="B52" s="11" t="s">
        <v>88</v>
      </c>
      <c r="C52" s="12"/>
      <c r="D52" s="12" t="s">
        <v>153</v>
      </c>
      <c r="E52" s="13"/>
      <c r="F52" s="14"/>
      <c r="G52" s="15"/>
      <c r="H52" s="12" t="s">
        <v>154</v>
      </c>
      <c r="I52" s="18" t="s">
        <v>155</v>
      </c>
      <c r="J52" s="13" t="s">
        <v>156</v>
      </c>
      <c r="K52" s="10">
        <v>1</v>
      </c>
      <c r="L52" s="13" t="s">
        <v>89</v>
      </c>
      <c r="M52" s="10">
        <v>10</v>
      </c>
      <c r="N52" s="27">
        <v>0</v>
      </c>
      <c r="O52" s="13" t="s">
        <v>107</v>
      </c>
      <c r="P52" s="13" t="s">
        <v>157</v>
      </c>
      <c r="Q52" s="13" t="s">
        <v>109</v>
      </c>
      <c r="R52" s="17">
        <f>SUM(S52:AZ52)</f>
        <v>740</v>
      </c>
      <c r="S52" s="17"/>
      <c r="T52" s="17"/>
      <c r="U52" s="17"/>
      <c r="V52" s="17"/>
      <c r="W52" s="17"/>
      <c r="X52" s="17"/>
      <c r="Y52" s="17"/>
      <c r="Z52" s="17"/>
      <c r="AA52" s="17"/>
      <c r="AB52" s="17"/>
      <c r="AC52" s="17"/>
      <c r="AD52" s="17"/>
      <c r="AE52" s="17"/>
      <c r="AF52" s="17">
        <f>5*32+5*6+5*12+20*1</f>
        <v>270</v>
      </c>
      <c r="AG52" s="17">
        <f>5*18+5*6+5*12+20*1</f>
        <v>200</v>
      </c>
      <c r="AH52" s="17"/>
      <c r="AI52" s="17">
        <f>5*10+5*10+5*4</f>
        <v>120</v>
      </c>
      <c r="AJ52" s="17">
        <f>5*8+5*8+5*4</f>
        <v>100</v>
      </c>
      <c r="AK52" s="17"/>
      <c r="AL52" s="17"/>
      <c r="AM52" s="17"/>
      <c r="AN52" s="17"/>
      <c r="AO52" s="17"/>
      <c r="AP52" s="17"/>
      <c r="AQ52" s="17"/>
      <c r="AR52" s="17"/>
      <c r="AS52" s="17"/>
      <c r="AT52" s="17"/>
      <c r="AU52" s="17"/>
      <c r="AV52" s="17"/>
      <c r="AW52" s="17"/>
      <c r="AX52" s="17"/>
      <c r="AY52" s="17"/>
      <c r="AZ52" s="17">
        <f>5*6+5*4</f>
        <v>50</v>
      </c>
      <c r="BA52" s="12"/>
    </row>
    <row r="53" spans="1:53" ht="18.75" customHeight="1">
      <c r="A53" s="4"/>
      <c r="B53" s="11"/>
      <c r="C53" s="12"/>
      <c r="D53" s="12"/>
      <c r="E53" s="13"/>
      <c r="F53" s="14"/>
      <c r="G53" s="15"/>
      <c r="H53" s="12" t="s">
        <v>158</v>
      </c>
      <c r="I53" s="18" t="s">
        <v>155</v>
      </c>
      <c r="J53" s="13"/>
      <c r="K53" s="10"/>
      <c r="L53" s="13"/>
      <c r="M53" s="10"/>
      <c r="N53" s="27"/>
      <c r="O53" s="13"/>
      <c r="P53" s="13"/>
      <c r="Q53" s="13" t="s">
        <v>109</v>
      </c>
      <c r="R53" s="17">
        <f>SUM(S53:AZ53)</f>
        <v>1900</v>
      </c>
      <c r="S53" s="17"/>
      <c r="T53" s="17"/>
      <c r="U53" s="17"/>
      <c r="V53" s="17"/>
      <c r="W53" s="17"/>
      <c r="X53" s="17"/>
      <c r="Y53" s="17"/>
      <c r="Z53" s="17"/>
      <c r="AA53" s="17"/>
      <c r="AB53" s="17"/>
      <c r="AC53" s="17"/>
      <c r="AD53" s="17"/>
      <c r="AE53" s="17"/>
      <c r="AF53" s="17">
        <f>20*32+20*4+20*6+20*12</f>
        <v>1080</v>
      </c>
      <c r="AG53" s="17">
        <f>20*18+20*3+20*6+20*6</f>
        <v>660</v>
      </c>
      <c r="AH53" s="17"/>
      <c r="AI53" s="17">
        <f>20*4</f>
        <v>80</v>
      </c>
      <c r="AJ53" s="17">
        <f>20*4</f>
        <v>80</v>
      </c>
      <c r="AK53" s="17"/>
      <c r="AL53" s="17"/>
      <c r="AM53" s="17"/>
      <c r="AN53" s="17"/>
      <c r="AO53" s="17"/>
      <c r="AP53" s="17"/>
      <c r="AQ53" s="17"/>
      <c r="AR53" s="17"/>
      <c r="AS53" s="17"/>
      <c r="AT53" s="17"/>
      <c r="AU53" s="17"/>
      <c r="AV53" s="17"/>
      <c r="AW53" s="17"/>
      <c r="AX53" s="17"/>
      <c r="AY53" s="17"/>
      <c r="AZ53" s="17"/>
      <c r="BA53" s="12"/>
    </row>
    <row r="54" spans="1:53" ht="18.75" customHeight="1">
      <c r="A54" s="4">
        <v>47</v>
      </c>
      <c r="B54" s="11" t="s">
        <v>88</v>
      </c>
      <c r="C54" s="12"/>
      <c r="D54" s="12" t="s">
        <v>159</v>
      </c>
      <c r="E54" s="13"/>
      <c r="F54" s="14"/>
      <c r="G54" s="15"/>
      <c r="H54" s="12" t="s">
        <v>160</v>
      </c>
      <c r="I54" s="18" t="s">
        <v>155</v>
      </c>
      <c r="J54" s="13" t="s">
        <v>156</v>
      </c>
      <c r="K54" s="10">
        <v>1</v>
      </c>
      <c r="L54" s="13" t="s">
        <v>89</v>
      </c>
      <c r="M54" s="10">
        <v>2</v>
      </c>
      <c r="N54" s="27">
        <v>0</v>
      </c>
      <c r="O54" s="13" t="s">
        <v>107</v>
      </c>
      <c r="P54" s="13" t="s">
        <v>161</v>
      </c>
      <c r="Q54" s="13" t="s">
        <v>109</v>
      </c>
      <c r="R54" s="17">
        <f>SUM(S54:AZ54)</f>
        <v>0</v>
      </c>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2"/>
    </row>
    <row r="55" spans="1:53" ht="18.75" customHeight="1">
      <c r="A55" s="4">
        <v>48</v>
      </c>
      <c r="B55" s="11" t="s">
        <v>88</v>
      </c>
      <c r="C55" s="12"/>
      <c r="D55" s="12" t="s">
        <v>162</v>
      </c>
      <c r="E55" s="13"/>
      <c r="F55" s="14"/>
      <c r="G55" s="15"/>
      <c r="H55" s="12" t="s">
        <v>160</v>
      </c>
      <c r="I55" s="18" t="s">
        <v>163</v>
      </c>
      <c r="J55" s="10"/>
      <c r="K55" s="10">
        <v>1</v>
      </c>
      <c r="L55" s="13" t="s">
        <v>89</v>
      </c>
      <c r="M55" s="10">
        <v>2</v>
      </c>
      <c r="N55" s="27">
        <v>0</v>
      </c>
      <c r="O55" s="13" t="s">
        <v>107</v>
      </c>
      <c r="P55" s="10"/>
      <c r="Q55" s="13" t="s">
        <v>109</v>
      </c>
      <c r="R55" s="17">
        <f>SUM(S55:AZ55)</f>
        <v>0</v>
      </c>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4"/>
    </row>
    <row r="56" spans="1:53" ht="18.75" customHeight="1">
      <c r="A56" s="4">
        <v>49</v>
      </c>
      <c r="B56" s="21" t="s">
        <v>88</v>
      </c>
      <c r="C56" s="3"/>
      <c r="D56" s="1"/>
      <c r="E56" s="2"/>
      <c r="F56" s="1"/>
      <c r="G56" s="26" t="s">
        <v>150</v>
      </c>
      <c r="H56" s="1"/>
      <c r="I56" s="22"/>
      <c r="J56" s="2"/>
      <c r="K56" s="23">
        <v>0</v>
      </c>
      <c r="L56" s="2"/>
      <c r="M56" s="23">
        <v>0</v>
      </c>
      <c r="N56" s="24">
        <v>0</v>
      </c>
      <c r="O56" s="2"/>
      <c r="P56" s="2"/>
      <c r="Q56" s="2"/>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1"/>
    </row>
    <row r="57" spans="1:53" ht="30.75" customHeight="1">
      <c r="A57" s="4">
        <v>50</v>
      </c>
      <c r="B57" s="21" t="s">
        <v>88</v>
      </c>
      <c r="C57" s="3"/>
      <c r="D57" s="1"/>
      <c r="E57" s="2"/>
      <c r="F57" s="1"/>
      <c r="G57" s="26" t="s">
        <v>94</v>
      </c>
      <c r="H57" s="1"/>
      <c r="I57" s="22"/>
      <c r="J57" s="2"/>
      <c r="K57" s="23">
        <v>0</v>
      </c>
      <c r="L57" s="2"/>
      <c r="M57" s="23">
        <v>0</v>
      </c>
      <c r="N57" s="24">
        <v>0</v>
      </c>
      <c r="O57" s="2"/>
      <c r="P57" s="2"/>
      <c r="Q57" s="2"/>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1"/>
    </row>
    <row r="58" spans="1:53" ht="18.75" customHeight="1">
      <c r="A58" s="4">
        <v>51</v>
      </c>
      <c r="B58" s="21" t="s">
        <v>88</v>
      </c>
      <c r="C58" s="3"/>
      <c r="D58" s="1"/>
      <c r="E58" s="2"/>
      <c r="F58" s="1"/>
      <c r="G58" s="26" t="s">
        <v>129</v>
      </c>
      <c r="H58" s="1"/>
      <c r="I58" s="22"/>
      <c r="J58" s="2"/>
      <c r="K58" s="23">
        <v>0</v>
      </c>
      <c r="L58" s="2"/>
      <c r="M58" s="23">
        <v>0</v>
      </c>
      <c r="N58" s="24">
        <v>0</v>
      </c>
      <c r="O58" s="2"/>
      <c r="P58" s="2"/>
      <c r="Q58" s="2"/>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1"/>
    </row>
    <row r="59" spans="1:53" ht="18.75" customHeight="1">
      <c r="A59" s="4">
        <v>52</v>
      </c>
      <c r="B59" s="21" t="s">
        <v>88</v>
      </c>
      <c r="C59" s="3"/>
      <c r="D59" s="1"/>
      <c r="E59" s="2"/>
      <c r="F59" s="1"/>
      <c r="G59" s="26" t="s">
        <v>151</v>
      </c>
      <c r="H59" s="1"/>
      <c r="I59" s="22"/>
      <c r="J59" s="2"/>
      <c r="K59" s="23">
        <v>0</v>
      </c>
      <c r="L59" s="2"/>
      <c r="M59" s="23">
        <v>0</v>
      </c>
      <c r="N59" s="24">
        <v>0</v>
      </c>
      <c r="O59" s="2"/>
      <c r="P59" s="2"/>
      <c r="Q59" s="2"/>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1"/>
    </row>
    <row r="60" spans="1:53" ht="30.75" customHeight="1">
      <c r="A60" s="4">
        <v>53</v>
      </c>
      <c r="B60" s="21" t="s">
        <v>88</v>
      </c>
      <c r="C60" s="3"/>
      <c r="D60" s="1"/>
      <c r="E60" s="2"/>
      <c r="F60" s="1"/>
      <c r="G60" s="26" t="s">
        <v>164</v>
      </c>
      <c r="H60" s="1"/>
      <c r="I60" s="22"/>
      <c r="J60" s="2"/>
      <c r="K60" s="23">
        <v>0</v>
      </c>
      <c r="L60" s="2"/>
      <c r="M60" s="23">
        <v>0</v>
      </c>
      <c r="N60" s="24">
        <v>0</v>
      </c>
      <c r="O60" s="2"/>
      <c r="P60" s="2"/>
      <c r="Q60" s="2"/>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1"/>
    </row>
    <row r="61" spans="1:53" ht="30.75" customHeight="1">
      <c r="A61" s="4">
        <v>54</v>
      </c>
      <c r="B61" s="21" t="s">
        <v>88</v>
      </c>
      <c r="C61" s="3"/>
      <c r="D61" s="1"/>
      <c r="E61" s="2"/>
      <c r="F61" s="1"/>
      <c r="G61" s="26" t="s">
        <v>98</v>
      </c>
      <c r="H61" s="1"/>
      <c r="I61" s="22"/>
      <c r="J61" s="2"/>
      <c r="K61" s="23">
        <v>0</v>
      </c>
      <c r="L61" s="2"/>
      <c r="M61" s="23">
        <v>0</v>
      </c>
      <c r="N61" s="24">
        <v>0</v>
      </c>
      <c r="O61" s="2"/>
      <c r="P61" s="2"/>
      <c r="Q61" s="2"/>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1"/>
    </row>
    <row r="62" spans="1:53" ht="18.75" customHeight="1">
      <c r="A62" s="4">
        <v>55</v>
      </c>
      <c r="B62" s="21" t="s">
        <v>88</v>
      </c>
      <c r="C62" s="3"/>
      <c r="D62" s="1"/>
      <c r="E62" s="2"/>
      <c r="F62" s="1"/>
      <c r="G62" s="26" t="s">
        <v>100</v>
      </c>
      <c r="H62" s="1"/>
      <c r="I62" s="22"/>
      <c r="J62" s="2"/>
      <c r="K62" s="23">
        <v>0</v>
      </c>
      <c r="L62" s="2"/>
      <c r="M62" s="23">
        <v>0</v>
      </c>
      <c r="N62" s="24">
        <v>0</v>
      </c>
      <c r="O62" s="2"/>
      <c r="P62" s="2"/>
      <c r="Q62" s="2"/>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1"/>
    </row>
    <row r="63" spans="1:53" ht="18.75" customHeight="1">
      <c r="A63" s="4">
        <v>56</v>
      </c>
      <c r="B63" s="21" t="s">
        <v>88</v>
      </c>
      <c r="C63" s="3"/>
      <c r="D63" s="1"/>
      <c r="E63" s="2"/>
      <c r="F63" s="1"/>
      <c r="G63" s="26" t="s">
        <v>101</v>
      </c>
      <c r="H63" s="1"/>
      <c r="I63" s="22"/>
      <c r="J63" s="2"/>
      <c r="K63" s="23">
        <v>0</v>
      </c>
      <c r="L63" s="2"/>
      <c r="M63" s="23">
        <v>0</v>
      </c>
      <c r="N63" s="24">
        <v>0</v>
      </c>
      <c r="O63" s="2"/>
      <c r="P63" s="2"/>
      <c r="Q63" s="2"/>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1"/>
    </row>
    <row r="64" spans="1:53" ht="18.75" customHeight="1">
      <c r="A64" s="4">
        <v>57</v>
      </c>
      <c r="B64" s="21" t="s">
        <v>88</v>
      </c>
      <c r="C64" s="3"/>
      <c r="D64" s="1"/>
      <c r="E64" s="2"/>
      <c r="F64" s="1"/>
      <c r="G64" s="26" t="s">
        <v>102</v>
      </c>
      <c r="H64" s="1"/>
      <c r="I64" s="22"/>
      <c r="J64" s="2"/>
      <c r="K64" s="23">
        <v>0</v>
      </c>
      <c r="L64" s="2"/>
      <c r="M64" s="23">
        <v>0</v>
      </c>
      <c r="N64" s="24">
        <v>0</v>
      </c>
      <c r="O64" s="2"/>
      <c r="P64" s="2"/>
      <c r="Q64" s="2"/>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1"/>
    </row>
    <row r="65" spans="1:53" ht="18.75" customHeight="1">
      <c r="A65" s="4">
        <v>58</v>
      </c>
      <c r="B65" s="11" t="s">
        <v>88</v>
      </c>
      <c r="C65" s="12"/>
      <c r="D65" s="12" t="s">
        <v>165</v>
      </c>
      <c r="E65" s="13"/>
      <c r="F65" s="14"/>
      <c r="G65" s="15"/>
      <c r="H65" s="12" t="s">
        <v>158</v>
      </c>
      <c r="I65" s="18" t="s">
        <v>166</v>
      </c>
      <c r="J65" s="13" t="s">
        <v>156</v>
      </c>
      <c r="K65" s="10">
        <v>1</v>
      </c>
      <c r="L65" s="13" t="s">
        <v>89</v>
      </c>
      <c r="M65" s="10">
        <v>6</v>
      </c>
      <c r="N65" s="27">
        <v>0</v>
      </c>
      <c r="O65" s="13" t="s">
        <v>107</v>
      </c>
      <c r="P65" s="13" t="s">
        <v>167</v>
      </c>
      <c r="Q65" s="13" t="s">
        <v>109</v>
      </c>
      <c r="R65" s="17">
        <f>SUM(S65:AZ65)</f>
        <v>0</v>
      </c>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4" t="s">
        <v>168</v>
      </c>
    </row>
    <row r="66" spans="1:53" ht="18.75" customHeight="1">
      <c r="A66" s="4">
        <v>59</v>
      </c>
      <c r="B66" s="11" t="s">
        <v>88</v>
      </c>
      <c r="C66" s="12"/>
      <c r="D66" s="12" t="s">
        <v>169</v>
      </c>
      <c r="E66" s="13"/>
      <c r="F66" s="14"/>
      <c r="G66" s="15"/>
      <c r="H66" s="12" t="s">
        <v>158</v>
      </c>
      <c r="I66" s="18" t="s">
        <v>170</v>
      </c>
      <c r="J66" s="10"/>
      <c r="K66" s="10">
        <v>1</v>
      </c>
      <c r="L66" s="13" t="s">
        <v>89</v>
      </c>
      <c r="M66" s="10">
        <v>6</v>
      </c>
      <c r="N66" s="27">
        <v>0</v>
      </c>
      <c r="O66" s="13" t="s">
        <v>107</v>
      </c>
      <c r="P66" s="10"/>
      <c r="Q66" s="13" t="s">
        <v>109</v>
      </c>
      <c r="R66" s="17">
        <f>SUM(S66:AZ66)</f>
        <v>0</v>
      </c>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4"/>
    </row>
    <row r="67" spans="1:53" ht="18.75" customHeight="1">
      <c r="A67" s="4">
        <v>60</v>
      </c>
      <c r="B67" s="11" t="s">
        <v>88</v>
      </c>
      <c r="C67" s="12"/>
      <c r="D67" s="12" t="s">
        <v>171</v>
      </c>
      <c r="E67" s="13"/>
      <c r="F67" s="14"/>
      <c r="G67" s="15"/>
      <c r="H67" s="12" t="s">
        <v>160</v>
      </c>
      <c r="I67" s="18" t="s">
        <v>166</v>
      </c>
      <c r="J67" s="13" t="s">
        <v>156</v>
      </c>
      <c r="K67" s="10">
        <v>1</v>
      </c>
      <c r="L67" s="13" t="s">
        <v>89</v>
      </c>
      <c r="M67" s="10">
        <v>2</v>
      </c>
      <c r="N67" s="27">
        <v>0</v>
      </c>
      <c r="O67" s="13" t="s">
        <v>107</v>
      </c>
      <c r="P67" s="13" t="s">
        <v>172</v>
      </c>
      <c r="Q67" s="13" t="s">
        <v>109</v>
      </c>
      <c r="R67" s="17">
        <f>SUM(S67:AZ67)</f>
        <v>0</v>
      </c>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2"/>
    </row>
    <row r="68" spans="1:53" ht="18.75" customHeight="1">
      <c r="A68" s="4"/>
      <c r="B68" s="11"/>
      <c r="C68" s="12"/>
      <c r="D68" s="12"/>
      <c r="E68" s="13"/>
      <c r="F68" s="14"/>
      <c r="G68" s="15"/>
      <c r="H68" s="12"/>
      <c r="I68" s="18"/>
      <c r="J68" s="13"/>
      <c r="K68" s="10"/>
      <c r="L68" s="13"/>
      <c r="M68" s="10"/>
      <c r="N68" s="27"/>
      <c r="O68" s="13"/>
      <c r="P68" s="13"/>
      <c r="Q68" s="13"/>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2"/>
    </row>
    <row r="69" spans="1:53" ht="18.75" customHeight="1">
      <c r="A69" s="4">
        <v>61</v>
      </c>
      <c r="B69" s="5" t="s">
        <v>88</v>
      </c>
      <c r="C69" s="6"/>
      <c r="D69" s="38" t="s">
        <v>173</v>
      </c>
      <c r="E69" s="58"/>
      <c r="F69" s="38" t="s">
        <v>174</v>
      </c>
      <c r="G69" s="60"/>
      <c r="H69" s="9"/>
      <c r="I69" s="7"/>
      <c r="J69" s="4"/>
      <c r="K69" s="19">
        <v>0</v>
      </c>
      <c r="L69" s="4"/>
      <c r="M69" s="19">
        <v>0</v>
      </c>
      <c r="N69" s="20">
        <v>0</v>
      </c>
      <c r="O69" s="4"/>
      <c r="P69" s="4"/>
      <c r="Q69" s="4"/>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9"/>
    </row>
    <row r="70" spans="1:53" ht="54.75" customHeight="1">
      <c r="A70" s="4">
        <v>62</v>
      </c>
      <c r="B70" s="21" t="s">
        <v>88</v>
      </c>
      <c r="C70" s="3"/>
      <c r="D70" s="1"/>
      <c r="E70" s="2"/>
      <c r="F70" s="1"/>
      <c r="G70" s="26" t="s">
        <v>175</v>
      </c>
      <c r="H70" s="1"/>
      <c r="I70" s="22"/>
      <c r="J70" s="2"/>
      <c r="K70" s="23">
        <v>0</v>
      </c>
      <c r="L70" s="2"/>
      <c r="M70" s="23">
        <v>0</v>
      </c>
      <c r="N70" s="24">
        <v>0</v>
      </c>
      <c r="O70" s="2"/>
      <c r="P70" s="2"/>
      <c r="Q70" s="2"/>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1"/>
    </row>
    <row r="71" spans="1:53" ht="42.75" customHeight="1">
      <c r="A71" s="4">
        <v>63</v>
      </c>
      <c r="B71" s="21" t="s">
        <v>88</v>
      </c>
      <c r="C71" s="3"/>
      <c r="D71" s="1"/>
      <c r="E71" s="2"/>
      <c r="F71" s="1"/>
      <c r="G71" s="26" t="s">
        <v>176</v>
      </c>
      <c r="H71" s="1"/>
      <c r="I71" s="22"/>
      <c r="J71" s="2"/>
      <c r="K71" s="23">
        <v>0</v>
      </c>
      <c r="L71" s="2"/>
      <c r="M71" s="23">
        <v>0</v>
      </c>
      <c r="N71" s="24">
        <v>0</v>
      </c>
      <c r="O71" s="2"/>
      <c r="P71" s="2"/>
      <c r="Q71" s="2"/>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1"/>
    </row>
    <row r="72" spans="1:53" ht="18.75" customHeight="1">
      <c r="A72" s="4">
        <v>64</v>
      </c>
      <c r="B72" s="21" t="s">
        <v>88</v>
      </c>
      <c r="C72" s="3"/>
      <c r="D72" s="1"/>
      <c r="E72" s="2"/>
      <c r="F72" s="1"/>
      <c r="G72" s="26" t="s">
        <v>177</v>
      </c>
      <c r="H72" s="1"/>
      <c r="I72" s="22"/>
      <c r="J72" s="2"/>
      <c r="K72" s="23">
        <v>0</v>
      </c>
      <c r="L72" s="2"/>
      <c r="M72" s="23">
        <v>0</v>
      </c>
      <c r="N72" s="24">
        <v>0</v>
      </c>
      <c r="O72" s="2"/>
      <c r="P72" s="2"/>
      <c r="Q72" s="2"/>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1"/>
    </row>
    <row r="73" spans="1:53" ht="18.75" customHeight="1">
      <c r="A73" s="4">
        <v>65</v>
      </c>
      <c r="B73" s="21" t="s">
        <v>88</v>
      </c>
      <c r="C73" s="3"/>
      <c r="D73" s="1"/>
      <c r="E73" s="2"/>
      <c r="F73" s="1"/>
      <c r="G73" s="26" t="s">
        <v>178</v>
      </c>
      <c r="H73" s="1"/>
      <c r="I73" s="22"/>
      <c r="J73" s="2"/>
      <c r="K73" s="23">
        <v>0</v>
      </c>
      <c r="L73" s="2"/>
      <c r="M73" s="23">
        <v>0</v>
      </c>
      <c r="N73" s="24">
        <v>0</v>
      </c>
      <c r="O73" s="2"/>
      <c r="P73" s="2"/>
      <c r="Q73" s="2"/>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1"/>
    </row>
    <row r="74" spans="1:53" ht="30.75" customHeight="1">
      <c r="A74" s="4">
        <v>66</v>
      </c>
      <c r="B74" s="21" t="s">
        <v>88</v>
      </c>
      <c r="C74" s="3"/>
      <c r="D74" s="1"/>
      <c r="E74" s="2"/>
      <c r="F74" s="1"/>
      <c r="G74" s="26" t="s">
        <v>179</v>
      </c>
      <c r="H74" s="1"/>
      <c r="I74" s="22"/>
      <c r="J74" s="2"/>
      <c r="K74" s="23">
        <v>0</v>
      </c>
      <c r="L74" s="2"/>
      <c r="M74" s="23">
        <v>0</v>
      </c>
      <c r="N74" s="24">
        <v>0</v>
      </c>
      <c r="O74" s="2"/>
      <c r="P74" s="2"/>
      <c r="Q74" s="2"/>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1"/>
    </row>
    <row r="75" spans="1:53" ht="18.75" customHeight="1">
      <c r="A75" s="4">
        <v>67</v>
      </c>
      <c r="B75" s="21" t="s">
        <v>88</v>
      </c>
      <c r="C75" s="3"/>
      <c r="D75" s="1"/>
      <c r="E75" s="2"/>
      <c r="F75" s="1"/>
      <c r="G75" s="26" t="s">
        <v>180</v>
      </c>
      <c r="H75" s="1"/>
      <c r="I75" s="22"/>
      <c r="J75" s="2"/>
      <c r="K75" s="23">
        <v>0</v>
      </c>
      <c r="L75" s="2"/>
      <c r="M75" s="23">
        <v>0</v>
      </c>
      <c r="N75" s="24">
        <v>0</v>
      </c>
      <c r="O75" s="2"/>
      <c r="P75" s="2"/>
      <c r="Q75" s="2"/>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1"/>
    </row>
    <row r="76" spans="1:53" ht="30.75" customHeight="1">
      <c r="A76" s="4">
        <v>68</v>
      </c>
      <c r="B76" s="21" t="s">
        <v>88</v>
      </c>
      <c r="C76" s="3"/>
      <c r="D76" s="1"/>
      <c r="E76" s="2"/>
      <c r="F76" s="1"/>
      <c r="G76" s="26" t="s">
        <v>181</v>
      </c>
      <c r="H76" s="1"/>
      <c r="I76" s="22"/>
      <c r="J76" s="2"/>
      <c r="K76" s="23">
        <v>0</v>
      </c>
      <c r="L76" s="2"/>
      <c r="M76" s="23">
        <v>0</v>
      </c>
      <c r="N76" s="24">
        <v>0</v>
      </c>
      <c r="O76" s="2"/>
      <c r="P76" s="2"/>
      <c r="Q76" s="2"/>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1"/>
    </row>
    <row r="77" spans="1:53" ht="54.75" customHeight="1">
      <c r="A77" s="4">
        <v>69</v>
      </c>
      <c r="B77" s="21" t="s">
        <v>88</v>
      </c>
      <c r="C77" s="3"/>
      <c r="D77" s="1"/>
      <c r="E77" s="2"/>
      <c r="F77" s="1"/>
      <c r="G77" s="26" t="s">
        <v>182</v>
      </c>
      <c r="H77" s="1"/>
      <c r="I77" s="22"/>
      <c r="J77" s="2"/>
      <c r="K77" s="23">
        <v>0</v>
      </c>
      <c r="L77" s="2"/>
      <c r="M77" s="23">
        <v>0</v>
      </c>
      <c r="N77" s="24">
        <v>0</v>
      </c>
      <c r="O77" s="2"/>
      <c r="P77" s="2"/>
      <c r="Q77" s="2"/>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1"/>
    </row>
    <row r="78" spans="1:53" ht="30.75" customHeight="1">
      <c r="A78" s="4">
        <v>70</v>
      </c>
      <c r="B78" s="21" t="s">
        <v>88</v>
      </c>
      <c r="C78" s="3"/>
      <c r="D78" s="1"/>
      <c r="E78" s="2"/>
      <c r="F78" s="1"/>
      <c r="G78" s="26" t="s">
        <v>183</v>
      </c>
      <c r="H78" s="1"/>
      <c r="I78" s="22"/>
      <c r="J78" s="2"/>
      <c r="K78" s="23">
        <v>0</v>
      </c>
      <c r="L78" s="2"/>
      <c r="M78" s="23">
        <v>0</v>
      </c>
      <c r="N78" s="24">
        <v>0</v>
      </c>
      <c r="O78" s="2"/>
      <c r="P78" s="2"/>
      <c r="Q78" s="2"/>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1"/>
    </row>
    <row r="79" spans="1:53" ht="30.75" customHeight="1">
      <c r="A79" s="4">
        <v>71</v>
      </c>
      <c r="B79" s="21" t="s">
        <v>88</v>
      </c>
      <c r="C79" s="3"/>
      <c r="D79" s="1"/>
      <c r="E79" s="2"/>
      <c r="F79" s="1"/>
      <c r="G79" s="26" t="s">
        <v>184</v>
      </c>
      <c r="H79" s="1"/>
      <c r="I79" s="22"/>
      <c r="J79" s="2"/>
      <c r="K79" s="23">
        <v>0</v>
      </c>
      <c r="L79" s="2"/>
      <c r="M79" s="23">
        <v>0</v>
      </c>
      <c r="N79" s="24">
        <v>0</v>
      </c>
      <c r="O79" s="2"/>
      <c r="P79" s="2"/>
      <c r="Q79" s="2"/>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1"/>
    </row>
    <row r="80" spans="1:53" ht="42.75" customHeight="1">
      <c r="A80" s="4">
        <v>72</v>
      </c>
      <c r="B80" s="21" t="s">
        <v>88</v>
      </c>
      <c r="C80" s="3"/>
      <c r="D80" s="1"/>
      <c r="E80" s="2"/>
      <c r="F80" s="1"/>
      <c r="G80" s="26" t="s">
        <v>185</v>
      </c>
      <c r="H80" s="1"/>
      <c r="I80" s="22"/>
      <c r="J80" s="2"/>
      <c r="K80" s="23">
        <v>0</v>
      </c>
      <c r="L80" s="2"/>
      <c r="M80" s="23">
        <v>0</v>
      </c>
      <c r="N80" s="24">
        <v>0</v>
      </c>
      <c r="O80" s="2"/>
      <c r="P80" s="2"/>
      <c r="Q80" s="2"/>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1"/>
    </row>
    <row r="81" spans="1:53" ht="30.75" customHeight="1">
      <c r="A81" s="4">
        <v>73</v>
      </c>
      <c r="B81" s="21" t="s">
        <v>88</v>
      </c>
      <c r="C81" s="3"/>
      <c r="D81" s="1"/>
      <c r="E81" s="2"/>
      <c r="F81" s="1"/>
      <c r="G81" s="26" t="s">
        <v>186</v>
      </c>
      <c r="H81" s="1"/>
      <c r="I81" s="22"/>
      <c r="J81" s="2"/>
      <c r="K81" s="23">
        <v>0</v>
      </c>
      <c r="L81" s="2"/>
      <c r="M81" s="23">
        <v>0</v>
      </c>
      <c r="N81" s="24">
        <v>0</v>
      </c>
      <c r="O81" s="2"/>
      <c r="P81" s="2"/>
      <c r="Q81" s="2"/>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1"/>
    </row>
    <row r="82" spans="1:53" ht="30.75" customHeight="1">
      <c r="A82" s="4">
        <v>74</v>
      </c>
      <c r="B82" s="21" t="s">
        <v>88</v>
      </c>
      <c r="C82" s="3"/>
      <c r="D82" s="1"/>
      <c r="E82" s="2"/>
      <c r="F82" s="1"/>
      <c r="G82" s="26" t="s">
        <v>187</v>
      </c>
      <c r="H82" s="1"/>
      <c r="I82" s="22"/>
      <c r="J82" s="2"/>
      <c r="K82" s="23">
        <v>0</v>
      </c>
      <c r="L82" s="2"/>
      <c r="M82" s="23">
        <v>0</v>
      </c>
      <c r="N82" s="24">
        <v>0</v>
      </c>
      <c r="O82" s="2"/>
      <c r="P82" s="2"/>
      <c r="Q82" s="2"/>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1"/>
    </row>
    <row r="83" spans="1:53" ht="18.75" customHeight="1">
      <c r="A83" s="4">
        <v>75</v>
      </c>
      <c r="B83" s="21" t="s">
        <v>88</v>
      </c>
      <c r="C83" s="3"/>
      <c r="D83" s="1"/>
      <c r="E83" s="2"/>
      <c r="F83" s="1"/>
      <c r="G83" s="26" t="s">
        <v>188</v>
      </c>
      <c r="H83" s="1"/>
      <c r="I83" s="22"/>
      <c r="J83" s="2"/>
      <c r="K83" s="23">
        <v>0</v>
      </c>
      <c r="L83" s="2"/>
      <c r="M83" s="23">
        <v>0</v>
      </c>
      <c r="N83" s="24">
        <v>0</v>
      </c>
      <c r="O83" s="2"/>
      <c r="P83" s="2"/>
      <c r="Q83" s="2"/>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1"/>
    </row>
    <row r="84" spans="1:53" ht="18.75" customHeight="1">
      <c r="A84" s="4">
        <v>76</v>
      </c>
      <c r="B84" s="11" t="s">
        <v>88</v>
      </c>
      <c r="C84" s="12"/>
      <c r="D84" s="12" t="s">
        <v>189</v>
      </c>
      <c r="E84" s="13"/>
      <c r="F84" s="14"/>
      <c r="G84" s="15"/>
      <c r="H84" s="12" t="s">
        <v>190</v>
      </c>
      <c r="I84" s="18" t="s">
        <v>191</v>
      </c>
      <c r="J84" s="13" t="s">
        <v>192</v>
      </c>
      <c r="K84" s="10">
        <v>144</v>
      </c>
      <c r="L84" s="13" t="s">
        <v>89</v>
      </c>
      <c r="M84" s="28">
        <v>0</v>
      </c>
      <c r="N84" s="27">
        <v>0</v>
      </c>
      <c r="O84" s="10"/>
      <c r="P84" s="13" t="s">
        <v>193</v>
      </c>
      <c r="Q84" s="13" t="s">
        <v>109</v>
      </c>
      <c r="R84" s="17">
        <f t="shared" ref="R84:R90" si="2">SUM(S84:AZ84)</f>
        <v>8200</v>
      </c>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07">
        <v>8200</v>
      </c>
      <c r="AT84" s="17"/>
      <c r="AU84" s="17"/>
      <c r="AV84" s="17"/>
      <c r="AW84" s="17"/>
      <c r="AX84" s="17"/>
      <c r="AY84" s="17"/>
      <c r="AZ84" s="17"/>
      <c r="BA84" s="12" t="s">
        <v>194</v>
      </c>
    </row>
    <row r="85" spans="1:53" ht="18.75" customHeight="1">
      <c r="A85" s="4">
        <v>77</v>
      </c>
      <c r="B85" s="11" t="s">
        <v>88</v>
      </c>
      <c r="C85" s="12"/>
      <c r="D85" s="12" t="s">
        <v>195</v>
      </c>
      <c r="E85" s="13"/>
      <c r="F85" s="14"/>
      <c r="G85" s="15"/>
      <c r="H85" s="12" t="s">
        <v>196</v>
      </c>
      <c r="I85" s="18" t="s">
        <v>191</v>
      </c>
      <c r="J85" s="13" t="s">
        <v>192</v>
      </c>
      <c r="K85" s="10">
        <v>96</v>
      </c>
      <c r="L85" s="13" t="s">
        <v>89</v>
      </c>
      <c r="M85" s="28">
        <v>0</v>
      </c>
      <c r="N85" s="27">
        <v>0</v>
      </c>
      <c r="O85" s="10"/>
      <c r="P85" s="13" t="s">
        <v>197</v>
      </c>
      <c r="Q85" s="13" t="s">
        <v>109</v>
      </c>
      <c r="R85" s="17">
        <f t="shared" si="2"/>
        <v>0</v>
      </c>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07"/>
      <c r="AT85" s="17"/>
      <c r="AU85" s="17"/>
      <c r="AV85" s="17"/>
      <c r="AW85" s="17"/>
      <c r="AX85" s="17"/>
      <c r="AY85" s="17"/>
      <c r="AZ85" s="17"/>
      <c r="BA85" s="12"/>
    </row>
    <row r="86" spans="1:53" ht="18.75" customHeight="1">
      <c r="A86" s="4">
        <v>78</v>
      </c>
      <c r="B86" s="11" t="s">
        <v>88</v>
      </c>
      <c r="C86" s="12"/>
      <c r="D86" s="12" t="s">
        <v>198</v>
      </c>
      <c r="E86" s="13"/>
      <c r="F86" s="14"/>
      <c r="G86" s="15"/>
      <c r="H86" s="12" t="s">
        <v>199</v>
      </c>
      <c r="I86" s="18" t="s">
        <v>191</v>
      </c>
      <c r="J86" s="13" t="s">
        <v>192</v>
      </c>
      <c r="K86" s="10">
        <v>72</v>
      </c>
      <c r="L86" s="13" t="s">
        <v>89</v>
      </c>
      <c r="M86" s="28">
        <v>0</v>
      </c>
      <c r="N86" s="27">
        <v>0</v>
      </c>
      <c r="O86" s="10"/>
      <c r="P86" s="13" t="s">
        <v>200</v>
      </c>
      <c r="Q86" s="13" t="s">
        <v>109</v>
      </c>
      <c r="R86" s="17">
        <f t="shared" si="2"/>
        <v>0</v>
      </c>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07"/>
      <c r="AT86" s="17"/>
      <c r="AU86" s="17"/>
      <c r="AV86" s="17"/>
      <c r="AW86" s="17"/>
      <c r="AX86" s="17"/>
      <c r="AY86" s="17"/>
      <c r="AZ86" s="17"/>
      <c r="BA86" s="12"/>
    </row>
    <row r="87" spans="1:53" ht="18.75" customHeight="1">
      <c r="A87" s="4">
        <v>79</v>
      </c>
      <c r="B87" s="11" t="s">
        <v>88</v>
      </c>
      <c r="C87" s="12"/>
      <c r="D87" s="12" t="s">
        <v>201</v>
      </c>
      <c r="E87" s="13"/>
      <c r="F87" s="14"/>
      <c r="G87" s="15"/>
      <c r="H87" s="12" t="s">
        <v>202</v>
      </c>
      <c r="I87" s="18" t="s">
        <v>191</v>
      </c>
      <c r="J87" s="13" t="s">
        <v>192</v>
      </c>
      <c r="K87" s="10">
        <v>48</v>
      </c>
      <c r="L87" s="13" t="s">
        <v>89</v>
      </c>
      <c r="M87" s="28">
        <v>0</v>
      </c>
      <c r="N87" s="27">
        <v>0</v>
      </c>
      <c r="O87" s="10"/>
      <c r="P87" s="13" t="s">
        <v>203</v>
      </c>
      <c r="Q87" s="13" t="s">
        <v>109</v>
      </c>
      <c r="R87" s="17">
        <f t="shared" si="2"/>
        <v>8400</v>
      </c>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07">
        <v>8400</v>
      </c>
      <c r="AT87" s="17"/>
      <c r="AU87" s="17"/>
      <c r="AV87" s="17"/>
      <c r="AW87" s="17"/>
      <c r="AX87" s="17"/>
      <c r="AY87" s="17"/>
      <c r="AZ87" s="17"/>
      <c r="BA87" s="12" t="s">
        <v>204</v>
      </c>
    </row>
    <row r="88" spans="1:53" ht="18.75" customHeight="1">
      <c r="A88" s="4">
        <v>80</v>
      </c>
      <c r="B88" s="11" t="s">
        <v>88</v>
      </c>
      <c r="C88" s="12"/>
      <c r="D88" s="12" t="s">
        <v>205</v>
      </c>
      <c r="E88" s="13"/>
      <c r="F88" s="14"/>
      <c r="G88" s="15"/>
      <c r="H88" s="12" t="s">
        <v>206</v>
      </c>
      <c r="I88" s="18" t="s">
        <v>191</v>
      </c>
      <c r="J88" s="13" t="s">
        <v>192</v>
      </c>
      <c r="K88" s="10">
        <v>24</v>
      </c>
      <c r="L88" s="13" t="s">
        <v>89</v>
      </c>
      <c r="M88" s="28">
        <v>0</v>
      </c>
      <c r="N88" s="27">
        <v>0</v>
      </c>
      <c r="O88" s="10"/>
      <c r="P88" s="13" t="s">
        <v>207</v>
      </c>
      <c r="Q88" s="13" t="s">
        <v>109</v>
      </c>
      <c r="R88" s="17">
        <f t="shared" si="2"/>
        <v>22450</v>
      </c>
      <c r="S88" s="17"/>
      <c r="T88" s="17"/>
      <c r="U88" s="110"/>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07">
        <f>470+16800+5180</f>
        <v>22450</v>
      </c>
      <c r="AT88" s="17"/>
      <c r="AU88" s="17"/>
      <c r="AV88" s="17"/>
      <c r="AW88" s="17"/>
      <c r="AX88" s="17"/>
      <c r="AY88" s="17"/>
      <c r="AZ88" s="17"/>
      <c r="BA88" s="12" t="s">
        <v>208</v>
      </c>
    </row>
    <row r="89" spans="1:53" ht="18.75" customHeight="1">
      <c r="A89" s="4">
        <v>81</v>
      </c>
      <c r="B89" s="11" t="s">
        <v>88</v>
      </c>
      <c r="C89" s="12"/>
      <c r="D89" s="12" t="s">
        <v>209</v>
      </c>
      <c r="E89" s="13"/>
      <c r="F89" s="14"/>
      <c r="G89" s="15"/>
      <c r="H89" s="12" t="s">
        <v>210</v>
      </c>
      <c r="I89" s="18" t="s">
        <v>191</v>
      </c>
      <c r="J89" s="13" t="s">
        <v>192</v>
      </c>
      <c r="K89" s="10">
        <v>12</v>
      </c>
      <c r="L89" s="13" t="s">
        <v>89</v>
      </c>
      <c r="M89" s="28">
        <v>0</v>
      </c>
      <c r="N89" s="27">
        <v>0</v>
      </c>
      <c r="O89" s="10"/>
      <c r="P89" s="13" t="s">
        <v>211</v>
      </c>
      <c r="Q89" s="13" t="s">
        <v>109</v>
      </c>
      <c r="R89" s="17">
        <f t="shared" si="2"/>
        <v>11070</v>
      </c>
      <c r="S89" s="17"/>
      <c r="T89" s="17"/>
      <c r="U89" s="110">
        <v>8900</v>
      </c>
      <c r="V89" s="17"/>
      <c r="W89" s="17"/>
      <c r="X89" s="17"/>
      <c r="Y89" s="17"/>
      <c r="Z89" s="17"/>
      <c r="AA89" s="17"/>
      <c r="AB89" s="17"/>
      <c r="AC89" s="17"/>
      <c r="AD89" s="17"/>
      <c r="AE89" s="17"/>
      <c r="AF89" s="17">
        <v>570</v>
      </c>
      <c r="AG89" s="17">
        <v>400</v>
      </c>
      <c r="AH89" s="17"/>
      <c r="AI89" s="17"/>
      <c r="AJ89" s="17"/>
      <c r="AK89" s="17"/>
      <c r="AL89" s="17"/>
      <c r="AM89" s="17"/>
      <c r="AN89" s="17"/>
      <c r="AO89" s="17"/>
      <c r="AP89" s="17"/>
      <c r="AQ89" s="17"/>
      <c r="AR89" s="17"/>
      <c r="AS89" s="17"/>
      <c r="AT89" s="17"/>
      <c r="AU89" s="17"/>
      <c r="AV89" s="17"/>
      <c r="AW89" s="17"/>
      <c r="AX89" s="17"/>
      <c r="AY89" s="17"/>
      <c r="AZ89" s="17">
        <f>3*2*200</f>
        <v>1200</v>
      </c>
      <c r="BA89" s="12" t="s">
        <v>212</v>
      </c>
    </row>
    <row r="90" spans="1:53" ht="18.75" customHeight="1">
      <c r="A90" s="4">
        <v>82</v>
      </c>
      <c r="B90" s="11" t="s">
        <v>88</v>
      </c>
      <c r="C90" s="12"/>
      <c r="D90" s="12" t="s">
        <v>213</v>
      </c>
      <c r="E90" s="13"/>
      <c r="F90" s="14"/>
      <c r="G90" s="15"/>
      <c r="H90" s="12" t="s">
        <v>214</v>
      </c>
      <c r="I90" s="18" t="s">
        <v>191</v>
      </c>
      <c r="J90" s="13" t="s">
        <v>192</v>
      </c>
      <c r="K90" s="10">
        <v>4</v>
      </c>
      <c r="L90" s="13" t="s">
        <v>89</v>
      </c>
      <c r="M90" s="28">
        <v>0</v>
      </c>
      <c r="N90" s="27">
        <v>0</v>
      </c>
      <c r="O90" s="10"/>
      <c r="P90" s="13" t="s">
        <v>215</v>
      </c>
      <c r="Q90" s="13" t="s">
        <v>109</v>
      </c>
      <c r="R90" s="17">
        <f t="shared" si="2"/>
        <v>14600</v>
      </c>
      <c r="S90" s="17"/>
      <c r="T90" s="17"/>
      <c r="U90" s="110">
        <v>9800</v>
      </c>
      <c r="V90" s="17"/>
      <c r="W90" s="17"/>
      <c r="X90" s="17"/>
      <c r="Y90" s="17"/>
      <c r="Z90" s="17"/>
      <c r="AA90" s="17"/>
      <c r="AB90" s="17"/>
      <c r="AC90" s="17"/>
      <c r="AD90" s="17"/>
      <c r="AE90" s="17"/>
      <c r="AF90" s="17">
        <f>6*300</f>
        <v>1800</v>
      </c>
      <c r="AG90" s="17">
        <f>6*300</f>
        <v>1800</v>
      </c>
      <c r="AH90" s="17"/>
      <c r="AI90" s="17"/>
      <c r="AJ90" s="17"/>
      <c r="AK90" s="17"/>
      <c r="AL90" s="17"/>
      <c r="AM90" s="17"/>
      <c r="AN90" s="17"/>
      <c r="AO90" s="17"/>
      <c r="AP90" s="17"/>
      <c r="AQ90" s="17"/>
      <c r="AR90" s="17"/>
      <c r="AS90" s="17"/>
      <c r="AT90" s="17"/>
      <c r="AU90" s="17"/>
      <c r="AV90" s="17"/>
      <c r="AW90" s="17"/>
      <c r="AX90" s="17"/>
      <c r="AY90" s="17"/>
      <c r="AZ90" s="17">
        <f>6*200</f>
        <v>1200</v>
      </c>
      <c r="BA90" s="12" t="s">
        <v>216</v>
      </c>
    </row>
    <row r="91" spans="1:53" ht="18.75" customHeight="1">
      <c r="A91" s="4">
        <v>83</v>
      </c>
      <c r="B91" s="5" t="s">
        <v>88</v>
      </c>
      <c r="C91" s="6"/>
      <c r="D91" s="38" t="s">
        <v>217</v>
      </c>
      <c r="E91" s="58"/>
      <c r="F91" s="38" t="s">
        <v>218</v>
      </c>
      <c r="G91" s="60"/>
      <c r="H91" s="9"/>
      <c r="I91" s="7"/>
      <c r="J91" s="4"/>
      <c r="K91" s="19">
        <v>0</v>
      </c>
      <c r="L91" s="4"/>
      <c r="M91" s="19">
        <v>0</v>
      </c>
      <c r="N91" s="20">
        <v>0</v>
      </c>
      <c r="O91" s="4"/>
      <c r="P91" s="4"/>
      <c r="Q91" s="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9"/>
    </row>
    <row r="92" spans="1:53" ht="54.75" customHeight="1">
      <c r="A92" s="4">
        <v>84</v>
      </c>
      <c r="B92" s="21" t="s">
        <v>88</v>
      </c>
      <c r="C92" s="3"/>
      <c r="D92" s="1"/>
      <c r="E92" s="2"/>
      <c r="F92" s="1"/>
      <c r="G92" s="26" t="s">
        <v>175</v>
      </c>
      <c r="H92" s="1"/>
      <c r="I92" s="22"/>
      <c r="J92" s="2"/>
      <c r="K92" s="23">
        <v>0</v>
      </c>
      <c r="L92" s="2"/>
      <c r="M92" s="23">
        <v>0</v>
      </c>
      <c r="N92" s="24">
        <v>0</v>
      </c>
      <c r="O92" s="2"/>
      <c r="P92" s="2"/>
      <c r="Q92" s="2"/>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1"/>
    </row>
    <row r="93" spans="1:53" ht="42.75" customHeight="1">
      <c r="A93" s="4">
        <v>85</v>
      </c>
      <c r="B93" s="21" t="s">
        <v>88</v>
      </c>
      <c r="C93" s="3"/>
      <c r="D93" s="1"/>
      <c r="E93" s="2"/>
      <c r="F93" s="1"/>
      <c r="G93" s="26" t="s">
        <v>176</v>
      </c>
      <c r="H93" s="1"/>
      <c r="I93" s="22"/>
      <c r="J93" s="2"/>
      <c r="K93" s="23">
        <v>0</v>
      </c>
      <c r="L93" s="2"/>
      <c r="M93" s="23">
        <v>0</v>
      </c>
      <c r="N93" s="24">
        <v>0</v>
      </c>
      <c r="O93" s="2"/>
      <c r="P93" s="2"/>
      <c r="Q93" s="2"/>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1"/>
    </row>
    <row r="94" spans="1:53" ht="18.75" customHeight="1">
      <c r="A94" s="4">
        <v>86</v>
      </c>
      <c r="B94" s="21" t="s">
        <v>88</v>
      </c>
      <c r="C94" s="3"/>
      <c r="D94" s="1"/>
      <c r="E94" s="2"/>
      <c r="F94" s="1"/>
      <c r="G94" s="26" t="s">
        <v>177</v>
      </c>
      <c r="H94" s="1"/>
      <c r="I94" s="22"/>
      <c r="J94" s="2"/>
      <c r="K94" s="23">
        <v>0</v>
      </c>
      <c r="L94" s="2"/>
      <c r="M94" s="23">
        <v>0</v>
      </c>
      <c r="N94" s="24">
        <v>0</v>
      </c>
      <c r="O94" s="2"/>
      <c r="P94" s="2"/>
      <c r="Q94" s="2"/>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1"/>
    </row>
    <row r="95" spans="1:53" ht="18.75" customHeight="1">
      <c r="A95" s="4">
        <v>87</v>
      </c>
      <c r="B95" s="21" t="s">
        <v>88</v>
      </c>
      <c r="C95" s="3"/>
      <c r="D95" s="1"/>
      <c r="E95" s="2"/>
      <c r="F95" s="1"/>
      <c r="G95" s="26" t="s">
        <v>178</v>
      </c>
      <c r="H95" s="1"/>
      <c r="I95" s="22"/>
      <c r="J95" s="2"/>
      <c r="K95" s="23">
        <v>0</v>
      </c>
      <c r="L95" s="2"/>
      <c r="M95" s="23">
        <v>0</v>
      </c>
      <c r="N95" s="24">
        <v>0</v>
      </c>
      <c r="O95" s="2"/>
      <c r="P95" s="2"/>
      <c r="Q95" s="2"/>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1"/>
    </row>
    <row r="96" spans="1:53" ht="30.75" customHeight="1">
      <c r="A96" s="4">
        <v>88</v>
      </c>
      <c r="B96" s="21" t="s">
        <v>88</v>
      </c>
      <c r="C96" s="3"/>
      <c r="D96" s="1"/>
      <c r="E96" s="2"/>
      <c r="F96" s="1"/>
      <c r="G96" s="26" t="s">
        <v>179</v>
      </c>
      <c r="H96" s="1"/>
      <c r="I96" s="22"/>
      <c r="J96" s="2"/>
      <c r="K96" s="23">
        <v>0</v>
      </c>
      <c r="L96" s="2"/>
      <c r="M96" s="23">
        <v>0</v>
      </c>
      <c r="N96" s="24">
        <v>0</v>
      </c>
      <c r="O96" s="2"/>
      <c r="P96" s="2"/>
      <c r="Q96" s="2"/>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1"/>
    </row>
    <row r="97" spans="1:53" ht="18.75" customHeight="1">
      <c r="A97" s="4">
        <v>89</v>
      </c>
      <c r="B97" s="21" t="s">
        <v>88</v>
      </c>
      <c r="C97" s="3"/>
      <c r="D97" s="1"/>
      <c r="E97" s="2"/>
      <c r="F97" s="1"/>
      <c r="G97" s="26" t="s">
        <v>180</v>
      </c>
      <c r="H97" s="1"/>
      <c r="I97" s="22"/>
      <c r="J97" s="2"/>
      <c r="K97" s="23">
        <v>0</v>
      </c>
      <c r="L97" s="2"/>
      <c r="M97" s="23">
        <v>0</v>
      </c>
      <c r="N97" s="24">
        <v>0</v>
      </c>
      <c r="O97" s="2"/>
      <c r="P97" s="2"/>
      <c r="Q97" s="2"/>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1"/>
    </row>
    <row r="98" spans="1:53" ht="30.75" customHeight="1">
      <c r="A98" s="4">
        <v>90</v>
      </c>
      <c r="B98" s="21" t="s">
        <v>88</v>
      </c>
      <c r="C98" s="3"/>
      <c r="D98" s="1"/>
      <c r="E98" s="2"/>
      <c r="F98" s="1"/>
      <c r="G98" s="26" t="s">
        <v>181</v>
      </c>
      <c r="H98" s="1"/>
      <c r="I98" s="22"/>
      <c r="J98" s="2"/>
      <c r="K98" s="23">
        <v>0</v>
      </c>
      <c r="L98" s="2"/>
      <c r="M98" s="23">
        <v>0</v>
      </c>
      <c r="N98" s="24">
        <v>0</v>
      </c>
      <c r="O98" s="2"/>
      <c r="P98" s="2"/>
      <c r="Q98" s="2"/>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1"/>
    </row>
    <row r="99" spans="1:53" ht="54.75" customHeight="1">
      <c r="A99" s="4">
        <v>91</v>
      </c>
      <c r="B99" s="21" t="s">
        <v>88</v>
      </c>
      <c r="C99" s="3"/>
      <c r="D99" s="1"/>
      <c r="E99" s="2"/>
      <c r="F99" s="1"/>
      <c r="G99" s="26" t="s">
        <v>182</v>
      </c>
      <c r="H99" s="1"/>
      <c r="I99" s="22"/>
      <c r="J99" s="2"/>
      <c r="K99" s="23">
        <v>0</v>
      </c>
      <c r="L99" s="2"/>
      <c r="M99" s="23">
        <v>0</v>
      </c>
      <c r="N99" s="24">
        <v>0</v>
      </c>
      <c r="O99" s="2"/>
      <c r="P99" s="2"/>
      <c r="Q99" s="2"/>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1"/>
    </row>
    <row r="100" spans="1:53" ht="30.75" customHeight="1">
      <c r="A100" s="4">
        <v>92</v>
      </c>
      <c r="B100" s="21" t="s">
        <v>88</v>
      </c>
      <c r="C100" s="3"/>
      <c r="D100" s="1"/>
      <c r="E100" s="2"/>
      <c r="F100" s="1"/>
      <c r="G100" s="26" t="s">
        <v>183</v>
      </c>
      <c r="H100" s="1"/>
      <c r="I100" s="22"/>
      <c r="J100" s="2"/>
      <c r="K100" s="23">
        <v>0</v>
      </c>
      <c r="L100" s="2"/>
      <c r="M100" s="23">
        <v>0</v>
      </c>
      <c r="N100" s="24">
        <v>0</v>
      </c>
      <c r="O100" s="2"/>
      <c r="P100" s="2"/>
      <c r="Q100" s="2"/>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1"/>
    </row>
    <row r="101" spans="1:53" ht="30.75" customHeight="1">
      <c r="A101" s="4">
        <v>93</v>
      </c>
      <c r="B101" s="21" t="s">
        <v>88</v>
      </c>
      <c r="C101" s="3"/>
      <c r="D101" s="1"/>
      <c r="E101" s="2"/>
      <c r="F101" s="1"/>
      <c r="G101" s="26" t="s">
        <v>184</v>
      </c>
      <c r="H101" s="1"/>
      <c r="I101" s="22"/>
      <c r="J101" s="2"/>
      <c r="K101" s="23">
        <v>0</v>
      </c>
      <c r="L101" s="2"/>
      <c r="M101" s="23">
        <v>0</v>
      </c>
      <c r="N101" s="24">
        <v>0</v>
      </c>
      <c r="O101" s="2"/>
      <c r="P101" s="2"/>
      <c r="Q101" s="2"/>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1"/>
    </row>
    <row r="102" spans="1:53" ht="42.75" customHeight="1">
      <c r="A102" s="4">
        <v>94</v>
      </c>
      <c r="B102" s="21" t="s">
        <v>88</v>
      </c>
      <c r="C102" s="3"/>
      <c r="D102" s="1"/>
      <c r="E102" s="2"/>
      <c r="F102" s="1"/>
      <c r="G102" s="26" t="s">
        <v>185</v>
      </c>
      <c r="H102" s="1"/>
      <c r="I102" s="22"/>
      <c r="J102" s="2"/>
      <c r="K102" s="23">
        <v>0</v>
      </c>
      <c r="L102" s="2"/>
      <c r="M102" s="23">
        <v>0</v>
      </c>
      <c r="N102" s="24">
        <v>0</v>
      </c>
      <c r="O102" s="2"/>
      <c r="P102" s="2"/>
      <c r="Q102" s="2"/>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1"/>
    </row>
    <row r="103" spans="1:53" ht="30.75" customHeight="1">
      <c r="A103" s="4">
        <v>95</v>
      </c>
      <c r="B103" s="21" t="s">
        <v>88</v>
      </c>
      <c r="C103" s="3"/>
      <c r="D103" s="1"/>
      <c r="E103" s="2"/>
      <c r="F103" s="1"/>
      <c r="G103" s="26" t="s">
        <v>186</v>
      </c>
      <c r="H103" s="1"/>
      <c r="I103" s="22"/>
      <c r="J103" s="2"/>
      <c r="K103" s="23">
        <v>0</v>
      </c>
      <c r="L103" s="2"/>
      <c r="M103" s="23">
        <v>0</v>
      </c>
      <c r="N103" s="24">
        <v>0</v>
      </c>
      <c r="O103" s="2"/>
      <c r="P103" s="2"/>
      <c r="Q103" s="2"/>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1"/>
    </row>
    <row r="104" spans="1:53" ht="30.75" customHeight="1">
      <c r="A104" s="4">
        <v>96</v>
      </c>
      <c r="B104" s="21" t="s">
        <v>88</v>
      </c>
      <c r="C104" s="3"/>
      <c r="D104" s="1"/>
      <c r="E104" s="2"/>
      <c r="F104" s="1"/>
      <c r="G104" s="26" t="s">
        <v>187</v>
      </c>
      <c r="H104" s="1"/>
      <c r="I104" s="22"/>
      <c r="J104" s="2"/>
      <c r="K104" s="23">
        <v>0</v>
      </c>
      <c r="L104" s="2"/>
      <c r="M104" s="23">
        <v>0</v>
      </c>
      <c r="N104" s="24">
        <v>0</v>
      </c>
      <c r="O104" s="2"/>
      <c r="P104" s="2"/>
      <c r="Q104" s="2"/>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1"/>
    </row>
    <row r="105" spans="1:53" ht="18.75" customHeight="1">
      <c r="A105" s="4">
        <v>97</v>
      </c>
      <c r="B105" s="11" t="s">
        <v>88</v>
      </c>
      <c r="C105" s="12"/>
      <c r="D105" s="12" t="s">
        <v>219</v>
      </c>
      <c r="E105" s="13"/>
      <c r="F105" s="14"/>
      <c r="G105" s="15"/>
      <c r="H105" s="12" t="s">
        <v>199</v>
      </c>
      <c r="I105" s="18" t="s">
        <v>220</v>
      </c>
      <c r="J105" s="13" t="s">
        <v>221</v>
      </c>
      <c r="K105" s="10">
        <v>72</v>
      </c>
      <c r="L105" s="13" t="s">
        <v>89</v>
      </c>
      <c r="M105" s="28">
        <v>0</v>
      </c>
      <c r="N105" s="27">
        <v>0</v>
      </c>
      <c r="O105" s="10"/>
      <c r="P105" s="13" t="s">
        <v>222</v>
      </c>
      <c r="Q105" s="13" t="s">
        <v>109</v>
      </c>
      <c r="R105" s="17">
        <f>SUM(S105:AZ105)</f>
        <v>0</v>
      </c>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2"/>
    </row>
    <row r="106" spans="1:53" ht="18.75" customHeight="1">
      <c r="A106" s="4">
        <v>98</v>
      </c>
      <c r="B106" s="11" t="s">
        <v>88</v>
      </c>
      <c r="C106" s="12"/>
      <c r="D106" s="12" t="s">
        <v>223</v>
      </c>
      <c r="E106" s="13"/>
      <c r="F106" s="14"/>
      <c r="G106" s="15"/>
      <c r="H106" s="12" t="s">
        <v>206</v>
      </c>
      <c r="I106" s="18" t="s">
        <v>220</v>
      </c>
      <c r="J106" s="13" t="s">
        <v>221</v>
      </c>
      <c r="K106" s="10">
        <v>24</v>
      </c>
      <c r="L106" s="13" t="s">
        <v>89</v>
      </c>
      <c r="M106" s="28">
        <v>0</v>
      </c>
      <c r="N106" s="27">
        <v>0</v>
      </c>
      <c r="O106" s="10"/>
      <c r="P106" s="13" t="s">
        <v>224</v>
      </c>
      <c r="Q106" s="13" t="s">
        <v>109</v>
      </c>
      <c r="R106" s="17">
        <f>SUM(S106:AZ106)</f>
        <v>0</v>
      </c>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2"/>
    </row>
    <row r="107" spans="1:53" ht="18.75" customHeight="1">
      <c r="A107" s="4">
        <v>99</v>
      </c>
      <c r="B107" s="11" t="s">
        <v>88</v>
      </c>
      <c r="C107" s="12"/>
      <c r="D107" s="12" t="s">
        <v>225</v>
      </c>
      <c r="E107" s="13"/>
      <c r="F107" s="14"/>
      <c r="G107" s="15"/>
      <c r="H107" s="12" t="s">
        <v>210</v>
      </c>
      <c r="I107" s="18" t="s">
        <v>220</v>
      </c>
      <c r="J107" s="13" t="s">
        <v>221</v>
      </c>
      <c r="K107" s="10">
        <v>12</v>
      </c>
      <c r="L107" s="13" t="s">
        <v>89</v>
      </c>
      <c r="M107" s="28">
        <v>0</v>
      </c>
      <c r="N107" s="27">
        <v>0</v>
      </c>
      <c r="O107" s="10"/>
      <c r="P107" s="13" t="s">
        <v>226</v>
      </c>
      <c r="Q107" s="13" t="s">
        <v>109</v>
      </c>
      <c r="R107" s="17">
        <f>SUM(S107:AZ107)</f>
        <v>0</v>
      </c>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2"/>
    </row>
    <row r="108" spans="1:53" ht="18.75" customHeight="1">
      <c r="A108" s="4">
        <v>100</v>
      </c>
      <c r="B108" s="11" t="s">
        <v>88</v>
      </c>
      <c r="C108" s="12"/>
      <c r="D108" s="12" t="s">
        <v>227</v>
      </c>
      <c r="E108" s="13"/>
      <c r="F108" s="14"/>
      <c r="G108" s="15"/>
      <c r="H108" s="12" t="s">
        <v>228</v>
      </c>
      <c r="I108" s="18" t="s">
        <v>220</v>
      </c>
      <c r="J108" s="13" t="s">
        <v>221</v>
      </c>
      <c r="K108" s="10">
        <v>4</v>
      </c>
      <c r="L108" s="13" t="s">
        <v>89</v>
      </c>
      <c r="M108" s="28">
        <v>0</v>
      </c>
      <c r="N108" s="27">
        <v>0</v>
      </c>
      <c r="O108" s="10"/>
      <c r="P108" s="13" t="s">
        <v>229</v>
      </c>
      <c r="Q108" s="13" t="s">
        <v>109</v>
      </c>
      <c r="R108" s="17">
        <f>SUM(S108:AZ108)</f>
        <v>0</v>
      </c>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2"/>
    </row>
    <row r="109" spans="1:53" ht="18.75" customHeight="1">
      <c r="A109" s="4">
        <v>101</v>
      </c>
      <c r="B109" s="5" t="s">
        <v>88</v>
      </c>
      <c r="C109" s="6"/>
      <c r="D109" s="38" t="s">
        <v>230</v>
      </c>
      <c r="E109" s="58"/>
      <c r="F109" s="38" t="s">
        <v>231</v>
      </c>
      <c r="G109" s="60"/>
      <c r="H109" s="9"/>
      <c r="I109" s="7"/>
      <c r="J109" s="4"/>
      <c r="K109" s="19">
        <v>0</v>
      </c>
      <c r="L109" s="4"/>
      <c r="M109" s="19">
        <v>0</v>
      </c>
      <c r="N109" s="20">
        <v>0</v>
      </c>
      <c r="O109" s="4"/>
      <c r="P109" s="4"/>
      <c r="Q109" s="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9"/>
    </row>
    <row r="110" spans="1:53" ht="18.75" customHeight="1">
      <c r="A110" s="4">
        <v>102</v>
      </c>
      <c r="B110" s="21" t="s">
        <v>88</v>
      </c>
      <c r="C110" s="3"/>
      <c r="D110" s="1"/>
      <c r="E110" s="2"/>
      <c r="F110" s="1"/>
      <c r="G110" s="26" t="s">
        <v>232</v>
      </c>
      <c r="H110" s="1"/>
      <c r="I110" s="22"/>
      <c r="J110" s="2"/>
      <c r="K110" s="23">
        <v>0</v>
      </c>
      <c r="L110" s="2"/>
      <c r="M110" s="23">
        <v>0</v>
      </c>
      <c r="N110" s="24">
        <v>0</v>
      </c>
      <c r="O110" s="2"/>
      <c r="P110" s="2"/>
      <c r="Q110" s="2"/>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1"/>
    </row>
    <row r="111" spans="1:53" ht="54.75" customHeight="1">
      <c r="A111" s="4">
        <v>103</v>
      </c>
      <c r="B111" s="21" t="s">
        <v>88</v>
      </c>
      <c r="C111" s="3"/>
      <c r="D111" s="1"/>
      <c r="E111" s="2"/>
      <c r="F111" s="1"/>
      <c r="G111" s="26" t="s">
        <v>175</v>
      </c>
      <c r="H111" s="1"/>
      <c r="I111" s="22"/>
      <c r="J111" s="2"/>
      <c r="K111" s="23">
        <v>0</v>
      </c>
      <c r="L111" s="2"/>
      <c r="M111" s="23">
        <v>0</v>
      </c>
      <c r="N111" s="24">
        <v>0</v>
      </c>
      <c r="O111" s="2"/>
      <c r="P111" s="2"/>
      <c r="Q111" s="2"/>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1"/>
    </row>
    <row r="112" spans="1:53" ht="42.75" customHeight="1">
      <c r="A112" s="4">
        <v>104</v>
      </c>
      <c r="B112" s="21" t="s">
        <v>88</v>
      </c>
      <c r="C112" s="3"/>
      <c r="D112" s="1"/>
      <c r="E112" s="2"/>
      <c r="F112" s="1"/>
      <c r="G112" s="26" t="s">
        <v>233</v>
      </c>
      <c r="H112" s="1"/>
      <c r="I112" s="22"/>
      <c r="J112" s="2"/>
      <c r="K112" s="23">
        <v>0</v>
      </c>
      <c r="L112" s="2"/>
      <c r="M112" s="23">
        <v>0</v>
      </c>
      <c r="N112" s="24">
        <v>0</v>
      </c>
      <c r="O112" s="2"/>
      <c r="P112" s="2"/>
      <c r="Q112" s="2"/>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1"/>
    </row>
    <row r="113" spans="1:53" ht="18.75" customHeight="1">
      <c r="A113" s="4">
        <v>105</v>
      </c>
      <c r="B113" s="21" t="s">
        <v>88</v>
      </c>
      <c r="C113" s="3"/>
      <c r="D113" s="1"/>
      <c r="E113" s="2"/>
      <c r="F113" s="1"/>
      <c r="G113" s="26" t="s">
        <v>177</v>
      </c>
      <c r="H113" s="1"/>
      <c r="I113" s="22"/>
      <c r="J113" s="2"/>
      <c r="K113" s="23">
        <v>0</v>
      </c>
      <c r="L113" s="2"/>
      <c r="M113" s="23">
        <v>0</v>
      </c>
      <c r="N113" s="24">
        <v>0</v>
      </c>
      <c r="O113" s="2"/>
      <c r="P113" s="2"/>
      <c r="Q113" s="2"/>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1"/>
    </row>
    <row r="114" spans="1:53" ht="54.75" customHeight="1">
      <c r="A114" s="4">
        <v>106</v>
      </c>
      <c r="B114" s="21" t="s">
        <v>88</v>
      </c>
      <c r="C114" s="3"/>
      <c r="D114" s="1"/>
      <c r="E114" s="2"/>
      <c r="F114" s="1"/>
      <c r="G114" s="26" t="s">
        <v>234</v>
      </c>
      <c r="H114" s="1"/>
      <c r="I114" s="22"/>
      <c r="J114" s="2"/>
      <c r="K114" s="23">
        <v>0</v>
      </c>
      <c r="L114" s="2"/>
      <c r="M114" s="23">
        <v>0</v>
      </c>
      <c r="N114" s="24">
        <v>0</v>
      </c>
      <c r="O114" s="2"/>
      <c r="P114" s="2"/>
      <c r="Q114" s="2"/>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1"/>
    </row>
    <row r="115" spans="1:53" ht="18.75" customHeight="1">
      <c r="A115" s="4">
        <v>107</v>
      </c>
      <c r="B115" s="21" t="s">
        <v>88</v>
      </c>
      <c r="C115" s="3"/>
      <c r="D115" s="1"/>
      <c r="E115" s="2"/>
      <c r="F115" s="1"/>
      <c r="G115" s="26" t="s">
        <v>235</v>
      </c>
      <c r="H115" s="1"/>
      <c r="I115" s="22"/>
      <c r="J115" s="2"/>
      <c r="K115" s="23">
        <v>0</v>
      </c>
      <c r="L115" s="2"/>
      <c r="M115" s="23">
        <v>0</v>
      </c>
      <c r="N115" s="24">
        <v>0</v>
      </c>
      <c r="O115" s="2"/>
      <c r="P115" s="2"/>
      <c r="Q115" s="2"/>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1"/>
    </row>
    <row r="116" spans="1:53" ht="30.75" customHeight="1">
      <c r="A116" s="4">
        <v>108</v>
      </c>
      <c r="B116" s="21" t="s">
        <v>88</v>
      </c>
      <c r="C116" s="3"/>
      <c r="D116" s="1"/>
      <c r="E116" s="2"/>
      <c r="F116" s="1"/>
      <c r="G116" s="26" t="s">
        <v>236</v>
      </c>
      <c r="H116" s="1"/>
      <c r="I116" s="22"/>
      <c r="J116" s="2"/>
      <c r="K116" s="23">
        <v>0</v>
      </c>
      <c r="L116" s="2"/>
      <c r="M116" s="23">
        <v>0</v>
      </c>
      <c r="N116" s="24">
        <v>0</v>
      </c>
      <c r="O116" s="2"/>
      <c r="P116" s="2"/>
      <c r="Q116" s="2"/>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1"/>
    </row>
    <row r="117" spans="1:53" ht="42.75" customHeight="1">
      <c r="A117" s="4">
        <v>109</v>
      </c>
      <c r="B117" s="21" t="s">
        <v>88</v>
      </c>
      <c r="C117" s="3"/>
      <c r="D117" s="1"/>
      <c r="E117" s="2"/>
      <c r="F117" s="1"/>
      <c r="G117" s="26" t="s">
        <v>237</v>
      </c>
      <c r="H117" s="1"/>
      <c r="I117" s="22"/>
      <c r="J117" s="2"/>
      <c r="K117" s="23">
        <v>0</v>
      </c>
      <c r="L117" s="2"/>
      <c r="M117" s="23">
        <v>0</v>
      </c>
      <c r="N117" s="24">
        <v>0</v>
      </c>
      <c r="O117" s="2"/>
      <c r="P117" s="2"/>
      <c r="Q117" s="2"/>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1"/>
    </row>
    <row r="118" spans="1:53" ht="30.75" customHeight="1">
      <c r="A118" s="4">
        <v>110</v>
      </c>
      <c r="B118" s="21" t="s">
        <v>88</v>
      </c>
      <c r="C118" s="3"/>
      <c r="D118" s="1"/>
      <c r="E118" s="2"/>
      <c r="F118" s="1"/>
      <c r="G118" s="26" t="s">
        <v>238</v>
      </c>
      <c r="H118" s="1"/>
      <c r="I118" s="22"/>
      <c r="J118" s="2"/>
      <c r="K118" s="23">
        <v>0</v>
      </c>
      <c r="L118" s="2"/>
      <c r="M118" s="23">
        <v>0</v>
      </c>
      <c r="N118" s="24">
        <v>0</v>
      </c>
      <c r="O118" s="2"/>
      <c r="P118" s="2"/>
      <c r="Q118" s="2"/>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1"/>
    </row>
    <row r="119" spans="1:53" ht="42.75" customHeight="1">
      <c r="A119" s="4">
        <v>111</v>
      </c>
      <c r="B119" s="21" t="s">
        <v>88</v>
      </c>
      <c r="C119" s="3"/>
      <c r="D119" s="1"/>
      <c r="E119" s="2"/>
      <c r="F119" s="1"/>
      <c r="G119" s="26" t="s">
        <v>239</v>
      </c>
      <c r="H119" s="1"/>
      <c r="I119" s="22"/>
      <c r="J119" s="2"/>
      <c r="K119" s="23">
        <v>0</v>
      </c>
      <c r="L119" s="2"/>
      <c r="M119" s="23">
        <v>0</v>
      </c>
      <c r="N119" s="24">
        <v>0</v>
      </c>
      <c r="O119" s="2"/>
      <c r="P119" s="2"/>
      <c r="Q119" s="2"/>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1"/>
    </row>
    <row r="120" spans="1:53" ht="54.75" customHeight="1">
      <c r="A120" s="4">
        <v>112</v>
      </c>
      <c r="B120" s="21" t="s">
        <v>88</v>
      </c>
      <c r="C120" s="3"/>
      <c r="D120" s="1"/>
      <c r="E120" s="2"/>
      <c r="F120" s="1"/>
      <c r="G120" s="26" t="s">
        <v>240</v>
      </c>
      <c r="H120" s="1"/>
      <c r="I120" s="22"/>
      <c r="J120" s="2"/>
      <c r="K120" s="23">
        <v>0</v>
      </c>
      <c r="L120" s="2"/>
      <c r="M120" s="23">
        <v>0</v>
      </c>
      <c r="N120" s="24">
        <v>0</v>
      </c>
      <c r="O120" s="2"/>
      <c r="P120" s="2"/>
      <c r="Q120" s="2"/>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1"/>
    </row>
    <row r="121" spans="1:53" ht="42.75" customHeight="1">
      <c r="A121" s="4">
        <v>113</v>
      </c>
      <c r="B121" s="21" t="s">
        <v>88</v>
      </c>
      <c r="C121" s="3"/>
      <c r="D121" s="1"/>
      <c r="E121" s="2"/>
      <c r="F121" s="1"/>
      <c r="G121" s="26" t="s">
        <v>241</v>
      </c>
      <c r="H121" s="1"/>
      <c r="I121" s="22"/>
      <c r="J121" s="2"/>
      <c r="K121" s="23">
        <v>0</v>
      </c>
      <c r="L121" s="2"/>
      <c r="M121" s="23">
        <v>0</v>
      </c>
      <c r="N121" s="24">
        <v>0</v>
      </c>
      <c r="O121" s="2"/>
      <c r="P121" s="2"/>
      <c r="Q121" s="2"/>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1"/>
    </row>
    <row r="122" spans="1:53" ht="30.75" customHeight="1">
      <c r="A122" s="4">
        <v>114</v>
      </c>
      <c r="B122" s="21" t="s">
        <v>88</v>
      </c>
      <c r="C122" s="3"/>
      <c r="D122" s="1"/>
      <c r="E122" s="2"/>
      <c r="F122" s="1"/>
      <c r="G122" s="26" t="s">
        <v>184</v>
      </c>
      <c r="H122" s="1"/>
      <c r="I122" s="22"/>
      <c r="J122" s="2"/>
      <c r="K122" s="23">
        <v>0</v>
      </c>
      <c r="L122" s="2"/>
      <c r="M122" s="23">
        <v>0</v>
      </c>
      <c r="N122" s="24">
        <v>0</v>
      </c>
      <c r="O122" s="2"/>
      <c r="P122" s="2"/>
      <c r="Q122" s="2"/>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1"/>
    </row>
    <row r="123" spans="1:53" ht="18.75" customHeight="1">
      <c r="A123" s="4">
        <v>115</v>
      </c>
      <c r="B123" s="21" t="s">
        <v>88</v>
      </c>
      <c r="C123" s="3"/>
      <c r="D123" s="1"/>
      <c r="E123" s="2"/>
      <c r="F123" s="1"/>
      <c r="G123" s="26" t="s">
        <v>242</v>
      </c>
      <c r="H123" s="1"/>
      <c r="I123" s="22"/>
      <c r="J123" s="2"/>
      <c r="K123" s="23">
        <v>0</v>
      </c>
      <c r="L123" s="2"/>
      <c r="M123" s="23">
        <v>0</v>
      </c>
      <c r="N123" s="24">
        <v>0</v>
      </c>
      <c r="O123" s="2"/>
      <c r="P123" s="2"/>
      <c r="Q123" s="2"/>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1"/>
    </row>
    <row r="124" spans="1:53" ht="42.75" customHeight="1">
      <c r="A124" s="4">
        <v>116</v>
      </c>
      <c r="B124" s="21" t="s">
        <v>88</v>
      </c>
      <c r="C124" s="3"/>
      <c r="D124" s="1"/>
      <c r="E124" s="2"/>
      <c r="F124" s="1"/>
      <c r="G124" s="26" t="s">
        <v>185</v>
      </c>
      <c r="H124" s="1"/>
      <c r="I124" s="22"/>
      <c r="J124" s="2"/>
      <c r="K124" s="23">
        <v>0</v>
      </c>
      <c r="L124" s="2"/>
      <c r="M124" s="23">
        <v>0</v>
      </c>
      <c r="N124" s="24">
        <v>0</v>
      </c>
      <c r="O124" s="2"/>
      <c r="P124" s="2"/>
      <c r="Q124" s="2"/>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1"/>
    </row>
    <row r="125" spans="1:53" ht="30.75" customHeight="1">
      <c r="A125" s="4">
        <v>117</v>
      </c>
      <c r="B125" s="21" t="s">
        <v>88</v>
      </c>
      <c r="C125" s="3"/>
      <c r="D125" s="1"/>
      <c r="E125" s="2"/>
      <c r="F125" s="1"/>
      <c r="G125" s="26" t="s">
        <v>186</v>
      </c>
      <c r="H125" s="1"/>
      <c r="I125" s="22"/>
      <c r="J125" s="2"/>
      <c r="K125" s="23">
        <v>0</v>
      </c>
      <c r="L125" s="2"/>
      <c r="M125" s="23">
        <v>0</v>
      </c>
      <c r="N125" s="24">
        <v>0</v>
      </c>
      <c r="O125" s="2"/>
      <c r="P125" s="2"/>
      <c r="Q125" s="2"/>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1"/>
    </row>
    <row r="126" spans="1:53" ht="30.75" customHeight="1">
      <c r="A126" s="4">
        <v>118</v>
      </c>
      <c r="B126" s="21" t="s">
        <v>88</v>
      </c>
      <c r="C126" s="3"/>
      <c r="D126" s="1"/>
      <c r="E126" s="2"/>
      <c r="F126" s="1"/>
      <c r="G126" s="26" t="s">
        <v>187</v>
      </c>
      <c r="H126" s="1"/>
      <c r="I126" s="22"/>
      <c r="J126" s="2"/>
      <c r="K126" s="23">
        <v>0</v>
      </c>
      <c r="L126" s="2"/>
      <c r="M126" s="23">
        <v>0</v>
      </c>
      <c r="N126" s="24">
        <v>0</v>
      </c>
      <c r="O126" s="2"/>
      <c r="P126" s="2"/>
      <c r="Q126" s="2"/>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1"/>
    </row>
    <row r="127" spans="1:53" ht="30.75" customHeight="1">
      <c r="A127" s="4">
        <v>119</v>
      </c>
      <c r="B127" s="21" t="s">
        <v>88</v>
      </c>
      <c r="C127" s="3"/>
      <c r="D127" s="1"/>
      <c r="E127" s="2"/>
      <c r="F127" s="1"/>
      <c r="G127" s="26" t="s">
        <v>243</v>
      </c>
      <c r="H127" s="1"/>
      <c r="I127" s="22"/>
      <c r="J127" s="2"/>
      <c r="K127" s="23">
        <v>0</v>
      </c>
      <c r="L127" s="2"/>
      <c r="M127" s="23">
        <v>0</v>
      </c>
      <c r="N127" s="24">
        <v>0</v>
      </c>
      <c r="O127" s="2"/>
      <c r="P127" s="2"/>
      <c r="Q127" s="2"/>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1"/>
    </row>
    <row r="128" spans="1:53" ht="18.75" customHeight="1">
      <c r="A128" s="4">
        <v>120</v>
      </c>
      <c r="B128" s="11" t="s">
        <v>88</v>
      </c>
      <c r="C128" s="12"/>
      <c r="D128" s="12" t="s">
        <v>244</v>
      </c>
      <c r="E128" s="13"/>
      <c r="F128" s="14"/>
      <c r="G128" s="15"/>
      <c r="H128" s="12" t="s">
        <v>206</v>
      </c>
      <c r="I128" s="18" t="s">
        <v>245</v>
      </c>
      <c r="J128" s="13" t="s">
        <v>221</v>
      </c>
      <c r="K128" s="10">
        <v>24</v>
      </c>
      <c r="L128" s="13" t="s">
        <v>89</v>
      </c>
      <c r="M128" s="28">
        <v>0</v>
      </c>
      <c r="N128" s="27">
        <v>0</v>
      </c>
      <c r="O128" s="10"/>
      <c r="P128" s="13" t="s">
        <v>246</v>
      </c>
      <c r="Q128" s="13" t="s">
        <v>109</v>
      </c>
      <c r="R128" s="17">
        <f>SUM(S128:AZ128)</f>
        <v>0</v>
      </c>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2"/>
    </row>
    <row r="129" spans="1:53" ht="18.75" customHeight="1">
      <c r="A129" s="4">
        <v>121</v>
      </c>
      <c r="B129" s="11" t="s">
        <v>88</v>
      </c>
      <c r="C129" s="12"/>
      <c r="D129" s="12" t="s">
        <v>247</v>
      </c>
      <c r="E129" s="13"/>
      <c r="F129" s="14"/>
      <c r="G129" s="15"/>
      <c r="H129" s="12" t="s">
        <v>210</v>
      </c>
      <c r="I129" s="18" t="s">
        <v>245</v>
      </c>
      <c r="J129" s="13" t="s">
        <v>221</v>
      </c>
      <c r="K129" s="10">
        <v>12</v>
      </c>
      <c r="L129" s="13" t="s">
        <v>89</v>
      </c>
      <c r="M129" s="28">
        <v>0</v>
      </c>
      <c r="N129" s="27">
        <v>0</v>
      </c>
      <c r="O129" s="10"/>
      <c r="P129" s="13" t="s">
        <v>248</v>
      </c>
      <c r="Q129" s="13" t="s">
        <v>109</v>
      </c>
      <c r="R129" s="17">
        <f>SUM(S129:AZ129)</f>
        <v>0</v>
      </c>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2"/>
    </row>
    <row r="130" spans="1:53" ht="18.75" customHeight="1">
      <c r="A130" s="4">
        <v>122</v>
      </c>
      <c r="B130" s="11" t="s">
        <v>88</v>
      </c>
      <c r="C130" s="12"/>
      <c r="D130" s="12" t="s">
        <v>249</v>
      </c>
      <c r="E130" s="13"/>
      <c r="F130" s="14"/>
      <c r="G130" s="15"/>
      <c r="H130" s="12" t="s">
        <v>228</v>
      </c>
      <c r="I130" s="18" t="s">
        <v>245</v>
      </c>
      <c r="J130" s="13" t="s">
        <v>221</v>
      </c>
      <c r="K130" s="10">
        <v>4</v>
      </c>
      <c r="L130" s="13" t="s">
        <v>89</v>
      </c>
      <c r="M130" s="28">
        <v>0</v>
      </c>
      <c r="N130" s="27">
        <v>0</v>
      </c>
      <c r="O130" s="10"/>
      <c r="P130" s="13" t="s">
        <v>250</v>
      </c>
      <c r="Q130" s="13" t="s">
        <v>109</v>
      </c>
      <c r="R130" s="17">
        <f>SUM(S130:AZ130)</f>
        <v>0</v>
      </c>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2"/>
    </row>
    <row r="131" spans="1:53" ht="18.75" customHeight="1">
      <c r="A131" s="4">
        <v>123</v>
      </c>
      <c r="B131" s="5" t="s">
        <v>88</v>
      </c>
      <c r="C131" s="6"/>
      <c r="D131" s="38" t="s">
        <v>251</v>
      </c>
      <c r="E131" s="58"/>
      <c r="F131" s="38" t="s">
        <v>252</v>
      </c>
      <c r="G131" s="60"/>
      <c r="H131" s="9"/>
      <c r="I131" s="7"/>
      <c r="J131" s="4"/>
      <c r="K131" s="19">
        <v>0</v>
      </c>
      <c r="L131" s="4"/>
      <c r="M131" s="19">
        <v>0</v>
      </c>
      <c r="N131" s="20">
        <v>0</v>
      </c>
      <c r="O131" s="4"/>
      <c r="P131" s="4"/>
      <c r="Q131" s="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9"/>
    </row>
    <row r="132" spans="1:53" ht="18.75" customHeight="1">
      <c r="A132" s="4">
        <v>124</v>
      </c>
      <c r="B132" s="21" t="s">
        <v>88</v>
      </c>
      <c r="C132" s="3"/>
      <c r="D132" s="1"/>
      <c r="E132" s="2"/>
      <c r="F132" s="1"/>
      <c r="G132" s="26" t="s">
        <v>253</v>
      </c>
      <c r="H132" s="1"/>
      <c r="I132" s="22"/>
      <c r="J132" s="2"/>
      <c r="K132" s="23">
        <v>0</v>
      </c>
      <c r="L132" s="2"/>
      <c r="M132" s="23">
        <v>0</v>
      </c>
      <c r="N132" s="24">
        <v>0</v>
      </c>
      <c r="O132" s="2"/>
      <c r="P132" s="2"/>
      <c r="Q132" s="2"/>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1"/>
    </row>
    <row r="133" spans="1:53" ht="30.75" customHeight="1">
      <c r="A133" s="4">
        <v>125</v>
      </c>
      <c r="B133" s="21" t="s">
        <v>88</v>
      </c>
      <c r="C133" s="3"/>
      <c r="D133" s="1"/>
      <c r="E133" s="2"/>
      <c r="F133" s="1"/>
      <c r="G133" s="26" t="s">
        <v>254</v>
      </c>
      <c r="H133" s="1"/>
      <c r="I133" s="22"/>
      <c r="J133" s="2"/>
      <c r="K133" s="23">
        <v>0</v>
      </c>
      <c r="L133" s="2"/>
      <c r="M133" s="23">
        <v>0</v>
      </c>
      <c r="N133" s="24">
        <v>0</v>
      </c>
      <c r="O133" s="2"/>
      <c r="P133" s="2"/>
      <c r="Q133" s="2"/>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1"/>
    </row>
    <row r="134" spans="1:53" ht="18.75" customHeight="1">
      <c r="A134" s="4">
        <v>126</v>
      </c>
      <c r="B134" s="21" t="s">
        <v>88</v>
      </c>
      <c r="C134" s="3"/>
      <c r="D134" s="1"/>
      <c r="E134" s="2"/>
      <c r="F134" s="1"/>
      <c r="G134" s="26" t="s">
        <v>255</v>
      </c>
      <c r="H134" s="1"/>
      <c r="I134" s="22"/>
      <c r="J134" s="2"/>
      <c r="K134" s="23">
        <v>0</v>
      </c>
      <c r="L134" s="2"/>
      <c r="M134" s="23">
        <v>0</v>
      </c>
      <c r="N134" s="24">
        <v>0</v>
      </c>
      <c r="O134" s="2"/>
      <c r="P134" s="2"/>
      <c r="Q134" s="2"/>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1"/>
    </row>
    <row r="135" spans="1:53" ht="18.75" customHeight="1">
      <c r="A135" s="4">
        <v>127</v>
      </c>
      <c r="B135" s="21" t="s">
        <v>88</v>
      </c>
      <c r="C135" s="3"/>
      <c r="D135" s="1"/>
      <c r="E135" s="2"/>
      <c r="F135" s="1"/>
      <c r="G135" s="26" t="s">
        <v>256</v>
      </c>
      <c r="H135" s="1"/>
      <c r="I135" s="22"/>
      <c r="J135" s="2"/>
      <c r="K135" s="23">
        <v>0</v>
      </c>
      <c r="L135" s="2"/>
      <c r="M135" s="23">
        <v>0</v>
      </c>
      <c r="N135" s="24">
        <v>0</v>
      </c>
      <c r="O135" s="2"/>
      <c r="P135" s="2"/>
      <c r="Q135" s="2"/>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1"/>
    </row>
    <row r="136" spans="1:53" ht="18.75" customHeight="1">
      <c r="A136" s="4">
        <v>128</v>
      </c>
      <c r="B136" s="21" t="s">
        <v>88</v>
      </c>
      <c r="C136" s="3"/>
      <c r="D136" s="1"/>
      <c r="E136" s="2"/>
      <c r="F136" s="1"/>
      <c r="G136" s="26" t="s">
        <v>257</v>
      </c>
      <c r="H136" s="1"/>
      <c r="I136" s="22"/>
      <c r="J136" s="2"/>
      <c r="K136" s="23">
        <v>0</v>
      </c>
      <c r="L136" s="2"/>
      <c r="M136" s="23">
        <v>0</v>
      </c>
      <c r="N136" s="24">
        <v>0</v>
      </c>
      <c r="O136" s="2"/>
      <c r="P136" s="2"/>
      <c r="Q136" s="2"/>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1"/>
    </row>
    <row r="137" spans="1:53" ht="18.75" customHeight="1">
      <c r="A137" s="4">
        <v>129</v>
      </c>
      <c r="B137" s="21" t="s">
        <v>88</v>
      </c>
      <c r="C137" s="3"/>
      <c r="D137" s="1"/>
      <c r="E137" s="2"/>
      <c r="F137" s="1"/>
      <c r="G137" s="26" t="s">
        <v>258</v>
      </c>
      <c r="H137" s="1"/>
      <c r="I137" s="22"/>
      <c r="J137" s="2"/>
      <c r="K137" s="23">
        <v>0</v>
      </c>
      <c r="L137" s="2"/>
      <c r="M137" s="23">
        <v>0</v>
      </c>
      <c r="N137" s="24">
        <v>0</v>
      </c>
      <c r="O137" s="2"/>
      <c r="P137" s="2"/>
      <c r="Q137" s="2"/>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1"/>
    </row>
    <row r="138" spans="1:53" ht="18.75" customHeight="1">
      <c r="A138" s="4">
        <v>130</v>
      </c>
      <c r="B138" s="21" t="s">
        <v>88</v>
      </c>
      <c r="C138" s="3"/>
      <c r="D138" s="1"/>
      <c r="E138" s="2"/>
      <c r="F138" s="1"/>
      <c r="G138" s="26" t="s">
        <v>259</v>
      </c>
      <c r="H138" s="1"/>
      <c r="I138" s="22"/>
      <c r="J138" s="2"/>
      <c r="K138" s="23">
        <v>0</v>
      </c>
      <c r="L138" s="2"/>
      <c r="M138" s="23">
        <v>0</v>
      </c>
      <c r="N138" s="24">
        <v>0</v>
      </c>
      <c r="O138" s="2"/>
      <c r="P138" s="2"/>
      <c r="Q138" s="2"/>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1"/>
    </row>
    <row r="139" spans="1:53" ht="30.75" customHeight="1">
      <c r="A139" s="4">
        <v>131</v>
      </c>
      <c r="B139" s="21" t="s">
        <v>88</v>
      </c>
      <c r="C139" s="3"/>
      <c r="D139" s="1"/>
      <c r="E139" s="2"/>
      <c r="F139" s="1"/>
      <c r="G139" s="26" t="s">
        <v>260</v>
      </c>
      <c r="H139" s="1"/>
      <c r="I139" s="22"/>
      <c r="J139" s="2"/>
      <c r="K139" s="23">
        <v>0</v>
      </c>
      <c r="L139" s="2"/>
      <c r="M139" s="23">
        <v>0</v>
      </c>
      <c r="N139" s="24">
        <v>0</v>
      </c>
      <c r="O139" s="2"/>
      <c r="P139" s="2"/>
      <c r="Q139" s="2"/>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1"/>
    </row>
    <row r="140" spans="1:53" ht="18.75" customHeight="1">
      <c r="A140" s="4">
        <v>132</v>
      </c>
      <c r="B140" s="21" t="s">
        <v>88</v>
      </c>
      <c r="C140" s="3"/>
      <c r="D140" s="1"/>
      <c r="E140" s="2"/>
      <c r="F140" s="1"/>
      <c r="G140" s="26" t="s">
        <v>261</v>
      </c>
      <c r="H140" s="1"/>
      <c r="I140" s="22"/>
      <c r="J140" s="2"/>
      <c r="K140" s="23">
        <v>0</v>
      </c>
      <c r="L140" s="2"/>
      <c r="M140" s="23">
        <v>0</v>
      </c>
      <c r="N140" s="24">
        <v>0</v>
      </c>
      <c r="O140" s="2"/>
      <c r="P140" s="2"/>
      <c r="Q140" s="2"/>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1"/>
    </row>
    <row r="141" spans="1:53" ht="18.75" customHeight="1">
      <c r="A141" s="4">
        <v>133</v>
      </c>
      <c r="B141" s="21" t="s">
        <v>88</v>
      </c>
      <c r="C141" s="3"/>
      <c r="D141" s="1"/>
      <c r="E141" s="2"/>
      <c r="F141" s="1"/>
      <c r="G141" s="26" t="s">
        <v>242</v>
      </c>
      <c r="H141" s="1"/>
      <c r="I141" s="22"/>
      <c r="J141" s="2"/>
      <c r="K141" s="23">
        <v>0</v>
      </c>
      <c r="L141" s="2"/>
      <c r="M141" s="23">
        <v>0</v>
      </c>
      <c r="N141" s="24">
        <v>0</v>
      </c>
      <c r="O141" s="2"/>
      <c r="P141" s="2"/>
      <c r="Q141" s="2"/>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1"/>
    </row>
    <row r="142" spans="1:53" ht="30.75" customHeight="1">
      <c r="A142" s="4">
        <v>134</v>
      </c>
      <c r="B142" s="11" t="s">
        <v>88</v>
      </c>
      <c r="C142" s="12"/>
      <c r="D142" s="12" t="s">
        <v>262</v>
      </c>
      <c r="E142" s="13"/>
      <c r="F142" s="14"/>
      <c r="G142" s="18" t="s">
        <v>263</v>
      </c>
      <c r="H142" s="12" t="s">
        <v>264</v>
      </c>
      <c r="I142" s="18" t="s">
        <v>265</v>
      </c>
      <c r="J142" s="13" t="s">
        <v>266</v>
      </c>
      <c r="K142" s="10">
        <v>4</v>
      </c>
      <c r="L142" s="13" t="s">
        <v>267</v>
      </c>
      <c r="M142" s="10">
        <v>23</v>
      </c>
      <c r="N142" s="27">
        <v>0</v>
      </c>
      <c r="O142" s="13" t="s">
        <v>107</v>
      </c>
      <c r="P142" s="13" t="s">
        <v>268</v>
      </c>
      <c r="Q142" s="13" t="s">
        <v>109</v>
      </c>
      <c r="R142" s="17">
        <f>SUM(S142:AZ142)</f>
        <v>3240</v>
      </c>
      <c r="S142" s="17"/>
      <c r="T142" s="17"/>
      <c r="U142" s="17"/>
      <c r="V142" s="17"/>
      <c r="W142" s="17"/>
      <c r="X142" s="17"/>
      <c r="Y142" s="17"/>
      <c r="Z142" s="17"/>
      <c r="AA142" s="17"/>
      <c r="AB142" s="17"/>
      <c r="AC142" s="17"/>
      <c r="AD142" s="17"/>
      <c r="AE142" s="17"/>
      <c r="AF142" s="17"/>
      <c r="AG142" s="17"/>
      <c r="AH142" s="17"/>
      <c r="AI142" s="17">
        <f>2*7*90</f>
        <v>1260</v>
      </c>
      <c r="AJ142" s="17">
        <f>2*11*90</f>
        <v>1980</v>
      </c>
      <c r="AK142" s="17"/>
      <c r="AL142" s="17"/>
      <c r="AM142" s="17"/>
      <c r="AN142" s="17"/>
      <c r="AO142" s="17"/>
      <c r="AP142" s="17"/>
      <c r="AQ142" s="17"/>
      <c r="AR142" s="17"/>
      <c r="AS142" s="17"/>
      <c r="AT142" s="17"/>
      <c r="AU142" s="17"/>
      <c r="AV142" s="17"/>
      <c r="AW142" s="17"/>
      <c r="AX142" s="17"/>
      <c r="AY142" s="17"/>
      <c r="AZ142" s="17"/>
      <c r="BA142" s="12" t="s">
        <v>269</v>
      </c>
    </row>
    <row r="143" spans="1:53" ht="30.75" customHeight="1">
      <c r="A143" s="4">
        <v>135</v>
      </c>
      <c r="B143" s="11" t="s">
        <v>88</v>
      </c>
      <c r="C143" s="12"/>
      <c r="D143" s="12" t="s">
        <v>270</v>
      </c>
      <c r="E143" s="13"/>
      <c r="F143" s="14"/>
      <c r="G143" s="18" t="s">
        <v>271</v>
      </c>
      <c r="H143" s="12" t="s">
        <v>264</v>
      </c>
      <c r="I143" s="18" t="s">
        <v>272</v>
      </c>
      <c r="J143" s="13" t="s">
        <v>266</v>
      </c>
      <c r="K143" s="10">
        <v>4</v>
      </c>
      <c r="L143" s="13" t="s">
        <v>267</v>
      </c>
      <c r="M143" s="10">
        <v>23</v>
      </c>
      <c r="N143" s="27">
        <v>0</v>
      </c>
      <c r="O143" s="13" t="s">
        <v>107</v>
      </c>
      <c r="P143" s="13" t="s">
        <v>273</v>
      </c>
      <c r="Q143" s="13" t="s">
        <v>109</v>
      </c>
      <c r="R143" s="17">
        <f>SUM(S143:AZ143)</f>
        <v>0</v>
      </c>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2"/>
    </row>
    <row r="144" spans="1:53" ht="18.75" customHeight="1">
      <c r="A144" s="4">
        <v>136</v>
      </c>
      <c r="B144" s="5" t="s">
        <v>88</v>
      </c>
      <c r="C144" s="6"/>
      <c r="D144" s="38" t="s">
        <v>274</v>
      </c>
      <c r="E144" s="58"/>
      <c r="F144" s="38" t="s">
        <v>275</v>
      </c>
      <c r="G144" s="60"/>
      <c r="H144" s="9"/>
      <c r="I144" s="7"/>
      <c r="J144" s="4"/>
      <c r="K144" s="19">
        <v>0</v>
      </c>
      <c r="L144" s="4"/>
      <c r="M144" s="19">
        <v>0</v>
      </c>
      <c r="N144" s="20">
        <v>0</v>
      </c>
      <c r="O144" s="4"/>
      <c r="P144" s="4"/>
      <c r="Q144" s="4"/>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9"/>
    </row>
    <row r="145" spans="1:53" ht="30.75" customHeight="1">
      <c r="A145" s="4">
        <v>137</v>
      </c>
      <c r="B145" s="21" t="s">
        <v>88</v>
      </c>
      <c r="C145" s="3"/>
      <c r="D145" s="1"/>
      <c r="E145" s="2"/>
      <c r="F145" s="1"/>
      <c r="G145" s="26" t="s">
        <v>276</v>
      </c>
      <c r="H145" s="1"/>
      <c r="I145" s="22"/>
      <c r="J145" s="2"/>
      <c r="K145" s="23">
        <v>0</v>
      </c>
      <c r="L145" s="2"/>
      <c r="M145" s="23">
        <v>0</v>
      </c>
      <c r="N145" s="24">
        <v>0</v>
      </c>
      <c r="O145" s="2"/>
      <c r="P145" s="2"/>
      <c r="Q145" s="2"/>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1"/>
    </row>
    <row r="146" spans="1:53" ht="18.75" customHeight="1">
      <c r="A146" s="4">
        <v>138</v>
      </c>
      <c r="B146" s="21" t="s">
        <v>88</v>
      </c>
      <c r="C146" s="3"/>
      <c r="D146" s="1"/>
      <c r="E146" s="2"/>
      <c r="F146" s="1"/>
      <c r="G146" s="26" t="s">
        <v>277</v>
      </c>
      <c r="H146" s="1"/>
      <c r="I146" s="22"/>
      <c r="J146" s="2"/>
      <c r="K146" s="23">
        <v>0</v>
      </c>
      <c r="L146" s="2"/>
      <c r="M146" s="23">
        <v>0</v>
      </c>
      <c r="N146" s="24">
        <v>0</v>
      </c>
      <c r="O146" s="2"/>
      <c r="P146" s="2"/>
      <c r="Q146" s="2"/>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1"/>
    </row>
    <row r="147" spans="1:53" ht="18.75" customHeight="1">
      <c r="A147" s="4">
        <v>139</v>
      </c>
      <c r="B147" s="21" t="s">
        <v>88</v>
      </c>
      <c r="C147" s="3"/>
      <c r="D147" s="1"/>
      <c r="E147" s="2"/>
      <c r="F147" s="1"/>
      <c r="G147" s="26" t="s">
        <v>278</v>
      </c>
      <c r="H147" s="1"/>
      <c r="I147" s="22"/>
      <c r="J147" s="2"/>
      <c r="K147" s="23">
        <v>0</v>
      </c>
      <c r="L147" s="2"/>
      <c r="M147" s="23">
        <v>0</v>
      </c>
      <c r="N147" s="24">
        <v>0</v>
      </c>
      <c r="O147" s="2"/>
      <c r="P147" s="2"/>
      <c r="Q147" s="2"/>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1"/>
    </row>
    <row r="148" spans="1:53" ht="30.75" customHeight="1">
      <c r="A148" s="4">
        <v>140</v>
      </c>
      <c r="B148" s="21" t="s">
        <v>88</v>
      </c>
      <c r="C148" s="3"/>
      <c r="D148" s="1"/>
      <c r="E148" s="2"/>
      <c r="F148" s="1"/>
      <c r="G148" s="26" t="s">
        <v>96</v>
      </c>
      <c r="H148" s="1"/>
      <c r="I148" s="22"/>
      <c r="J148" s="2"/>
      <c r="K148" s="23">
        <v>0</v>
      </c>
      <c r="L148" s="2"/>
      <c r="M148" s="23">
        <v>0</v>
      </c>
      <c r="N148" s="24">
        <v>0</v>
      </c>
      <c r="O148" s="2"/>
      <c r="P148" s="2"/>
      <c r="Q148" s="2"/>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1"/>
    </row>
    <row r="149" spans="1:53" ht="18.75" customHeight="1">
      <c r="A149" s="4">
        <v>141</v>
      </c>
      <c r="B149" s="21" t="s">
        <v>88</v>
      </c>
      <c r="C149" s="3"/>
      <c r="D149" s="1"/>
      <c r="E149" s="2"/>
      <c r="F149" s="1"/>
      <c r="G149" s="26" t="s">
        <v>279</v>
      </c>
      <c r="H149" s="1"/>
      <c r="I149" s="22"/>
      <c r="J149" s="2"/>
      <c r="K149" s="23">
        <v>0</v>
      </c>
      <c r="L149" s="2"/>
      <c r="M149" s="23">
        <v>0</v>
      </c>
      <c r="N149" s="24">
        <v>0</v>
      </c>
      <c r="O149" s="2"/>
      <c r="P149" s="2"/>
      <c r="Q149" s="2"/>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1"/>
    </row>
    <row r="150" spans="1:53" ht="42.75" customHeight="1">
      <c r="A150" s="4">
        <v>142</v>
      </c>
      <c r="B150" s="21" t="s">
        <v>88</v>
      </c>
      <c r="C150" s="3"/>
      <c r="D150" s="1"/>
      <c r="E150" s="2"/>
      <c r="F150" s="1"/>
      <c r="G150" s="26" t="s">
        <v>280</v>
      </c>
      <c r="H150" s="1"/>
      <c r="I150" s="22"/>
      <c r="J150" s="2"/>
      <c r="K150" s="23">
        <v>0</v>
      </c>
      <c r="L150" s="2"/>
      <c r="M150" s="23">
        <v>0</v>
      </c>
      <c r="N150" s="24">
        <v>0</v>
      </c>
      <c r="O150" s="2"/>
      <c r="P150" s="2"/>
      <c r="Q150" s="2"/>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1"/>
    </row>
    <row r="151" spans="1:53" ht="42.75" customHeight="1">
      <c r="A151" s="4">
        <v>143</v>
      </c>
      <c r="B151" s="21" t="s">
        <v>88</v>
      </c>
      <c r="C151" s="3"/>
      <c r="D151" s="1"/>
      <c r="E151" s="2"/>
      <c r="F151" s="1"/>
      <c r="G151" s="26" t="s">
        <v>281</v>
      </c>
      <c r="H151" s="1"/>
      <c r="I151" s="22"/>
      <c r="J151" s="2"/>
      <c r="K151" s="23">
        <v>0</v>
      </c>
      <c r="L151" s="2"/>
      <c r="M151" s="23">
        <v>0</v>
      </c>
      <c r="N151" s="24">
        <v>0</v>
      </c>
      <c r="O151" s="2"/>
      <c r="P151" s="2"/>
      <c r="Q151" s="2"/>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1"/>
    </row>
    <row r="152" spans="1:53" ht="30.75" customHeight="1">
      <c r="A152" s="4">
        <v>144</v>
      </c>
      <c r="B152" s="21" t="s">
        <v>88</v>
      </c>
      <c r="C152" s="3"/>
      <c r="D152" s="1"/>
      <c r="E152" s="2"/>
      <c r="F152" s="1"/>
      <c r="G152" s="26" t="s">
        <v>282</v>
      </c>
      <c r="H152" s="1"/>
      <c r="I152" s="22"/>
      <c r="J152" s="2"/>
      <c r="K152" s="23">
        <v>0</v>
      </c>
      <c r="L152" s="2"/>
      <c r="M152" s="23">
        <v>0</v>
      </c>
      <c r="N152" s="24">
        <v>0</v>
      </c>
      <c r="O152" s="2"/>
      <c r="P152" s="2"/>
      <c r="Q152" s="2"/>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1"/>
    </row>
    <row r="153" spans="1:53" ht="18.75" customHeight="1">
      <c r="A153" s="4">
        <v>145</v>
      </c>
      <c r="B153" s="11" t="s">
        <v>88</v>
      </c>
      <c r="C153" s="12"/>
      <c r="D153" s="12" t="s">
        <v>283</v>
      </c>
      <c r="E153" s="13"/>
      <c r="F153" s="14"/>
      <c r="G153" s="15"/>
      <c r="H153" s="12" t="s">
        <v>284</v>
      </c>
      <c r="I153" s="18" t="s">
        <v>285</v>
      </c>
      <c r="J153" s="13" t="s">
        <v>286</v>
      </c>
      <c r="K153" s="10">
        <v>1</v>
      </c>
      <c r="L153" s="13" t="s">
        <v>267</v>
      </c>
      <c r="M153" s="10">
        <v>12</v>
      </c>
      <c r="N153" s="27">
        <v>0</v>
      </c>
      <c r="O153" s="13" t="s">
        <v>107</v>
      </c>
      <c r="P153" s="13" t="s">
        <v>287</v>
      </c>
      <c r="Q153" s="13" t="s">
        <v>109</v>
      </c>
      <c r="R153" s="17">
        <f t="shared" ref="R153:R158" si="3">SUM(S153:AZ153)</f>
        <v>0</v>
      </c>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2"/>
    </row>
    <row r="154" spans="1:53" ht="18.75" customHeight="1">
      <c r="A154" s="4">
        <v>146</v>
      </c>
      <c r="B154" s="11" t="s">
        <v>88</v>
      </c>
      <c r="C154" s="12"/>
      <c r="D154" s="12" t="s">
        <v>288</v>
      </c>
      <c r="E154" s="13"/>
      <c r="F154" s="14"/>
      <c r="G154" s="15"/>
      <c r="H154" s="12" t="s">
        <v>284</v>
      </c>
      <c r="I154" s="18" t="s">
        <v>289</v>
      </c>
      <c r="J154" s="10"/>
      <c r="K154" s="10">
        <v>1</v>
      </c>
      <c r="L154" s="13" t="s">
        <v>267</v>
      </c>
      <c r="M154" s="10">
        <v>12</v>
      </c>
      <c r="N154" s="27">
        <v>0</v>
      </c>
      <c r="O154" s="13" t="s">
        <v>107</v>
      </c>
      <c r="P154" s="10"/>
      <c r="Q154" s="13" t="s">
        <v>109</v>
      </c>
      <c r="R154" s="17">
        <f t="shared" si="3"/>
        <v>0</v>
      </c>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4"/>
    </row>
    <row r="155" spans="1:53" ht="18.75" customHeight="1">
      <c r="A155" s="4">
        <v>147</v>
      </c>
      <c r="B155" s="11" t="s">
        <v>88</v>
      </c>
      <c r="C155" s="12"/>
      <c r="D155" s="12" t="s">
        <v>290</v>
      </c>
      <c r="E155" s="13"/>
      <c r="F155" s="14"/>
      <c r="G155" s="15"/>
      <c r="H155" s="12" t="s">
        <v>291</v>
      </c>
      <c r="I155" s="18" t="s">
        <v>285</v>
      </c>
      <c r="J155" s="13" t="s">
        <v>286</v>
      </c>
      <c r="K155" s="10">
        <v>2</v>
      </c>
      <c r="L155" s="13" t="s">
        <v>267</v>
      </c>
      <c r="M155" s="10">
        <v>12</v>
      </c>
      <c r="N155" s="27">
        <v>0</v>
      </c>
      <c r="O155" s="13" t="s">
        <v>107</v>
      </c>
      <c r="P155" s="13" t="s">
        <v>292</v>
      </c>
      <c r="Q155" s="13" t="s">
        <v>109</v>
      </c>
      <c r="R155" s="17">
        <f t="shared" si="3"/>
        <v>0</v>
      </c>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2"/>
    </row>
    <row r="156" spans="1:53" ht="18.75" customHeight="1">
      <c r="A156" s="4">
        <v>148</v>
      </c>
      <c r="B156" s="11" t="s">
        <v>88</v>
      </c>
      <c r="C156" s="12"/>
      <c r="D156" s="12" t="s">
        <v>293</v>
      </c>
      <c r="E156" s="13"/>
      <c r="F156" s="14"/>
      <c r="G156" s="15"/>
      <c r="H156" s="12" t="s">
        <v>294</v>
      </c>
      <c r="I156" s="18" t="s">
        <v>285</v>
      </c>
      <c r="J156" s="13" t="s">
        <v>286</v>
      </c>
      <c r="K156" s="10">
        <v>6</v>
      </c>
      <c r="L156" s="13" t="s">
        <v>267</v>
      </c>
      <c r="M156" s="10">
        <v>12</v>
      </c>
      <c r="N156" s="27">
        <v>0</v>
      </c>
      <c r="O156" s="13" t="s">
        <v>107</v>
      </c>
      <c r="P156" s="13" t="s">
        <v>295</v>
      </c>
      <c r="Q156" s="13" t="s">
        <v>109</v>
      </c>
      <c r="R156" s="17">
        <f t="shared" si="3"/>
        <v>0</v>
      </c>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2"/>
    </row>
    <row r="157" spans="1:53" ht="18.75" customHeight="1">
      <c r="A157" s="4">
        <v>149</v>
      </c>
      <c r="B157" s="11" t="s">
        <v>88</v>
      </c>
      <c r="C157" s="12"/>
      <c r="D157" s="12" t="s">
        <v>296</v>
      </c>
      <c r="E157" s="13"/>
      <c r="F157" s="14"/>
      <c r="G157" s="15"/>
      <c r="H157" s="12" t="s">
        <v>297</v>
      </c>
      <c r="I157" s="18" t="s">
        <v>285</v>
      </c>
      <c r="J157" s="13" t="s">
        <v>286</v>
      </c>
      <c r="K157" s="10">
        <v>8</v>
      </c>
      <c r="L157" s="13" t="s">
        <v>267</v>
      </c>
      <c r="M157" s="10">
        <v>12</v>
      </c>
      <c r="N157" s="27">
        <v>0</v>
      </c>
      <c r="O157" s="13" t="s">
        <v>107</v>
      </c>
      <c r="P157" s="13" t="s">
        <v>298</v>
      </c>
      <c r="Q157" s="13" t="s">
        <v>109</v>
      </c>
      <c r="R157" s="17">
        <f t="shared" si="3"/>
        <v>0</v>
      </c>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2"/>
    </row>
    <row r="158" spans="1:53" ht="18.75" customHeight="1">
      <c r="A158" s="4">
        <v>150</v>
      </c>
      <c r="B158" s="11" t="s">
        <v>88</v>
      </c>
      <c r="C158" s="12"/>
      <c r="D158" s="12" t="s">
        <v>299</v>
      </c>
      <c r="E158" s="13"/>
      <c r="F158" s="14"/>
      <c r="G158" s="15"/>
      <c r="H158" s="12" t="s">
        <v>300</v>
      </c>
      <c r="I158" s="18" t="s">
        <v>285</v>
      </c>
      <c r="J158" s="13" t="s">
        <v>286</v>
      </c>
      <c r="K158" s="10">
        <v>10</v>
      </c>
      <c r="L158" s="13" t="s">
        <v>267</v>
      </c>
      <c r="M158" s="10">
        <v>12</v>
      </c>
      <c r="N158" s="27">
        <v>0</v>
      </c>
      <c r="O158" s="13" t="s">
        <v>107</v>
      </c>
      <c r="P158" s="13" t="s">
        <v>301</v>
      </c>
      <c r="Q158" s="13" t="s">
        <v>109</v>
      </c>
      <c r="R158" s="17">
        <f t="shared" si="3"/>
        <v>0</v>
      </c>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2"/>
    </row>
    <row r="159" spans="1:53" ht="30.75" customHeight="1">
      <c r="A159" s="4">
        <v>151</v>
      </c>
      <c r="B159" s="21" t="s">
        <v>88</v>
      </c>
      <c r="C159" s="3"/>
      <c r="D159" s="1"/>
      <c r="E159" s="2"/>
      <c r="F159" s="1"/>
      <c r="G159" s="26" t="s">
        <v>302</v>
      </c>
      <c r="H159" s="1"/>
      <c r="I159" s="22"/>
      <c r="J159" s="2"/>
      <c r="K159" s="23">
        <v>0</v>
      </c>
      <c r="L159" s="2"/>
      <c r="M159" s="23">
        <v>0</v>
      </c>
      <c r="N159" s="24">
        <v>0</v>
      </c>
      <c r="O159" s="2"/>
      <c r="P159" s="2"/>
      <c r="Q159" s="2"/>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1"/>
    </row>
    <row r="160" spans="1:53" ht="18.75" customHeight="1">
      <c r="A160" s="4">
        <v>152</v>
      </c>
      <c r="B160" s="21" t="s">
        <v>88</v>
      </c>
      <c r="C160" s="3"/>
      <c r="D160" s="1"/>
      <c r="E160" s="2"/>
      <c r="F160" s="1"/>
      <c r="G160" s="26" t="s">
        <v>303</v>
      </c>
      <c r="H160" s="1"/>
      <c r="I160" s="22"/>
      <c r="J160" s="2"/>
      <c r="K160" s="23">
        <v>0</v>
      </c>
      <c r="L160" s="2"/>
      <c r="M160" s="23">
        <v>0</v>
      </c>
      <c r="N160" s="24">
        <v>0</v>
      </c>
      <c r="O160" s="2"/>
      <c r="P160" s="2"/>
      <c r="Q160" s="2"/>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1"/>
    </row>
    <row r="161" spans="1:53" ht="30.75" customHeight="1">
      <c r="A161" s="4">
        <v>153</v>
      </c>
      <c r="B161" s="21" t="s">
        <v>88</v>
      </c>
      <c r="C161" s="3"/>
      <c r="D161" s="1"/>
      <c r="E161" s="2"/>
      <c r="F161" s="1"/>
      <c r="G161" s="26" t="s">
        <v>96</v>
      </c>
      <c r="H161" s="1"/>
      <c r="I161" s="22"/>
      <c r="J161" s="2"/>
      <c r="K161" s="23">
        <v>0</v>
      </c>
      <c r="L161" s="2"/>
      <c r="M161" s="23">
        <v>0</v>
      </c>
      <c r="N161" s="24">
        <v>0</v>
      </c>
      <c r="O161" s="2"/>
      <c r="P161" s="2"/>
      <c r="Q161" s="2"/>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1"/>
    </row>
    <row r="162" spans="1:53" ht="18.75" customHeight="1">
      <c r="A162" s="4">
        <v>154</v>
      </c>
      <c r="B162" s="21" t="s">
        <v>88</v>
      </c>
      <c r="C162" s="3"/>
      <c r="D162" s="1"/>
      <c r="E162" s="2"/>
      <c r="F162" s="1"/>
      <c r="G162" s="26" t="s">
        <v>279</v>
      </c>
      <c r="H162" s="1"/>
      <c r="I162" s="22"/>
      <c r="J162" s="2"/>
      <c r="K162" s="23">
        <v>0</v>
      </c>
      <c r="L162" s="2"/>
      <c r="M162" s="23">
        <v>0</v>
      </c>
      <c r="N162" s="24">
        <v>0</v>
      </c>
      <c r="O162" s="2"/>
      <c r="P162" s="2"/>
      <c r="Q162" s="2"/>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1"/>
    </row>
    <row r="163" spans="1:53" ht="42.75" customHeight="1">
      <c r="A163" s="4">
        <v>155</v>
      </c>
      <c r="B163" s="21" t="s">
        <v>88</v>
      </c>
      <c r="C163" s="3"/>
      <c r="D163" s="1"/>
      <c r="E163" s="2"/>
      <c r="F163" s="1"/>
      <c r="G163" s="26" t="s">
        <v>280</v>
      </c>
      <c r="H163" s="1"/>
      <c r="I163" s="22"/>
      <c r="J163" s="2"/>
      <c r="K163" s="23">
        <v>0</v>
      </c>
      <c r="L163" s="2"/>
      <c r="M163" s="23">
        <v>0</v>
      </c>
      <c r="N163" s="24">
        <v>0</v>
      </c>
      <c r="O163" s="2"/>
      <c r="P163" s="2"/>
      <c r="Q163" s="2"/>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1"/>
    </row>
    <row r="164" spans="1:53" ht="42.75" customHeight="1">
      <c r="A164" s="4">
        <v>156</v>
      </c>
      <c r="B164" s="21" t="s">
        <v>88</v>
      </c>
      <c r="C164" s="3"/>
      <c r="D164" s="1"/>
      <c r="E164" s="2"/>
      <c r="F164" s="1"/>
      <c r="G164" s="26" t="s">
        <v>281</v>
      </c>
      <c r="H164" s="1"/>
      <c r="I164" s="22"/>
      <c r="J164" s="2"/>
      <c r="K164" s="23">
        <v>0</v>
      </c>
      <c r="L164" s="2"/>
      <c r="M164" s="23">
        <v>0</v>
      </c>
      <c r="N164" s="24">
        <v>0</v>
      </c>
      <c r="O164" s="2"/>
      <c r="P164" s="2"/>
      <c r="Q164" s="2"/>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1"/>
    </row>
    <row r="165" spans="1:53" ht="30.75" customHeight="1">
      <c r="A165" s="4">
        <v>157</v>
      </c>
      <c r="B165" s="21" t="s">
        <v>88</v>
      </c>
      <c r="C165" s="3"/>
      <c r="D165" s="1"/>
      <c r="E165" s="2"/>
      <c r="F165" s="1"/>
      <c r="G165" s="26" t="s">
        <v>282</v>
      </c>
      <c r="H165" s="1"/>
      <c r="I165" s="22"/>
      <c r="J165" s="2"/>
      <c r="K165" s="23">
        <v>0</v>
      </c>
      <c r="L165" s="2"/>
      <c r="M165" s="23">
        <v>0</v>
      </c>
      <c r="N165" s="24">
        <v>0</v>
      </c>
      <c r="O165" s="2"/>
      <c r="P165" s="2"/>
      <c r="Q165" s="2"/>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1"/>
    </row>
    <row r="166" spans="1:53" ht="18.75" customHeight="1">
      <c r="A166" s="4">
        <v>158</v>
      </c>
      <c r="B166" s="11" t="s">
        <v>88</v>
      </c>
      <c r="C166" s="12"/>
      <c r="D166" s="12" t="s">
        <v>304</v>
      </c>
      <c r="E166" s="13"/>
      <c r="F166" s="14"/>
      <c r="G166" s="15"/>
      <c r="H166" s="12" t="s">
        <v>305</v>
      </c>
      <c r="I166" s="18" t="s">
        <v>285</v>
      </c>
      <c r="J166" s="13" t="s">
        <v>306</v>
      </c>
      <c r="K166" s="10">
        <v>2</v>
      </c>
      <c r="L166" s="13" t="s">
        <v>267</v>
      </c>
      <c r="M166" s="10">
        <v>16</v>
      </c>
      <c r="N166" s="27">
        <v>0</v>
      </c>
      <c r="O166" s="13" t="s">
        <v>107</v>
      </c>
      <c r="P166" s="13" t="s">
        <v>307</v>
      </c>
      <c r="Q166" s="13" t="s">
        <v>109</v>
      </c>
      <c r="R166" s="17">
        <f>SUM(S166:AZ166)</f>
        <v>0</v>
      </c>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2"/>
    </row>
    <row r="167" spans="1:53" ht="18.75" customHeight="1">
      <c r="A167" s="4">
        <v>159</v>
      </c>
      <c r="B167" s="11" t="s">
        <v>88</v>
      </c>
      <c r="C167" s="12"/>
      <c r="D167" s="12" t="s">
        <v>308</v>
      </c>
      <c r="E167" s="13"/>
      <c r="F167" s="14"/>
      <c r="G167" s="15"/>
      <c r="H167" s="12" t="s">
        <v>309</v>
      </c>
      <c r="I167" s="18" t="s">
        <v>285</v>
      </c>
      <c r="J167" s="13" t="s">
        <v>306</v>
      </c>
      <c r="K167" s="10">
        <v>4</v>
      </c>
      <c r="L167" s="13" t="s">
        <v>267</v>
      </c>
      <c r="M167" s="10">
        <v>16</v>
      </c>
      <c r="N167" s="27">
        <v>0</v>
      </c>
      <c r="O167" s="13" t="s">
        <v>107</v>
      </c>
      <c r="P167" s="13" t="s">
        <v>310</v>
      </c>
      <c r="Q167" s="13" t="s">
        <v>109</v>
      </c>
      <c r="R167" s="17">
        <f>SUM(S167:AZ167)</f>
        <v>0</v>
      </c>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2"/>
    </row>
    <row r="168" spans="1:53" ht="18.75" customHeight="1">
      <c r="A168" s="4">
        <v>160</v>
      </c>
      <c r="B168" s="11" t="s">
        <v>88</v>
      </c>
      <c r="C168" s="12"/>
      <c r="D168" s="12" t="s">
        <v>311</v>
      </c>
      <c r="E168" s="13"/>
      <c r="F168" s="14"/>
      <c r="G168" s="15"/>
      <c r="H168" s="12" t="s">
        <v>312</v>
      </c>
      <c r="I168" s="18" t="s">
        <v>285</v>
      </c>
      <c r="J168" s="13" t="s">
        <v>306</v>
      </c>
      <c r="K168" s="10">
        <v>10</v>
      </c>
      <c r="L168" s="13" t="s">
        <v>267</v>
      </c>
      <c r="M168" s="10">
        <v>16</v>
      </c>
      <c r="N168" s="27">
        <v>0</v>
      </c>
      <c r="O168" s="13" t="s">
        <v>107</v>
      </c>
      <c r="P168" s="13" t="s">
        <v>313</v>
      </c>
      <c r="Q168" s="13" t="s">
        <v>109</v>
      </c>
      <c r="R168" s="17">
        <f>SUM(S168:AZ168)</f>
        <v>0</v>
      </c>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2"/>
    </row>
    <row r="169" spans="1:53" ht="18.75" customHeight="1">
      <c r="A169" s="4">
        <v>161</v>
      </c>
      <c r="B169" s="11" t="s">
        <v>88</v>
      </c>
      <c r="C169" s="12"/>
      <c r="D169" s="12" t="s">
        <v>314</v>
      </c>
      <c r="E169" s="13"/>
      <c r="F169" s="14"/>
      <c r="G169" s="15"/>
      <c r="H169" s="12" t="s">
        <v>315</v>
      </c>
      <c r="I169" s="18" t="s">
        <v>285</v>
      </c>
      <c r="J169" s="13" t="s">
        <v>306</v>
      </c>
      <c r="K169" s="10">
        <v>2</v>
      </c>
      <c r="L169" s="13" t="s">
        <v>267</v>
      </c>
      <c r="M169" s="10">
        <v>18</v>
      </c>
      <c r="N169" s="27">
        <v>0</v>
      </c>
      <c r="O169" s="13" t="s">
        <v>107</v>
      </c>
      <c r="P169" s="13" t="s">
        <v>316</v>
      </c>
      <c r="Q169" s="13" t="s">
        <v>109</v>
      </c>
      <c r="R169" s="17">
        <f>SUM(S169:AZ169)</f>
        <v>0</v>
      </c>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2"/>
    </row>
    <row r="170" spans="1:53" ht="18.75" customHeight="1">
      <c r="A170" s="4">
        <v>162</v>
      </c>
      <c r="B170" s="11" t="s">
        <v>88</v>
      </c>
      <c r="C170" s="12"/>
      <c r="D170" s="12" t="s">
        <v>317</v>
      </c>
      <c r="E170" s="13"/>
      <c r="F170" s="14"/>
      <c r="G170" s="15"/>
      <c r="H170" s="12" t="s">
        <v>318</v>
      </c>
      <c r="I170" s="18" t="s">
        <v>285</v>
      </c>
      <c r="J170" s="13" t="s">
        <v>306</v>
      </c>
      <c r="K170" s="10">
        <v>4</v>
      </c>
      <c r="L170" s="13" t="s">
        <v>267</v>
      </c>
      <c r="M170" s="10">
        <v>18</v>
      </c>
      <c r="N170" s="27">
        <v>0</v>
      </c>
      <c r="O170" s="13" t="s">
        <v>107</v>
      </c>
      <c r="P170" s="13" t="s">
        <v>319</v>
      </c>
      <c r="Q170" s="13" t="s">
        <v>109</v>
      </c>
      <c r="R170" s="17">
        <f>SUM(S170:AZ170)</f>
        <v>0</v>
      </c>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2"/>
    </row>
    <row r="171" spans="1:53" ht="30.75" customHeight="1">
      <c r="A171" s="4">
        <v>163</v>
      </c>
      <c r="B171" s="21" t="s">
        <v>88</v>
      </c>
      <c r="C171" s="3"/>
      <c r="D171" s="1"/>
      <c r="E171" s="2"/>
      <c r="F171" s="1"/>
      <c r="G171" s="26" t="s">
        <v>320</v>
      </c>
      <c r="H171" s="1"/>
      <c r="I171" s="22"/>
      <c r="J171" s="2"/>
      <c r="K171" s="23">
        <v>0</v>
      </c>
      <c r="L171" s="2"/>
      <c r="M171" s="23">
        <v>0</v>
      </c>
      <c r="N171" s="24">
        <v>0</v>
      </c>
      <c r="O171" s="2"/>
      <c r="P171" s="2"/>
      <c r="Q171" s="2"/>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1"/>
    </row>
    <row r="172" spans="1:53" ht="18.75" customHeight="1">
      <c r="A172" s="4">
        <v>164</v>
      </c>
      <c r="B172" s="21" t="s">
        <v>88</v>
      </c>
      <c r="C172" s="3"/>
      <c r="D172" s="1"/>
      <c r="E172" s="2"/>
      <c r="F172" s="1"/>
      <c r="G172" s="26" t="s">
        <v>321</v>
      </c>
      <c r="H172" s="1"/>
      <c r="I172" s="22"/>
      <c r="J172" s="2"/>
      <c r="K172" s="23">
        <v>0</v>
      </c>
      <c r="L172" s="2"/>
      <c r="M172" s="23">
        <v>0</v>
      </c>
      <c r="N172" s="24">
        <v>0</v>
      </c>
      <c r="O172" s="2"/>
      <c r="P172" s="2"/>
      <c r="Q172" s="2"/>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1"/>
    </row>
    <row r="173" spans="1:53" ht="30.75" customHeight="1">
      <c r="A173" s="4">
        <v>165</v>
      </c>
      <c r="B173" s="21" t="s">
        <v>88</v>
      </c>
      <c r="C173" s="3"/>
      <c r="D173" s="1"/>
      <c r="E173" s="2"/>
      <c r="F173" s="1"/>
      <c r="G173" s="26" t="s">
        <v>96</v>
      </c>
      <c r="H173" s="1"/>
      <c r="I173" s="22"/>
      <c r="J173" s="2"/>
      <c r="K173" s="23">
        <v>0</v>
      </c>
      <c r="L173" s="2"/>
      <c r="M173" s="23">
        <v>0</v>
      </c>
      <c r="N173" s="24">
        <v>0</v>
      </c>
      <c r="O173" s="2"/>
      <c r="P173" s="2"/>
      <c r="Q173" s="2"/>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1"/>
    </row>
    <row r="174" spans="1:53" ht="18.75" customHeight="1">
      <c r="A174" s="4">
        <v>166</v>
      </c>
      <c r="B174" s="21" t="s">
        <v>88</v>
      </c>
      <c r="C174" s="3"/>
      <c r="D174" s="1"/>
      <c r="E174" s="2"/>
      <c r="F174" s="1"/>
      <c r="G174" s="26" t="s">
        <v>279</v>
      </c>
      <c r="H174" s="1"/>
      <c r="I174" s="22"/>
      <c r="J174" s="2"/>
      <c r="K174" s="23">
        <v>0</v>
      </c>
      <c r="L174" s="2"/>
      <c r="M174" s="23">
        <v>0</v>
      </c>
      <c r="N174" s="24">
        <v>0</v>
      </c>
      <c r="O174" s="2"/>
      <c r="P174" s="2"/>
      <c r="Q174" s="2"/>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1"/>
    </row>
    <row r="175" spans="1:53" ht="42.75" customHeight="1">
      <c r="A175" s="4">
        <v>167</v>
      </c>
      <c r="B175" s="21" t="s">
        <v>88</v>
      </c>
      <c r="C175" s="3"/>
      <c r="D175" s="1"/>
      <c r="E175" s="2"/>
      <c r="F175" s="1"/>
      <c r="G175" s="26" t="s">
        <v>280</v>
      </c>
      <c r="H175" s="1"/>
      <c r="I175" s="22"/>
      <c r="J175" s="2"/>
      <c r="K175" s="23">
        <v>0</v>
      </c>
      <c r="L175" s="2"/>
      <c r="M175" s="23">
        <v>0</v>
      </c>
      <c r="N175" s="24">
        <v>0</v>
      </c>
      <c r="O175" s="2"/>
      <c r="P175" s="2"/>
      <c r="Q175" s="2"/>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1"/>
    </row>
    <row r="176" spans="1:53" ht="42.75" customHeight="1">
      <c r="A176" s="4">
        <v>168</v>
      </c>
      <c r="B176" s="21" t="s">
        <v>88</v>
      </c>
      <c r="C176" s="3"/>
      <c r="D176" s="1"/>
      <c r="E176" s="2"/>
      <c r="F176" s="1"/>
      <c r="G176" s="26" t="s">
        <v>281</v>
      </c>
      <c r="H176" s="1"/>
      <c r="I176" s="22"/>
      <c r="J176" s="2"/>
      <c r="K176" s="23">
        <v>0</v>
      </c>
      <c r="L176" s="2"/>
      <c r="M176" s="23">
        <v>0</v>
      </c>
      <c r="N176" s="24">
        <v>0</v>
      </c>
      <c r="O176" s="2"/>
      <c r="P176" s="2"/>
      <c r="Q176" s="2"/>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1"/>
    </row>
    <row r="177" spans="1:53" ht="18.75" customHeight="1">
      <c r="A177" s="4">
        <v>169</v>
      </c>
      <c r="B177" s="11" t="s">
        <v>88</v>
      </c>
      <c r="C177" s="12"/>
      <c r="D177" s="12" t="s">
        <v>322</v>
      </c>
      <c r="E177" s="13"/>
      <c r="F177" s="14"/>
      <c r="G177" s="15"/>
      <c r="H177" s="12" t="s">
        <v>284</v>
      </c>
      <c r="I177" s="18" t="s">
        <v>323</v>
      </c>
      <c r="J177" s="13" t="s">
        <v>324</v>
      </c>
      <c r="K177" s="10">
        <v>1</v>
      </c>
      <c r="L177" s="13" t="s">
        <v>267</v>
      </c>
      <c r="M177" s="10">
        <v>12</v>
      </c>
      <c r="N177" s="27">
        <v>0</v>
      </c>
      <c r="O177" s="13" t="s">
        <v>107</v>
      </c>
      <c r="P177" s="13" t="s">
        <v>325</v>
      </c>
      <c r="Q177" s="13" t="s">
        <v>109</v>
      </c>
      <c r="R177" s="17">
        <f t="shared" ref="R177:R184" si="4">SUM(S177:AZ177)</f>
        <v>0</v>
      </c>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2"/>
    </row>
    <row r="178" spans="1:53" ht="18.75" customHeight="1">
      <c r="A178" s="4">
        <v>170</v>
      </c>
      <c r="B178" s="11" t="s">
        <v>88</v>
      </c>
      <c r="C178" s="12"/>
      <c r="D178" s="12" t="s">
        <v>326</v>
      </c>
      <c r="E178" s="13"/>
      <c r="F178" s="14"/>
      <c r="G178" s="15"/>
      <c r="H178" s="12" t="s">
        <v>291</v>
      </c>
      <c r="I178" s="18" t="s">
        <v>323</v>
      </c>
      <c r="J178" s="13" t="s">
        <v>324</v>
      </c>
      <c r="K178" s="10">
        <v>2</v>
      </c>
      <c r="L178" s="13" t="s">
        <v>267</v>
      </c>
      <c r="M178" s="10">
        <v>12</v>
      </c>
      <c r="N178" s="27">
        <v>0</v>
      </c>
      <c r="O178" s="13" t="s">
        <v>107</v>
      </c>
      <c r="P178" s="13" t="s">
        <v>327</v>
      </c>
      <c r="Q178" s="13" t="s">
        <v>109</v>
      </c>
      <c r="R178" s="17">
        <f t="shared" si="4"/>
        <v>0</v>
      </c>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2"/>
    </row>
    <row r="179" spans="1:53" ht="18.75" customHeight="1">
      <c r="A179" s="4">
        <v>171</v>
      </c>
      <c r="B179" s="11" t="s">
        <v>88</v>
      </c>
      <c r="C179" s="12"/>
      <c r="D179" s="12" t="s">
        <v>328</v>
      </c>
      <c r="E179" s="13"/>
      <c r="F179" s="14"/>
      <c r="G179" s="15"/>
      <c r="H179" s="12" t="s">
        <v>305</v>
      </c>
      <c r="I179" s="18" t="s">
        <v>323</v>
      </c>
      <c r="J179" s="13" t="s">
        <v>324</v>
      </c>
      <c r="K179" s="10">
        <v>2</v>
      </c>
      <c r="L179" s="13" t="s">
        <v>267</v>
      </c>
      <c r="M179" s="10">
        <v>16</v>
      </c>
      <c r="N179" s="27">
        <v>0</v>
      </c>
      <c r="O179" s="13" t="s">
        <v>107</v>
      </c>
      <c r="P179" s="13" t="s">
        <v>329</v>
      </c>
      <c r="Q179" s="13" t="s">
        <v>109</v>
      </c>
      <c r="R179" s="17">
        <f t="shared" si="4"/>
        <v>0</v>
      </c>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2"/>
    </row>
    <row r="180" spans="1:53" ht="18.75" customHeight="1">
      <c r="A180" s="4">
        <v>172</v>
      </c>
      <c r="B180" s="11" t="s">
        <v>88</v>
      </c>
      <c r="C180" s="12"/>
      <c r="D180" s="12" t="s">
        <v>330</v>
      </c>
      <c r="E180" s="13"/>
      <c r="F180" s="14"/>
      <c r="G180" s="15"/>
      <c r="H180" s="12" t="s">
        <v>309</v>
      </c>
      <c r="I180" s="18" t="s">
        <v>323</v>
      </c>
      <c r="J180" s="13" t="s">
        <v>324</v>
      </c>
      <c r="K180" s="10">
        <v>4</v>
      </c>
      <c r="L180" s="13" t="s">
        <v>267</v>
      </c>
      <c r="M180" s="10">
        <v>16</v>
      </c>
      <c r="N180" s="27">
        <v>0</v>
      </c>
      <c r="O180" s="13" t="s">
        <v>107</v>
      </c>
      <c r="P180" s="13" t="s">
        <v>331</v>
      </c>
      <c r="Q180" s="13" t="s">
        <v>109</v>
      </c>
      <c r="R180" s="17">
        <f t="shared" si="4"/>
        <v>0</v>
      </c>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2"/>
    </row>
    <row r="181" spans="1:53" ht="18.75" customHeight="1">
      <c r="A181" s="4">
        <v>173</v>
      </c>
      <c r="B181" s="11" t="s">
        <v>88</v>
      </c>
      <c r="C181" s="12"/>
      <c r="D181" s="12" t="s">
        <v>332</v>
      </c>
      <c r="E181" s="13"/>
      <c r="F181" s="14"/>
      <c r="G181" s="15"/>
      <c r="H181" s="12" t="s">
        <v>333</v>
      </c>
      <c r="I181" s="18" t="s">
        <v>323</v>
      </c>
      <c r="J181" s="13" t="s">
        <v>324</v>
      </c>
      <c r="K181" s="10">
        <v>6</v>
      </c>
      <c r="L181" s="13" t="s">
        <v>267</v>
      </c>
      <c r="M181" s="10">
        <v>16</v>
      </c>
      <c r="N181" s="27">
        <v>0</v>
      </c>
      <c r="O181" s="13" t="s">
        <v>107</v>
      </c>
      <c r="P181" s="13" t="s">
        <v>334</v>
      </c>
      <c r="Q181" s="13" t="s">
        <v>109</v>
      </c>
      <c r="R181" s="17">
        <f t="shared" si="4"/>
        <v>0</v>
      </c>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2"/>
    </row>
    <row r="182" spans="1:53" ht="18.75" customHeight="1">
      <c r="A182" s="4">
        <v>174</v>
      </c>
      <c r="B182" s="11" t="s">
        <v>88</v>
      </c>
      <c r="C182" s="12"/>
      <c r="D182" s="12" t="s">
        <v>335</v>
      </c>
      <c r="E182" s="13"/>
      <c r="F182" s="14"/>
      <c r="G182" s="15"/>
      <c r="H182" s="12" t="s">
        <v>336</v>
      </c>
      <c r="I182" s="18" t="s">
        <v>323</v>
      </c>
      <c r="J182" s="13" t="s">
        <v>324</v>
      </c>
      <c r="K182" s="10">
        <v>1</v>
      </c>
      <c r="L182" s="13" t="s">
        <v>267</v>
      </c>
      <c r="M182" s="10">
        <v>18</v>
      </c>
      <c r="N182" s="27">
        <v>0</v>
      </c>
      <c r="O182" s="13" t="s">
        <v>107</v>
      </c>
      <c r="P182" s="13" t="s">
        <v>337</v>
      </c>
      <c r="Q182" s="13" t="s">
        <v>109</v>
      </c>
      <c r="R182" s="17">
        <f t="shared" si="4"/>
        <v>0</v>
      </c>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2"/>
    </row>
    <row r="183" spans="1:53" ht="18.75" customHeight="1">
      <c r="A183" s="4">
        <v>175</v>
      </c>
      <c r="B183" s="11" t="s">
        <v>88</v>
      </c>
      <c r="C183" s="12"/>
      <c r="D183" s="12" t="s">
        <v>338</v>
      </c>
      <c r="E183" s="13"/>
      <c r="F183" s="14"/>
      <c r="G183" s="15"/>
      <c r="H183" s="12" t="s">
        <v>315</v>
      </c>
      <c r="I183" s="18" t="s">
        <v>323</v>
      </c>
      <c r="J183" s="13" t="s">
        <v>324</v>
      </c>
      <c r="K183" s="10">
        <v>2</v>
      </c>
      <c r="L183" s="13" t="s">
        <v>267</v>
      </c>
      <c r="M183" s="10">
        <v>18</v>
      </c>
      <c r="N183" s="27">
        <v>0</v>
      </c>
      <c r="O183" s="13" t="s">
        <v>107</v>
      </c>
      <c r="P183" s="13" t="s">
        <v>339</v>
      </c>
      <c r="Q183" s="13" t="s">
        <v>109</v>
      </c>
      <c r="R183" s="17">
        <f t="shared" si="4"/>
        <v>0</v>
      </c>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2"/>
    </row>
    <row r="184" spans="1:53" ht="18.75" customHeight="1">
      <c r="A184" s="4">
        <v>176</v>
      </c>
      <c r="B184" s="11" t="s">
        <v>88</v>
      </c>
      <c r="C184" s="12"/>
      <c r="D184" s="12" t="s">
        <v>340</v>
      </c>
      <c r="E184" s="13"/>
      <c r="F184" s="14"/>
      <c r="G184" s="15"/>
      <c r="H184" s="12" t="s">
        <v>318</v>
      </c>
      <c r="I184" s="18" t="s">
        <v>323</v>
      </c>
      <c r="J184" s="13" t="s">
        <v>324</v>
      </c>
      <c r="K184" s="10">
        <v>4</v>
      </c>
      <c r="L184" s="13" t="s">
        <v>267</v>
      </c>
      <c r="M184" s="10">
        <v>18</v>
      </c>
      <c r="N184" s="27">
        <v>0</v>
      </c>
      <c r="O184" s="13" t="s">
        <v>107</v>
      </c>
      <c r="P184" s="13" t="s">
        <v>341</v>
      </c>
      <c r="Q184" s="13" t="s">
        <v>109</v>
      </c>
      <c r="R184" s="17">
        <f t="shared" si="4"/>
        <v>0</v>
      </c>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2"/>
    </row>
    <row r="185" spans="1:53" ht="18.75" customHeight="1">
      <c r="A185" s="4">
        <v>177</v>
      </c>
      <c r="B185" s="5" t="s">
        <v>88</v>
      </c>
      <c r="C185" s="6"/>
      <c r="D185" s="38" t="s">
        <v>342</v>
      </c>
      <c r="E185" s="58"/>
      <c r="F185" s="38" t="s">
        <v>343</v>
      </c>
      <c r="G185" s="60"/>
      <c r="H185" s="9"/>
      <c r="I185" s="7"/>
      <c r="J185" s="4"/>
      <c r="K185" s="19">
        <v>0</v>
      </c>
      <c r="L185" s="4"/>
      <c r="M185" s="19">
        <v>0</v>
      </c>
      <c r="N185" s="20">
        <v>0</v>
      </c>
      <c r="O185" s="4"/>
      <c r="P185" s="4"/>
      <c r="Q185" s="4"/>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9"/>
    </row>
    <row r="186" spans="1:53" ht="18.75" customHeight="1">
      <c r="A186" s="4">
        <v>178</v>
      </c>
      <c r="B186" s="21" t="s">
        <v>88</v>
      </c>
      <c r="C186" s="3"/>
      <c r="D186" s="1"/>
      <c r="E186" s="2"/>
      <c r="F186" s="1"/>
      <c r="G186" s="26" t="s">
        <v>344</v>
      </c>
      <c r="H186" s="1"/>
      <c r="I186" s="22"/>
      <c r="J186" s="2"/>
      <c r="K186" s="23">
        <v>0</v>
      </c>
      <c r="L186" s="2"/>
      <c r="M186" s="23">
        <v>0</v>
      </c>
      <c r="N186" s="24">
        <v>0</v>
      </c>
      <c r="O186" s="2"/>
      <c r="P186" s="2"/>
      <c r="Q186" s="2"/>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1"/>
    </row>
    <row r="187" spans="1:53" ht="30.75" customHeight="1">
      <c r="A187" s="4">
        <v>179</v>
      </c>
      <c r="B187" s="21" t="s">
        <v>88</v>
      </c>
      <c r="C187" s="3"/>
      <c r="D187" s="1"/>
      <c r="E187" s="2"/>
      <c r="F187" s="1"/>
      <c r="G187" s="26" t="s">
        <v>345</v>
      </c>
      <c r="H187" s="1"/>
      <c r="I187" s="22"/>
      <c r="J187" s="2"/>
      <c r="K187" s="23">
        <v>0</v>
      </c>
      <c r="L187" s="2"/>
      <c r="M187" s="23">
        <v>0</v>
      </c>
      <c r="N187" s="24">
        <v>0</v>
      </c>
      <c r="O187" s="2"/>
      <c r="P187" s="2"/>
      <c r="Q187" s="2"/>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1"/>
    </row>
    <row r="188" spans="1:53" ht="18.75" customHeight="1">
      <c r="A188" s="4">
        <v>180</v>
      </c>
      <c r="B188" s="21" t="s">
        <v>88</v>
      </c>
      <c r="C188" s="3"/>
      <c r="D188" s="1"/>
      <c r="E188" s="2"/>
      <c r="F188" s="1"/>
      <c r="G188" s="26" t="s">
        <v>346</v>
      </c>
      <c r="H188" s="1"/>
      <c r="I188" s="22"/>
      <c r="J188" s="2"/>
      <c r="K188" s="23">
        <v>0</v>
      </c>
      <c r="L188" s="2"/>
      <c r="M188" s="23">
        <v>0</v>
      </c>
      <c r="N188" s="24">
        <v>0</v>
      </c>
      <c r="O188" s="2"/>
      <c r="P188" s="2"/>
      <c r="Q188" s="2"/>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1"/>
    </row>
    <row r="189" spans="1:53" ht="18.75" customHeight="1">
      <c r="A189" s="4">
        <v>181</v>
      </c>
      <c r="B189" s="21" t="s">
        <v>88</v>
      </c>
      <c r="C189" s="3"/>
      <c r="D189" s="1"/>
      <c r="E189" s="2"/>
      <c r="F189" s="1"/>
      <c r="G189" s="26" t="s">
        <v>347</v>
      </c>
      <c r="H189" s="1"/>
      <c r="I189" s="22"/>
      <c r="J189" s="2"/>
      <c r="K189" s="23">
        <v>0</v>
      </c>
      <c r="L189" s="2"/>
      <c r="M189" s="23">
        <v>0</v>
      </c>
      <c r="N189" s="24">
        <v>0</v>
      </c>
      <c r="O189" s="2"/>
      <c r="P189" s="2"/>
      <c r="Q189" s="2"/>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1"/>
    </row>
    <row r="190" spans="1:53" ht="18.75" customHeight="1">
      <c r="A190" s="4">
        <v>182</v>
      </c>
      <c r="B190" s="21" t="s">
        <v>88</v>
      </c>
      <c r="C190" s="3"/>
      <c r="D190" s="1"/>
      <c r="E190" s="2"/>
      <c r="F190" s="1"/>
      <c r="G190" s="26" t="s">
        <v>348</v>
      </c>
      <c r="H190" s="1"/>
      <c r="I190" s="22"/>
      <c r="J190" s="2"/>
      <c r="K190" s="23">
        <v>0</v>
      </c>
      <c r="L190" s="2"/>
      <c r="M190" s="23">
        <v>0</v>
      </c>
      <c r="N190" s="24">
        <v>0</v>
      </c>
      <c r="O190" s="2"/>
      <c r="P190" s="2"/>
      <c r="Q190" s="2"/>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1"/>
    </row>
    <row r="191" spans="1:53" ht="18.75" customHeight="1">
      <c r="A191" s="4">
        <v>183</v>
      </c>
      <c r="B191" s="21" t="s">
        <v>88</v>
      </c>
      <c r="C191" s="3"/>
      <c r="D191" s="1"/>
      <c r="E191" s="2"/>
      <c r="F191" s="1"/>
      <c r="G191" s="26" t="s">
        <v>349</v>
      </c>
      <c r="H191" s="1"/>
      <c r="I191" s="22"/>
      <c r="J191" s="2"/>
      <c r="K191" s="23">
        <v>0</v>
      </c>
      <c r="L191" s="2"/>
      <c r="M191" s="23">
        <v>0</v>
      </c>
      <c r="N191" s="24">
        <v>0</v>
      </c>
      <c r="O191" s="2"/>
      <c r="P191" s="2"/>
      <c r="Q191" s="2"/>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1"/>
    </row>
    <row r="192" spans="1:53" ht="18.75" customHeight="1">
      <c r="A192" s="4">
        <v>184</v>
      </c>
      <c r="B192" s="21" t="s">
        <v>88</v>
      </c>
      <c r="C192" s="3"/>
      <c r="D192" s="1"/>
      <c r="E192" s="2"/>
      <c r="F192" s="1"/>
      <c r="G192" s="26" t="s">
        <v>350</v>
      </c>
      <c r="H192" s="1"/>
      <c r="I192" s="22"/>
      <c r="J192" s="2"/>
      <c r="K192" s="23">
        <v>0</v>
      </c>
      <c r="L192" s="2"/>
      <c r="M192" s="23">
        <v>0</v>
      </c>
      <c r="N192" s="24">
        <v>0</v>
      </c>
      <c r="O192" s="2"/>
      <c r="P192" s="2"/>
      <c r="Q192" s="2"/>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1"/>
    </row>
    <row r="193" spans="1:53" ht="18.75" customHeight="1">
      <c r="A193" s="4">
        <v>185</v>
      </c>
      <c r="B193" s="11" t="s">
        <v>88</v>
      </c>
      <c r="C193" s="12"/>
      <c r="D193" s="12" t="s">
        <v>351</v>
      </c>
      <c r="E193" s="13"/>
      <c r="F193" s="14"/>
      <c r="G193" s="15"/>
      <c r="H193" s="12" t="s">
        <v>352</v>
      </c>
      <c r="I193" s="18" t="s">
        <v>323</v>
      </c>
      <c r="J193" s="13" t="s">
        <v>353</v>
      </c>
      <c r="K193" s="10">
        <v>100</v>
      </c>
      <c r="L193" s="13" t="s">
        <v>267</v>
      </c>
      <c r="M193" s="10">
        <v>22</v>
      </c>
      <c r="N193" s="27">
        <v>0</v>
      </c>
      <c r="O193" s="13" t="s">
        <v>107</v>
      </c>
      <c r="P193" s="13" t="s">
        <v>354</v>
      </c>
      <c r="Q193" s="13" t="s">
        <v>109</v>
      </c>
      <c r="R193" s="17">
        <f>SUM(S193:AZ193)</f>
        <v>0</v>
      </c>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2"/>
    </row>
    <row r="194" spans="1:53" ht="18.75" customHeight="1">
      <c r="A194" s="4">
        <v>186</v>
      </c>
      <c r="B194" s="5" t="s">
        <v>88</v>
      </c>
      <c r="C194" s="6"/>
      <c r="D194" s="38" t="s">
        <v>355</v>
      </c>
      <c r="E194" s="58"/>
      <c r="F194" s="38" t="s">
        <v>356</v>
      </c>
      <c r="G194" s="60"/>
      <c r="H194" s="9"/>
      <c r="I194" s="7"/>
      <c r="J194" s="4"/>
      <c r="K194" s="19">
        <v>0</v>
      </c>
      <c r="L194" s="4"/>
      <c r="M194" s="19">
        <v>0</v>
      </c>
      <c r="N194" s="20">
        <v>0</v>
      </c>
      <c r="O194" s="4"/>
      <c r="P194" s="4"/>
      <c r="Q194" s="4"/>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9"/>
    </row>
    <row r="195" spans="1:53" ht="18.75" customHeight="1">
      <c r="A195" s="4">
        <v>187</v>
      </c>
      <c r="B195" s="11" t="s">
        <v>88</v>
      </c>
      <c r="C195" s="12"/>
      <c r="D195" s="12" t="s">
        <v>357</v>
      </c>
      <c r="E195" s="13"/>
      <c r="F195" s="14"/>
      <c r="G195" s="15"/>
      <c r="H195" s="12" t="s">
        <v>318</v>
      </c>
      <c r="I195" s="15"/>
      <c r="J195" s="10"/>
      <c r="K195" s="10">
        <v>4</v>
      </c>
      <c r="L195" s="13" t="s">
        <v>267</v>
      </c>
      <c r="M195" s="10">
        <v>18</v>
      </c>
      <c r="N195" s="27">
        <v>0</v>
      </c>
      <c r="O195" s="13" t="s">
        <v>107</v>
      </c>
      <c r="P195" s="10"/>
      <c r="Q195" s="13" t="s">
        <v>109</v>
      </c>
      <c r="R195" s="17">
        <f>SUM(S195:AZ195)</f>
        <v>0</v>
      </c>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4"/>
    </row>
    <row r="196" spans="1:53" ht="18.75" customHeight="1">
      <c r="A196" s="4">
        <v>188</v>
      </c>
      <c r="B196" s="11" t="s">
        <v>88</v>
      </c>
      <c r="C196" s="12"/>
      <c r="D196" s="12" t="s">
        <v>358</v>
      </c>
      <c r="E196" s="13"/>
      <c r="F196" s="14"/>
      <c r="G196" s="15"/>
      <c r="H196" s="12" t="s">
        <v>359</v>
      </c>
      <c r="I196" s="15"/>
      <c r="J196" s="10"/>
      <c r="K196" s="10">
        <v>2</v>
      </c>
      <c r="L196" s="13" t="s">
        <v>267</v>
      </c>
      <c r="M196" s="10">
        <v>22</v>
      </c>
      <c r="N196" s="27">
        <v>0</v>
      </c>
      <c r="O196" s="13" t="s">
        <v>107</v>
      </c>
      <c r="P196" s="10"/>
      <c r="Q196" s="13" t="s">
        <v>109</v>
      </c>
      <c r="R196" s="17">
        <f>SUM(S196:AZ196)</f>
        <v>0</v>
      </c>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4"/>
    </row>
    <row r="197" spans="1:53" ht="18.75" customHeight="1">
      <c r="A197" s="4">
        <v>189</v>
      </c>
      <c r="B197" s="11" t="s">
        <v>88</v>
      </c>
      <c r="C197" s="12"/>
      <c r="D197" s="12" t="s">
        <v>360</v>
      </c>
      <c r="E197" s="13"/>
      <c r="F197" s="14"/>
      <c r="G197" s="15"/>
      <c r="H197" s="12" t="s">
        <v>359</v>
      </c>
      <c r="I197" s="18" t="s">
        <v>323</v>
      </c>
      <c r="J197" s="10"/>
      <c r="K197" s="10">
        <v>2</v>
      </c>
      <c r="L197" s="13" t="s">
        <v>267</v>
      </c>
      <c r="M197" s="10">
        <v>22</v>
      </c>
      <c r="N197" s="27">
        <v>0</v>
      </c>
      <c r="O197" s="13" t="s">
        <v>107</v>
      </c>
      <c r="P197" s="10"/>
      <c r="Q197" s="13" t="s">
        <v>109</v>
      </c>
      <c r="R197" s="17">
        <f>SUM(S197:AZ197)</f>
        <v>0</v>
      </c>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4"/>
    </row>
  </sheetData>
  <autoFilter ref="A5:AN197" xr:uid="{00000000-0009-0000-0000-000001000000}"/>
  <mergeCells count="7">
    <mergeCell ref="R3:R5"/>
    <mergeCell ref="A1:BA1"/>
    <mergeCell ref="Q3:Q5"/>
    <mergeCell ref="S3:AE3"/>
    <mergeCell ref="AF3:AZ3"/>
    <mergeCell ref="A2:BA2"/>
    <mergeCell ref="BA3:BA5"/>
  </mergeCells>
  <pageMargins left="1" right="1" top="1" bottom="1" header="0.3" footer="0.3"/>
  <pageSetup paperSize="0" orientation="portrait"/>
  <headerFooter>
    <oddHeader>&amp;L&amp;"Calibri"&amp;8&amp;K000000 대외비(Restricted)&amp;1#_x000D_</oddHead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Y181"/>
  <sheetViews>
    <sheetView zoomScale="70" zoomScaleNormal="70" workbookViewId="0">
      <pane xSplit="14" ySplit="5" topLeftCell="O6" activePane="bottomRight" state="frozen"/>
      <selection pane="bottomRight" activeCell="Q5" sqref="Q5:S5"/>
      <selection pane="bottomLeft" activeCell="A6" sqref="A6"/>
      <selection pane="topRight" activeCell="O1" sqref="O1"/>
    </sheetView>
  </sheetViews>
  <sheetFormatPr defaultRowHeight="14.45" outlineLevelCol="1"/>
  <cols>
    <col min="1" max="1" width="5.7109375" customWidth="1"/>
    <col min="2" max="2" width="11.28515625" customWidth="1"/>
    <col min="3" max="3" width="21.28515625" customWidth="1"/>
    <col min="4" max="4" width="8.7109375" customWidth="1"/>
    <col min="5" max="5" width="14.28515625" hidden="1" customWidth="1" outlineLevel="1"/>
    <col min="6" max="6" width="32.28515625" bestFit="1" customWidth="1" collapsed="1"/>
    <col min="7" max="7" width="36.140625" bestFit="1" customWidth="1"/>
    <col min="8" max="8" width="38" bestFit="1" customWidth="1"/>
    <col min="9" max="9" width="28.7109375" customWidth="1"/>
    <col min="10" max="14" width="14.28515625" hidden="1" customWidth="1" outlineLevel="1"/>
    <col min="15" max="15" width="8.7109375" customWidth="1" collapsed="1"/>
    <col min="16" max="16" width="11.28515625" customWidth="1"/>
    <col min="17" max="34" width="13" customWidth="1"/>
    <col min="35" max="35" width="13" customWidth="1" collapsed="1"/>
    <col min="36" max="50" width="13" customWidth="1"/>
    <col min="51" max="51" width="21.28515625" customWidth="1"/>
  </cols>
  <sheetData>
    <row r="1" spans="1:51" ht="18.75" customHeight="1">
      <c r="A1" s="115" t="s">
        <v>7</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row>
    <row r="2" spans="1:51" ht="13.5" customHeight="1">
      <c r="A2" s="116" t="s">
        <v>8</v>
      </c>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row>
    <row r="3" spans="1:51" ht="23.25" customHeight="1">
      <c r="A3" s="104" t="s">
        <v>9</v>
      </c>
      <c r="B3" s="104" t="s">
        <v>10</v>
      </c>
      <c r="C3" s="104" t="s">
        <v>11</v>
      </c>
      <c r="D3" s="104" t="s">
        <v>12</v>
      </c>
      <c r="E3" s="104" t="s">
        <v>13</v>
      </c>
      <c r="F3" s="104" t="s">
        <v>14</v>
      </c>
      <c r="G3" s="104" t="s">
        <v>15</v>
      </c>
      <c r="I3" s="104" t="s">
        <v>16</v>
      </c>
      <c r="J3" s="104" t="s">
        <v>17</v>
      </c>
      <c r="K3" s="104" t="s">
        <v>361</v>
      </c>
      <c r="L3" s="104" t="s">
        <v>362</v>
      </c>
      <c r="M3" s="104" t="s">
        <v>363</v>
      </c>
      <c r="N3" s="104" t="s">
        <v>23</v>
      </c>
      <c r="O3" s="114" t="s">
        <v>24</v>
      </c>
      <c r="P3" s="114" t="s">
        <v>25</v>
      </c>
      <c r="Q3" s="113" t="s">
        <v>26</v>
      </c>
      <c r="R3" s="124"/>
      <c r="S3" s="124"/>
      <c r="T3" s="124"/>
      <c r="U3" s="124"/>
      <c r="V3" s="124"/>
      <c r="W3" s="124"/>
      <c r="X3" s="124"/>
      <c r="Y3" s="124"/>
      <c r="Z3" s="124"/>
      <c r="AA3" s="124"/>
      <c r="AB3" s="124"/>
      <c r="AC3" s="125"/>
      <c r="AD3" s="113" t="s">
        <v>27</v>
      </c>
      <c r="AE3" s="124"/>
      <c r="AF3" s="124"/>
      <c r="AG3" s="124"/>
      <c r="AH3" s="124"/>
      <c r="AI3" s="124"/>
      <c r="AJ3" s="124"/>
      <c r="AK3" s="124"/>
      <c r="AL3" s="124"/>
      <c r="AM3" s="124"/>
      <c r="AN3" s="124"/>
      <c r="AO3" s="124"/>
      <c r="AP3" s="124"/>
      <c r="AQ3" s="124"/>
      <c r="AR3" s="124"/>
      <c r="AS3" s="124"/>
      <c r="AT3" s="124"/>
      <c r="AU3" s="124"/>
      <c r="AV3" s="124"/>
      <c r="AW3" s="124"/>
      <c r="AX3" s="125"/>
      <c r="AY3" s="114" t="s">
        <v>28</v>
      </c>
    </row>
    <row r="4" spans="1:51" ht="23.25" customHeight="1">
      <c r="G4" s="104" t="s">
        <v>29</v>
      </c>
      <c r="H4" s="104" t="s">
        <v>30</v>
      </c>
      <c r="O4" s="126"/>
      <c r="P4" s="126"/>
      <c r="Q4" s="103" t="s">
        <v>31</v>
      </c>
      <c r="R4" s="103" t="s">
        <v>32</v>
      </c>
      <c r="S4" s="103" t="s">
        <v>33</v>
      </c>
      <c r="T4" s="103" t="s">
        <v>34</v>
      </c>
      <c r="U4" s="103" t="s">
        <v>35</v>
      </c>
      <c r="V4" s="103" t="s">
        <v>36</v>
      </c>
      <c r="W4" s="104" t="s">
        <v>37</v>
      </c>
      <c r="X4" s="104" t="s">
        <v>38</v>
      </c>
      <c r="Y4" s="103" t="s">
        <v>39</v>
      </c>
      <c r="Z4" s="103" t="s">
        <v>40</v>
      </c>
      <c r="AA4" s="104" t="s">
        <v>41</v>
      </c>
      <c r="AB4" s="103" t="s">
        <v>42</v>
      </c>
      <c r="AC4" s="103" t="s">
        <v>43</v>
      </c>
      <c r="AD4" s="104" t="s">
        <v>44</v>
      </c>
      <c r="AE4" s="104" t="s">
        <v>45</v>
      </c>
      <c r="AF4" s="103" t="s">
        <v>46</v>
      </c>
      <c r="AG4" s="104" t="s">
        <v>47</v>
      </c>
      <c r="AH4" s="104" t="s">
        <v>48</v>
      </c>
      <c r="AI4" s="103" t="s">
        <v>49</v>
      </c>
      <c r="AJ4" s="103" t="s">
        <v>50</v>
      </c>
      <c r="AK4" s="103" t="s">
        <v>51</v>
      </c>
      <c r="AL4" s="103" t="s">
        <v>52</v>
      </c>
      <c r="AM4" s="103" t="s">
        <v>53</v>
      </c>
      <c r="AN4" s="103" t="s">
        <v>54</v>
      </c>
      <c r="AO4" s="103" t="s">
        <v>55</v>
      </c>
      <c r="AP4" s="103" t="s">
        <v>56</v>
      </c>
      <c r="AQ4" s="103" t="s">
        <v>57</v>
      </c>
      <c r="AR4" s="103" t="s">
        <v>58</v>
      </c>
      <c r="AS4" s="103" t="s">
        <v>59</v>
      </c>
      <c r="AT4" s="103" t="s">
        <v>60</v>
      </c>
      <c r="AU4" s="103" t="s">
        <v>61</v>
      </c>
      <c r="AV4" s="103" t="s">
        <v>62</v>
      </c>
      <c r="AW4" s="103" t="s">
        <v>63</v>
      </c>
      <c r="AX4" s="105" t="s">
        <v>64</v>
      </c>
      <c r="AY4" s="126"/>
    </row>
    <row r="5" spans="1:51" ht="23.25" customHeight="1">
      <c r="O5" s="127"/>
      <c r="P5" s="127"/>
      <c r="Q5" s="104" t="s">
        <v>65</v>
      </c>
      <c r="R5" s="104" t="s">
        <v>65</v>
      </c>
      <c r="S5" s="104" t="s">
        <v>66</v>
      </c>
      <c r="T5" s="103" t="s">
        <v>66</v>
      </c>
      <c r="U5" s="103" t="s">
        <v>66</v>
      </c>
      <c r="V5" s="103" t="s">
        <v>66</v>
      </c>
      <c r="W5" s="103" t="s">
        <v>67</v>
      </c>
      <c r="X5" s="104" t="s">
        <v>68</v>
      </c>
      <c r="Y5" s="103" t="s">
        <v>69</v>
      </c>
      <c r="Z5" s="103" t="s">
        <v>70</v>
      </c>
      <c r="AA5" s="103" t="s">
        <v>71</v>
      </c>
      <c r="AB5" s="103" t="s">
        <v>72</v>
      </c>
      <c r="AC5" s="103" t="s">
        <v>73</v>
      </c>
      <c r="AD5" s="104" t="s">
        <v>74</v>
      </c>
      <c r="AE5" s="104" t="s">
        <v>75</v>
      </c>
      <c r="AF5" s="103" t="s">
        <v>76</v>
      </c>
      <c r="AG5" s="104" t="s">
        <v>77</v>
      </c>
      <c r="AH5" s="104" t="s">
        <v>78</v>
      </c>
      <c r="AI5" s="103" t="s">
        <v>79</v>
      </c>
      <c r="AJ5" s="103" t="s">
        <v>80</v>
      </c>
      <c r="AK5" s="103" t="s">
        <v>81</v>
      </c>
      <c r="AL5" s="103" t="s">
        <v>82</v>
      </c>
      <c r="AM5" s="103" t="s">
        <v>83</v>
      </c>
      <c r="AN5" s="103" t="s">
        <v>84</v>
      </c>
      <c r="AO5" s="103" t="s">
        <v>72</v>
      </c>
      <c r="AP5" s="103" t="s">
        <v>85</v>
      </c>
      <c r="AQ5" s="103" t="s">
        <v>86</v>
      </c>
      <c r="AR5" s="103" t="s">
        <v>87</v>
      </c>
      <c r="AS5" s="103" t="s">
        <v>86</v>
      </c>
      <c r="AT5" s="103" t="s">
        <v>87</v>
      </c>
      <c r="AU5" s="103" t="s">
        <v>87</v>
      </c>
      <c r="AV5" s="103" t="s">
        <v>86</v>
      </c>
      <c r="AW5" s="103" t="s">
        <v>87</v>
      </c>
      <c r="AX5" s="103" t="s">
        <v>87</v>
      </c>
      <c r="AY5" s="127"/>
    </row>
    <row r="6" spans="1:51" ht="18.75" customHeight="1">
      <c r="A6" s="4">
        <v>1</v>
      </c>
      <c r="B6" s="5" t="s">
        <v>88</v>
      </c>
      <c r="C6" s="6"/>
      <c r="D6" s="38" t="s">
        <v>364</v>
      </c>
      <c r="E6" s="58"/>
      <c r="F6" s="59" t="s">
        <v>365</v>
      </c>
      <c r="G6" s="4"/>
      <c r="H6" s="4"/>
      <c r="I6" s="7"/>
      <c r="J6" s="4"/>
      <c r="K6" s="19">
        <v>0</v>
      </c>
      <c r="L6" s="19">
        <v>0</v>
      </c>
      <c r="M6" s="4"/>
      <c r="N6" s="4"/>
      <c r="O6" s="4"/>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9"/>
    </row>
    <row r="7" spans="1:51" ht="18.75" customHeight="1">
      <c r="A7" s="2">
        <v>2</v>
      </c>
      <c r="B7" s="21" t="s">
        <v>88</v>
      </c>
      <c r="C7" s="3"/>
      <c r="D7" s="1"/>
      <c r="E7" s="2"/>
      <c r="F7" s="56" t="s">
        <v>366</v>
      </c>
      <c r="G7" s="57" t="s">
        <v>366</v>
      </c>
      <c r="H7" s="2"/>
      <c r="I7" s="22"/>
      <c r="J7" s="2"/>
      <c r="K7" s="23">
        <v>0</v>
      </c>
      <c r="L7" s="23">
        <v>0</v>
      </c>
      <c r="M7" s="2"/>
      <c r="N7" s="2"/>
      <c r="O7" s="2"/>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1"/>
    </row>
    <row r="8" spans="1:51" ht="42.75" customHeight="1">
      <c r="A8" s="4">
        <v>3</v>
      </c>
      <c r="B8" s="21" t="s">
        <v>88</v>
      </c>
      <c r="C8" s="3"/>
      <c r="D8" s="1"/>
      <c r="E8" s="2"/>
      <c r="F8" s="1"/>
      <c r="G8" s="26" t="s">
        <v>367</v>
      </c>
      <c r="H8" s="2"/>
      <c r="I8" s="22"/>
      <c r="J8" s="2"/>
      <c r="K8" s="23">
        <v>0</v>
      </c>
      <c r="L8" s="23">
        <v>0</v>
      </c>
      <c r="M8" s="2"/>
      <c r="N8" s="2"/>
      <c r="O8" s="2"/>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1"/>
    </row>
    <row r="9" spans="1:51" ht="30.75" customHeight="1">
      <c r="A9" s="2">
        <v>4</v>
      </c>
      <c r="B9" s="21" t="s">
        <v>88</v>
      </c>
      <c r="C9" s="3"/>
      <c r="D9" s="1"/>
      <c r="E9" s="2"/>
      <c r="F9" s="1"/>
      <c r="G9" s="26" t="s">
        <v>368</v>
      </c>
      <c r="H9" s="2"/>
      <c r="I9" s="22"/>
      <c r="J9" s="2"/>
      <c r="K9" s="23">
        <v>0</v>
      </c>
      <c r="L9" s="23">
        <v>0</v>
      </c>
      <c r="M9" s="2"/>
      <c r="N9" s="2"/>
      <c r="O9" s="2"/>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1"/>
    </row>
    <row r="10" spans="1:51" ht="30.75" customHeight="1">
      <c r="A10" s="4">
        <v>5</v>
      </c>
      <c r="B10" s="21" t="s">
        <v>88</v>
      </c>
      <c r="C10" s="3"/>
      <c r="D10" s="1"/>
      <c r="E10" s="2"/>
      <c r="F10" s="1"/>
      <c r="G10" s="26" t="s">
        <v>369</v>
      </c>
      <c r="H10" s="2"/>
      <c r="I10" s="22"/>
      <c r="J10" s="2"/>
      <c r="K10" s="23">
        <v>0</v>
      </c>
      <c r="L10" s="23">
        <v>0</v>
      </c>
      <c r="M10" s="2"/>
      <c r="N10" s="2"/>
      <c r="O10" s="2"/>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1"/>
    </row>
    <row r="11" spans="1:51" ht="30.75" customHeight="1">
      <c r="A11" s="2">
        <v>6</v>
      </c>
      <c r="B11" s="21" t="s">
        <v>88</v>
      </c>
      <c r="C11" s="3"/>
      <c r="D11" s="1"/>
      <c r="E11" s="2"/>
      <c r="F11" s="1"/>
      <c r="G11" s="26" t="s">
        <v>370</v>
      </c>
      <c r="H11" s="2"/>
      <c r="I11" s="22"/>
      <c r="J11" s="2"/>
      <c r="K11" s="23">
        <v>0</v>
      </c>
      <c r="L11" s="23">
        <v>0</v>
      </c>
      <c r="M11" s="2"/>
      <c r="N11" s="2"/>
      <c r="O11" s="2"/>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1"/>
    </row>
    <row r="12" spans="1:51" ht="30.75" customHeight="1">
      <c r="A12" s="4">
        <v>7</v>
      </c>
      <c r="B12" s="21" t="s">
        <v>88</v>
      </c>
      <c r="C12" s="3"/>
      <c r="D12" s="1"/>
      <c r="E12" s="2"/>
      <c r="F12" s="1"/>
      <c r="G12" s="26" t="s">
        <v>371</v>
      </c>
      <c r="H12" s="2"/>
      <c r="I12" s="22"/>
      <c r="J12" s="2"/>
      <c r="K12" s="23">
        <v>0</v>
      </c>
      <c r="L12" s="23">
        <v>0</v>
      </c>
      <c r="M12" s="2"/>
      <c r="N12" s="2"/>
      <c r="O12" s="2"/>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1"/>
    </row>
    <row r="13" spans="1:51" ht="18.75" customHeight="1">
      <c r="A13" s="2">
        <v>8</v>
      </c>
      <c r="B13" s="21" t="s">
        <v>88</v>
      </c>
      <c r="C13" s="3"/>
      <c r="D13" s="1"/>
      <c r="E13" s="2"/>
      <c r="F13" s="1"/>
      <c r="G13" s="26" t="s">
        <v>372</v>
      </c>
      <c r="H13" s="2"/>
      <c r="I13" s="22"/>
      <c r="J13" s="2"/>
      <c r="K13" s="23">
        <v>0</v>
      </c>
      <c r="L13" s="23">
        <v>0</v>
      </c>
      <c r="M13" s="2"/>
      <c r="N13" s="2"/>
      <c r="O13" s="2"/>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1"/>
    </row>
    <row r="14" spans="1:51" ht="30.75" customHeight="1">
      <c r="A14" s="4">
        <v>9</v>
      </c>
      <c r="B14" s="21" t="s">
        <v>88</v>
      </c>
      <c r="C14" s="3"/>
      <c r="D14" s="1"/>
      <c r="E14" s="2"/>
      <c r="F14" s="1"/>
      <c r="G14" s="26" t="s">
        <v>373</v>
      </c>
      <c r="H14" s="2"/>
      <c r="I14" s="22"/>
      <c r="J14" s="2"/>
      <c r="K14" s="23">
        <v>0</v>
      </c>
      <c r="L14" s="23">
        <v>0</v>
      </c>
      <c r="M14" s="2"/>
      <c r="N14" s="2"/>
      <c r="O14" s="2"/>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1"/>
    </row>
    <row r="15" spans="1:51" ht="30.75" customHeight="1">
      <c r="A15" s="2">
        <v>10</v>
      </c>
      <c r="B15" s="21" t="s">
        <v>88</v>
      </c>
      <c r="C15" s="3"/>
      <c r="D15" s="1"/>
      <c r="E15" s="2"/>
      <c r="F15" s="1"/>
      <c r="G15" s="26" t="s">
        <v>374</v>
      </c>
      <c r="H15" s="2"/>
      <c r="I15" s="22"/>
      <c r="J15" s="2"/>
      <c r="K15" s="23">
        <v>0</v>
      </c>
      <c r="L15" s="23">
        <v>0</v>
      </c>
      <c r="M15" s="2"/>
      <c r="N15" s="2"/>
      <c r="O15" s="2"/>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1"/>
    </row>
    <row r="16" spans="1:51" ht="30.75" customHeight="1">
      <c r="A16" s="4">
        <v>11</v>
      </c>
      <c r="B16" s="21" t="s">
        <v>88</v>
      </c>
      <c r="C16" s="3"/>
      <c r="D16" s="1"/>
      <c r="E16" s="2"/>
      <c r="F16" s="1"/>
      <c r="G16" s="26" t="s">
        <v>375</v>
      </c>
      <c r="H16" s="2"/>
      <c r="I16" s="22"/>
      <c r="J16" s="2"/>
      <c r="K16" s="23">
        <v>0</v>
      </c>
      <c r="L16" s="23">
        <v>0</v>
      </c>
      <c r="M16" s="2"/>
      <c r="N16" s="2"/>
      <c r="O16" s="2"/>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1"/>
    </row>
    <row r="17" spans="1:51" ht="30.75" customHeight="1">
      <c r="A17" s="2">
        <v>12</v>
      </c>
      <c r="B17" s="21" t="s">
        <v>88</v>
      </c>
      <c r="C17" s="3"/>
      <c r="D17" s="1"/>
      <c r="E17" s="2"/>
      <c r="F17" s="1"/>
      <c r="G17" s="26" t="s">
        <v>376</v>
      </c>
      <c r="H17" s="2"/>
      <c r="I17" s="22"/>
      <c r="J17" s="2"/>
      <c r="K17" s="23">
        <v>0</v>
      </c>
      <c r="L17" s="23">
        <v>0</v>
      </c>
      <c r="M17" s="2"/>
      <c r="N17" s="2"/>
      <c r="O17" s="2"/>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1"/>
    </row>
    <row r="18" spans="1:51" ht="18.75" customHeight="1">
      <c r="A18" s="4">
        <v>13</v>
      </c>
      <c r="B18" s="21" t="s">
        <v>88</v>
      </c>
      <c r="C18" s="3"/>
      <c r="D18" s="1"/>
      <c r="E18" s="2"/>
      <c r="F18" s="1"/>
      <c r="G18" s="26" t="s">
        <v>377</v>
      </c>
      <c r="H18" s="2"/>
      <c r="I18" s="22"/>
      <c r="J18" s="2"/>
      <c r="K18" s="23">
        <v>0</v>
      </c>
      <c r="L18" s="23">
        <v>0</v>
      </c>
      <c r="M18" s="2"/>
      <c r="N18" s="2"/>
      <c r="O18" s="2"/>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1"/>
    </row>
    <row r="19" spans="1:51" ht="18.75" customHeight="1">
      <c r="A19" s="2">
        <v>14</v>
      </c>
      <c r="B19" s="21" t="s">
        <v>88</v>
      </c>
      <c r="C19" s="3"/>
      <c r="D19" s="1"/>
      <c r="E19" s="2"/>
      <c r="F19" s="1"/>
      <c r="G19" s="26" t="s">
        <v>378</v>
      </c>
      <c r="H19" s="2"/>
      <c r="I19" s="22"/>
      <c r="J19" s="2"/>
      <c r="K19" s="23">
        <v>0</v>
      </c>
      <c r="L19" s="23">
        <v>0</v>
      </c>
      <c r="M19" s="2"/>
      <c r="N19" s="2"/>
      <c r="O19" s="2"/>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1"/>
    </row>
    <row r="20" spans="1:51" ht="18.75" customHeight="1">
      <c r="A20" s="4">
        <v>15</v>
      </c>
      <c r="B20" s="21" t="s">
        <v>88</v>
      </c>
      <c r="C20" s="3"/>
      <c r="D20" s="1"/>
      <c r="E20" s="2"/>
      <c r="F20" s="1"/>
      <c r="G20" s="26" t="s">
        <v>379</v>
      </c>
      <c r="H20" s="2"/>
      <c r="I20" s="22"/>
      <c r="J20" s="2"/>
      <c r="K20" s="23">
        <v>0</v>
      </c>
      <c r="L20" s="23">
        <v>0</v>
      </c>
      <c r="M20" s="2"/>
      <c r="N20" s="2"/>
      <c r="O20" s="2"/>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1"/>
    </row>
    <row r="21" spans="1:51" ht="18.75" customHeight="1">
      <c r="A21" s="2">
        <v>16</v>
      </c>
      <c r="B21" s="5" t="s">
        <v>88</v>
      </c>
      <c r="C21" s="6"/>
      <c r="D21" s="6" t="s">
        <v>380</v>
      </c>
      <c r="E21" s="4"/>
      <c r="F21" s="6" t="s">
        <v>381</v>
      </c>
      <c r="G21" s="29" t="s">
        <v>382</v>
      </c>
      <c r="H21" s="4"/>
      <c r="I21" s="7"/>
      <c r="J21" s="4"/>
      <c r="K21" s="19">
        <v>0</v>
      </c>
      <c r="L21" s="19">
        <v>0</v>
      </c>
      <c r="M21" s="4"/>
      <c r="N21" s="4"/>
      <c r="O21" s="4"/>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9"/>
    </row>
    <row r="22" spans="1:51" ht="18.75" customHeight="1">
      <c r="A22" s="4">
        <v>17</v>
      </c>
      <c r="B22" s="21" t="s">
        <v>88</v>
      </c>
      <c r="C22" s="3"/>
      <c r="D22" s="1"/>
      <c r="E22" s="2"/>
      <c r="F22" s="1"/>
      <c r="G22" s="26" t="s">
        <v>383</v>
      </c>
      <c r="H22" s="2"/>
      <c r="I22" s="22"/>
      <c r="J22" s="2"/>
      <c r="K22" s="23">
        <v>0</v>
      </c>
      <c r="L22" s="23">
        <v>0</v>
      </c>
      <c r="M22" s="2"/>
      <c r="N22" s="2"/>
      <c r="O22" s="2"/>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1"/>
    </row>
    <row r="23" spans="1:51" ht="18.75" customHeight="1">
      <c r="A23" s="2">
        <v>18</v>
      </c>
      <c r="B23" s="11" t="s">
        <v>88</v>
      </c>
      <c r="C23" s="12"/>
      <c r="D23" s="12" t="s">
        <v>384</v>
      </c>
      <c r="E23" s="13"/>
      <c r="F23" s="14"/>
      <c r="G23" s="18" t="s">
        <v>385</v>
      </c>
      <c r="H23" s="13" t="s">
        <v>386</v>
      </c>
      <c r="I23" s="18" t="s">
        <v>387</v>
      </c>
      <c r="J23" s="13" t="s">
        <v>388</v>
      </c>
      <c r="K23" s="10">
        <v>150</v>
      </c>
      <c r="L23" s="10">
        <v>150</v>
      </c>
      <c r="M23" s="13" t="s">
        <v>389</v>
      </c>
      <c r="N23" s="13" t="s">
        <v>390</v>
      </c>
      <c r="O23" s="13" t="s">
        <v>109</v>
      </c>
      <c r="P23" s="17">
        <f>SUM(Q23:AX23)</f>
        <v>0</v>
      </c>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2"/>
    </row>
    <row r="24" spans="1:51" ht="18.75" customHeight="1">
      <c r="A24" s="4">
        <v>19</v>
      </c>
      <c r="B24" s="11" t="s">
        <v>88</v>
      </c>
      <c r="C24" s="12"/>
      <c r="D24" s="12" t="s">
        <v>391</v>
      </c>
      <c r="E24" s="13"/>
      <c r="F24" s="14"/>
      <c r="G24" s="18" t="s">
        <v>385</v>
      </c>
      <c r="H24" s="13" t="s">
        <v>392</v>
      </c>
      <c r="I24" s="18" t="s">
        <v>387</v>
      </c>
      <c r="J24" s="13" t="s">
        <v>388</v>
      </c>
      <c r="K24" s="10">
        <v>300</v>
      </c>
      <c r="L24" s="10">
        <v>150</v>
      </c>
      <c r="M24" s="13" t="s">
        <v>389</v>
      </c>
      <c r="N24" s="13" t="s">
        <v>393</v>
      </c>
      <c r="O24" s="13" t="s">
        <v>109</v>
      </c>
      <c r="P24" s="17">
        <f>SUM(Q24:AX24)</f>
        <v>0</v>
      </c>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2"/>
    </row>
    <row r="25" spans="1:51" ht="18.75" customHeight="1">
      <c r="A25" s="2">
        <v>20</v>
      </c>
      <c r="B25" s="11" t="s">
        <v>88</v>
      </c>
      <c r="C25" s="12"/>
      <c r="D25" s="12" t="s">
        <v>394</v>
      </c>
      <c r="E25" s="13"/>
      <c r="F25" s="14"/>
      <c r="G25" s="18" t="s">
        <v>385</v>
      </c>
      <c r="H25" s="13" t="s">
        <v>395</v>
      </c>
      <c r="I25" s="18" t="s">
        <v>387</v>
      </c>
      <c r="J25" s="13" t="s">
        <v>388</v>
      </c>
      <c r="K25" s="10">
        <v>600</v>
      </c>
      <c r="L25" s="10">
        <v>150</v>
      </c>
      <c r="M25" s="13" t="s">
        <v>389</v>
      </c>
      <c r="N25" s="13" t="s">
        <v>396</v>
      </c>
      <c r="O25" s="13" t="s">
        <v>109</v>
      </c>
      <c r="P25" s="17">
        <f>SUM(Q25:AX25)</f>
        <v>0</v>
      </c>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2"/>
    </row>
    <row r="26" spans="1:51" ht="18.75" customHeight="1">
      <c r="A26" s="4">
        <v>21</v>
      </c>
      <c r="B26" s="11" t="s">
        <v>88</v>
      </c>
      <c r="C26" s="12"/>
      <c r="D26" s="12" t="s">
        <v>397</v>
      </c>
      <c r="E26" s="13"/>
      <c r="F26" s="14"/>
      <c r="G26" s="18" t="s">
        <v>385</v>
      </c>
      <c r="H26" s="13" t="s">
        <v>398</v>
      </c>
      <c r="I26" s="18" t="s">
        <v>387</v>
      </c>
      <c r="J26" s="13" t="s">
        <v>388</v>
      </c>
      <c r="K26" s="10">
        <v>900</v>
      </c>
      <c r="L26" s="10">
        <v>150</v>
      </c>
      <c r="M26" s="13" t="s">
        <v>389</v>
      </c>
      <c r="N26" s="13" t="s">
        <v>399</v>
      </c>
      <c r="O26" s="13" t="s">
        <v>109</v>
      </c>
      <c r="P26" s="17">
        <f>SUM(Q26:AX26)</f>
        <v>43560</v>
      </c>
      <c r="Q26" s="17"/>
      <c r="R26" s="17">
        <f>(150+6500+5800+5700)*1.2</f>
        <v>21780</v>
      </c>
      <c r="S26" s="17"/>
      <c r="T26" s="17"/>
      <c r="U26" s="17"/>
      <c r="V26" s="17">
        <f>(150+6500+5800+5700)*1.2</f>
        <v>21780</v>
      </c>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2"/>
    </row>
    <row r="27" spans="1:51" ht="18.75" customHeight="1">
      <c r="A27" s="2">
        <v>22</v>
      </c>
      <c r="B27" s="5" t="s">
        <v>88</v>
      </c>
      <c r="C27" s="6"/>
      <c r="D27" s="6" t="s">
        <v>400</v>
      </c>
      <c r="E27" s="4"/>
      <c r="F27" s="6" t="s">
        <v>401</v>
      </c>
      <c r="G27" s="29" t="s">
        <v>401</v>
      </c>
      <c r="H27" s="4"/>
      <c r="I27" s="7"/>
      <c r="J27" s="4"/>
      <c r="K27" s="19">
        <v>0</v>
      </c>
      <c r="L27" s="19">
        <v>0</v>
      </c>
      <c r="M27" s="4"/>
      <c r="N27" s="4"/>
      <c r="O27" s="4"/>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9"/>
    </row>
    <row r="28" spans="1:51" ht="18.75" customHeight="1">
      <c r="A28" s="4">
        <v>23</v>
      </c>
      <c r="B28" s="21" t="s">
        <v>88</v>
      </c>
      <c r="C28" s="3"/>
      <c r="D28" s="1"/>
      <c r="E28" s="2"/>
      <c r="F28" s="1"/>
      <c r="G28" s="26" t="s">
        <v>402</v>
      </c>
      <c r="H28" s="2"/>
      <c r="I28" s="22"/>
      <c r="J28" s="2"/>
      <c r="K28" s="23">
        <v>0</v>
      </c>
      <c r="L28" s="23">
        <v>0</v>
      </c>
      <c r="M28" s="2"/>
      <c r="N28" s="2"/>
      <c r="O28" s="2"/>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1"/>
    </row>
    <row r="29" spans="1:51" ht="18.75" customHeight="1">
      <c r="A29" s="2">
        <v>24</v>
      </c>
      <c r="B29" s="11" t="s">
        <v>88</v>
      </c>
      <c r="C29" s="12"/>
      <c r="D29" s="12" t="s">
        <v>403</v>
      </c>
      <c r="E29" s="13"/>
      <c r="F29" s="14"/>
      <c r="G29" s="18" t="s">
        <v>404</v>
      </c>
      <c r="H29" s="13" t="s">
        <v>405</v>
      </c>
      <c r="I29" s="18" t="s">
        <v>387</v>
      </c>
      <c r="J29" s="13" t="s">
        <v>406</v>
      </c>
      <c r="K29" s="10">
        <v>150</v>
      </c>
      <c r="L29" s="28">
        <v>0</v>
      </c>
      <c r="M29" s="13" t="s">
        <v>407</v>
      </c>
      <c r="N29" s="13" t="s">
        <v>408</v>
      </c>
      <c r="O29" s="13" t="s">
        <v>109</v>
      </c>
      <c r="P29" s="17">
        <f>SUM(Q29:AX29)</f>
        <v>0</v>
      </c>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2"/>
    </row>
    <row r="30" spans="1:51" ht="18.75" customHeight="1">
      <c r="A30" s="4">
        <v>25</v>
      </c>
      <c r="B30" s="11" t="s">
        <v>88</v>
      </c>
      <c r="C30" s="12"/>
      <c r="D30" s="12" t="s">
        <v>409</v>
      </c>
      <c r="E30" s="13"/>
      <c r="F30" s="14"/>
      <c r="G30" s="18" t="s">
        <v>404</v>
      </c>
      <c r="H30" s="13" t="s">
        <v>410</v>
      </c>
      <c r="I30" s="18" t="s">
        <v>387</v>
      </c>
      <c r="J30" s="13" t="s">
        <v>406</v>
      </c>
      <c r="K30" s="10">
        <v>300</v>
      </c>
      <c r="L30" s="28">
        <v>0</v>
      </c>
      <c r="M30" s="13" t="s">
        <v>407</v>
      </c>
      <c r="N30" s="13" t="s">
        <v>411</v>
      </c>
      <c r="O30" s="13" t="s">
        <v>109</v>
      </c>
      <c r="P30" s="17">
        <f>SUM(Q30:AX30)</f>
        <v>0</v>
      </c>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2"/>
    </row>
    <row r="31" spans="1:51" ht="18.75" customHeight="1">
      <c r="A31" s="2">
        <v>26</v>
      </c>
      <c r="B31" s="11" t="s">
        <v>88</v>
      </c>
      <c r="C31" s="12"/>
      <c r="D31" s="12" t="s">
        <v>412</v>
      </c>
      <c r="E31" s="13"/>
      <c r="F31" s="14"/>
      <c r="G31" s="18" t="s">
        <v>404</v>
      </c>
      <c r="H31" s="13" t="s">
        <v>413</v>
      </c>
      <c r="I31" s="18" t="s">
        <v>387</v>
      </c>
      <c r="J31" s="13" t="s">
        <v>406</v>
      </c>
      <c r="K31" s="10">
        <v>600</v>
      </c>
      <c r="L31" s="28">
        <v>0</v>
      </c>
      <c r="M31" s="13" t="s">
        <v>407</v>
      </c>
      <c r="N31" s="13" t="s">
        <v>414</v>
      </c>
      <c r="O31" s="13" t="s">
        <v>109</v>
      </c>
      <c r="P31" s="17">
        <f>SUM(Q31:AX31)</f>
        <v>0</v>
      </c>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2"/>
    </row>
    <row r="32" spans="1:51" ht="18.75" customHeight="1">
      <c r="A32" s="4">
        <v>27</v>
      </c>
      <c r="B32" s="11" t="s">
        <v>88</v>
      </c>
      <c r="C32" s="12"/>
      <c r="D32" s="12" t="s">
        <v>415</v>
      </c>
      <c r="E32" s="13"/>
      <c r="F32" s="14"/>
      <c r="G32" s="18" t="s">
        <v>404</v>
      </c>
      <c r="H32" s="13" t="s">
        <v>416</v>
      </c>
      <c r="I32" s="18" t="s">
        <v>387</v>
      </c>
      <c r="J32" s="13" t="s">
        <v>406</v>
      </c>
      <c r="K32" s="10">
        <v>900</v>
      </c>
      <c r="L32" s="28">
        <v>0</v>
      </c>
      <c r="M32" s="13" t="s">
        <v>407</v>
      </c>
      <c r="N32" s="13" t="s">
        <v>417</v>
      </c>
      <c r="O32" s="13" t="s">
        <v>109</v>
      </c>
      <c r="P32" s="17">
        <f>SUM(Q32:AX32)</f>
        <v>43560</v>
      </c>
      <c r="Q32" s="17"/>
      <c r="R32" s="17">
        <f>(150+6500+5800+5700)*1.2</f>
        <v>21780</v>
      </c>
      <c r="S32" s="17"/>
      <c r="T32" s="17"/>
      <c r="U32" s="17"/>
      <c r="V32" s="17">
        <f>(150+6500+5800+5700)*1.2</f>
        <v>21780</v>
      </c>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2"/>
    </row>
    <row r="33" spans="1:51" ht="30.75" customHeight="1">
      <c r="A33" s="2">
        <v>28</v>
      </c>
      <c r="B33" s="5" t="s">
        <v>88</v>
      </c>
      <c r="C33" s="6"/>
      <c r="D33" s="6" t="s">
        <v>418</v>
      </c>
      <c r="E33" s="4"/>
      <c r="F33" s="6" t="s">
        <v>419</v>
      </c>
      <c r="G33" s="29" t="s">
        <v>420</v>
      </c>
      <c r="H33" s="4"/>
      <c r="I33" s="7"/>
      <c r="J33" s="4"/>
      <c r="K33" s="19">
        <v>0</v>
      </c>
      <c r="L33" s="19">
        <v>0</v>
      </c>
      <c r="M33" s="4"/>
      <c r="N33" s="4"/>
      <c r="O33" s="4"/>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9"/>
    </row>
    <row r="34" spans="1:51" ht="18.75" customHeight="1">
      <c r="A34" s="4">
        <v>29</v>
      </c>
      <c r="B34" s="21" t="s">
        <v>88</v>
      </c>
      <c r="C34" s="3"/>
      <c r="D34" s="1"/>
      <c r="E34" s="2"/>
      <c r="F34" s="1"/>
      <c r="G34" s="26" t="s">
        <v>421</v>
      </c>
      <c r="H34" s="2"/>
      <c r="I34" s="22"/>
      <c r="J34" s="2"/>
      <c r="K34" s="23">
        <v>0</v>
      </c>
      <c r="L34" s="23">
        <v>0</v>
      </c>
      <c r="M34" s="2"/>
      <c r="N34" s="2"/>
      <c r="O34" s="2"/>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1"/>
    </row>
    <row r="35" spans="1:51" ht="30.75" customHeight="1">
      <c r="A35" s="2">
        <v>30</v>
      </c>
      <c r="B35" s="11" t="s">
        <v>88</v>
      </c>
      <c r="C35" s="12"/>
      <c r="D35" s="12" t="s">
        <v>422</v>
      </c>
      <c r="E35" s="13"/>
      <c r="F35" s="14"/>
      <c r="G35" s="18" t="s">
        <v>423</v>
      </c>
      <c r="H35" s="13" t="s">
        <v>424</v>
      </c>
      <c r="I35" s="18" t="s">
        <v>387</v>
      </c>
      <c r="J35" s="13" t="s">
        <v>425</v>
      </c>
      <c r="K35" s="10">
        <v>150</v>
      </c>
      <c r="L35" s="10">
        <v>150</v>
      </c>
      <c r="M35" s="13" t="s">
        <v>426</v>
      </c>
      <c r="N35" s="13" t="s">
        <v>427</v>
      </c>
      <c r="O35" s="13" t="s">
        <v>428</v>
      </c>
      <c r="P35" s="17">
        <f>SUM(Q35:AX35)</f>
        <v>0</v>
      </c>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2"/>
    </row>
    <row r="36" spans="1:51" ht="30.75" customHeight="1">
      <c r="A36" s="4">
        <v>31</v>
      </c>
      <c r="B36" s="11" t="s">
        <v>88</v>
      </c>
      <c r="C36" s="12"/>
      <c r="D36" s="12" t="s">
        <v>429</v>
      </c>
      <c r="E36" s="13"/>
      <c r="F36" s="14"/>
      <c r="G36" s="18" t="s">
        <v>423</v>
      </c>
      <c r="H36" s="13" t="s">
        <v>430</v>
      </c>
      <c r="I36" s="18" t="s">
        <v>387</v>
      </c>
      <c r="J36" s="13" t="s">
        <v>425</v>
      </c>
      <c r="K36" s="10">
        <v>300</v>
      </c>
      <c r="L36" s="10">
        <v>150</v>
      </c>
      <c r="M36" s="13" t="s">
        <v>426</v>
      </c>
      <c r="N36" s="13" t="s">
        <v>431</v>
      </c>
      <c r="O36" s="13" t="s">
        <v>428</v>
      </c>
      <c r="P36" s="17">
        <f>SUM(Q36:AX36)</f>
        <v>0</v>
      </c>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2"/>
    </row>
    <row r="37" spans="1:51" ht="30.75" customHeight="1">
      <c r="A37" s="2">
        <v>32</v>
      </c>
      <c r="B37" s="11" t="s">
        <v>88</v>
      </c>
      <c r="C37" s="12"/>
      <c r="D37" s="12" t="s">
        <v>432</v>
      </c>
      <c r="E37" s="13"/>
      <c r="F37" s="14"/>
      <c r="G37" s="18" t="s">
        <v>423</v>
      </c>
      <c r="H37" s="13" t="s">
        <v>433</v>
      </c>
      <c r="I37" s="18" t="s">
        <v>387</v>
      </c>
      <c r="J37" s="13" t="s">
        <v>425</v>
      </c>
      <c r="K37" s="10">
        <v>600</v>
      </c>
      <c r="L37" s="10">
        <v>150</v>
      </c>
      <c r="M37" s="13" t="s">
        <v>426</v>
      </c>
      <c r="N37" s="13" t="s">
        <v>434</v>
      </c>
      <c r="O37" s="13" t="s">
        <v>428</v>
      </c>
      <c r="P37" s="17">
        <f>SUM(Q37:AX37)</f>
        <v>0</v>
      </c>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2"/>
    </row>
    <row r="38" spans="1:51" ht="30.75" customHeight="1">
      <c r="A38" s="4">
        <v>33</v>
      </c>
      <c r="B38" s="11" t="s">
        <v>88</v>
      </c>
      <c r="C38" s="12"/>
      <c r="D38" s="12" t="s">
        <v>435</v>
      </c>
      <c r="E38" s="13"/>
      <c r="F38" s="14"/>
      <c r="G38" s="18" t="s">
        <v>423</v>
      </c>
      <c r="H38" s="13" t="s">
        <v>436</v>
      </c>
      <c r="I38" s="18" t="s">
        <v>387</v>
      </c>
      <c r="J38" s="13" t="s">
        <v>425</v>
      </c>
      <c r="K38" s="10">
        <v>900</v>
      </c>
      <c r="L38" s="10">
        <v>150</v>
      </c>
      <c r="M38" s="13" t="s">
        <v>426</v>
      </c>
      <c r="N38" s="13" t="s">
        <v>437</v>
      </c>
      <c r="O38" s="13" t="s">
        <v>428</v>
      </c>
      <c r="P38" s="17">
        <f>SUM(Q38:AX38)</f>
        <v>40</v>
      </c>
      <c r="Q38" s="17"/>
      <c r="R38" s="17">
        <v>20</v>
      </c>
      <c r="S38" s="17"/>
      <c r="T38" s="17"/>
      <c r="U38" s="17"/>
      <c r="V38" s="17">
        <v>20</v>
      </c>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2"/>
    </row>
    <row r="39" spans="1:51" ht="18.75" customHeight="1">
      <c r="A39" s="2">
        <v>34</v>
      </c>
      <c r="B39" s="5" t="s">
        <v>88</v>
      </c>
      <c r="C39" s="6"/>
      <c r="D39" s="6" t="s">
        <v>438</v>
      </c>
      <c r="E39" s="4"/>
      <c r="F39" s="6" t="s">
        <v>439</v>
      </c>
      <c r="G39" s="29" t="s">
        <v>440</v>
      </c>
      <c r="H39" s="4"/>
      <c r="I39" s="7"/>
      <c r="J39" s="4"/>
      <c r="K39" s="19">
        <v>0</v>
      </c>
      <c r="L39" s="19">
        <v>0</v>
      </c>
      <c r="M39" s="4"/>
      <c r="N39" s="4"/>
      <c r="O39" s="4"/>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9"/>
    </row>
    <row r="40" spans="1:51" ht="18.75" customHeight="1">
      <c r="A40" s="4">
        <v>35</v>
      </c>
      <c r="B40" s="21" t="s">
        <v>88</v>
      </c>
      <c r="C40" s="3"/>
      <c r="D40" s="1"/>
      <c r="E40" s="2"/>
      <c r="F40" s="1"/>
      <c r="G40" s="26" t="s">
        <v>421</v>
      </c>
      <c r="H40" s="2"/>
      <c r="I40" s="22"/>
      <c r="J40" s="2"/>
      <c r="K40" s="23">
        <v>0</v>
      </c>
      <c r="L40" s="23">
        <v>0</v>
      </c>
      <c r="M40" s="2"/>
      <c r="N40" s="2"/>
      <c r="O40" s="2"/>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1"/>
    </row>
    <row r="41" spans="1:51" ht="30.75" customHeight="1">
      <c r="A41" s="2">
        <v>36</v>
      </c>
      <c r="B41" s="11" t="s">
        <v>88</v>
      </c>
      <c r="C41" s="12"/>
      <c r="D41" s="12" t="s">
        <v>441</v>
      </c>
      <c r="E41" s="13"/>
      <c r="F41" s="14"/>
      <c r="G41" s="18" t="s">
        <v>442</v>
      </c>
      <c r="H41" s="13" t="s">
        <v>424</v>
      </c>
      <c r="I41" s="18" t="s">
        <v>387</v>
      </c>
      <c r="J41" s="13" t="s">
        <v>443</v>
      </c>
      <c r="K41" s="10">
        <v>150</v>
      </c>
      <c r="L41" s="10">
        <v>150</v>
      </c>
      <c r="M41" s="13" t="s">
        <v>426</v>
      </c>
      <c r="N41" s="13" t="s">
        <v>444</v>
      </c>
      <c r="O41" s="13" t="s">
        <v>428</v>
      </c>
      <c r="P41" s="17">
        <f>SUM(Q41:AX41)</f>
        <v>0</v>
      </c>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2"/>
    </row>
    <row r="42" spans="1:51" ht="30.75" customHeight="1">
      <c r="A42" s="4">
        <v>37</v>
      </c>
      <c r="B42" s="11" t="s">
        <v>88</v>
      </c>
      <c r="C42" s="12"/>
      <c r="D42" s="12" t="s">
        <v>445</v>
      </c>
      <c r="E42" s="13"/>
      <c r="F42" s="14"/>
      <c r="G42" s="18" t="s">
        <v>442</v>
      </c>
      <c r="H42" s="13" t="s">
        <v>430</v>
      </c>
      <c r="I42" s="18" t="s">
        <v>387</v>
      </c>
      <c r="J42" s="13" t="s">
        <v>443</v>
      </c>
      <c r="K42" s="10">
        <v>300</v>
      </c>
      <c r="L42" s="10">
        <v>150</v>
      </c>
      <c r="M42" s="13" t="s">
        <v>426</v>
      </c>
      <c r="N42" s="13" t="s">
        <v>446</v>
      </c>
      <c r="O42" s="13" t="s">
        <v>428</v>
      </c>
      <c r="P42" s="17">
        <f>SUM(Q42:AX42)</f>
        <v>0</v>
      </c>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2"/>
    </row>
    <row r="43" spans="1:51" ht="30.75" customHeight="1">
      <c r="A43" s="2">
        <v>38</v>
      </c>
      <c r="B43" s="11" t="s">
        <v>88</v>
      </c>
      <c r="C43" s="12"/>
      <c r="D43" s="12" t="s">
        <v>447</v>
      </c>
      <c r="E43" s="13"/>
      <c r="F43" s="14"/>
      <c r="G43" s="18" t="s">
        <v>442</v>
      </c>
      <c r="H43" s="13" t="s">
        <v>433</v>
      </c>
      <c r="I43" s="18" t="s">
        <v>387</v>
      </c>
      <c r="J43" s="13" t="s">
        <v>443</v>
      </c>
      <c r="K43" s="10">
        <v>600</v>
      </c>
      <c r="L43" s="10">
        <v>150</v>
      </c>
      <c r="M43" s="13" t="s">
        <v>426</v>
      </c>
      <c r="N43" s="13" t="s">
        <v>448</v>
      </c>
      <c r="O43" s="13" t="s">
        <v>428</v>
      </c>
      <c r="P43" s="17">
        <f>SUM(Q43:AX43)</f>
        <v>0</v>
      </c>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2"/>
    </row>
    <row r="44" spans="1:51" ht="30.75" customHeight="1">
      <c r="A44" s="4">
        <v>39</v>
      </c>
      <c r="B44" s="11" t="s">
        <v>88</v>
      </c>
      <c r="C44" s="12"/>
      <c r="D44" s="12" t="s">
        <v>449</v>
      </c>
      <c r="E44" s="13"/>
      <c r="F44" s="14"/>
      <c r="G44" s="18" t="s">
        <v>442</v>
      </c>
      <c r="H44" s="13" t="s">
        <v>436</v>
      </c>
      <c r="I44" s="18" t="s">
        <v>387</v>
      </c>
      <c r="J44" s="13" t="s">
        <v>443</v>
      </c>
      <c r="K44" s="10">
        <v>900</v>
      </c>
      <c r="L44" s="10">
        <v>150</v>
      </c>
      <c r="M44" s="13" t="s">
        <v>426</v>
      </c>
      <c r="N44" s="13" t="s">
        <v>450</v>
      </c>
      <c r="O44" s="13" t="s">
        <v>428</v>
      </c>
      <c r="P44" s="17">
        <f>SUM(Q44:AX44)</f>
        <v>40</v>
      </c>
      <c r="Q44" s="17"/>
      <c r="R44" s="17">
        <v>20</v>
      </c>
      <c r="S44" s="17"/>
      <c r="T44" s="17"/>
      <c r="U44" s="17"/>
      <c r="V44" s="17">
        <v>20</v>
      </c>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2"/>
    </row>
    <row r="45" spans="1:51" ht="18.75" customHeight="1">
      <c r="A45" s="2">
        <v>40</v>
      </c>
      <c r="B45" s="5" t="s">
        <v>88</v>
      </c>
      <c r="C45" s="6"/>
      <c r="D45" s="6" t="s">
        <v>451</v>
      </c>
      <c r="E45" s="4"/>
      <c r="F45" s="6" t="s">
        <v>452</v>
      </c>
      <c r="G45" s="29" t="s">
        <v>453</v>
      </c>
      <c r="H45" s="4"/>
      <c r="I45" s="7"/>
      <c r="J45" s="4"/>
      <c r="K45" s="19">
        <v>0</v>
      </c>
      <c r="L45" s="19">
        <v>0</v>
      </c>
      <c r="M45" s="4"/>
      <c r="N45" s="4"/>
      <c r="O45" s="4"/>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9"/>
    </row>
    <row r="46" spans="1:51" ht="18.75" customHeight="1">
      <c r="A46" s="4">
        <v>41</v>
      </c>
      <c r="B46" s="21" t="s">
        <v>88</v>
      </c>
      <c r="C46" s="3"/>
      <c r="D46" s="1"/>
      <c r="E46" s="2"/>
      <c r="F46" s="1"/>
      <c r="G46" s="26" t="s">
        <v>421</v>
      </c>
      <c r="H46" s="2"/>
      <c r="I46" s="22"/>
      <c r="J46" s="2"/>
      <c r="K46" s="23">
        <v>0</v>
      </c>
      <c r="L46" s="23">
        <v>0</v>
      </c>
      <c r="M46" s="2"/>
      <c r="N46" s="2"/>
      <c r="O46" s="2"/>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1"/>
    </row>
    <row r="47" spans="1:51" ht="30.75" customHeight="1">
      <c r="A47" s="2">
        <v>42</v>
      </c>
      <c r="B47" s="11" t="s">
        <v>88</v>
      </c>
      <c r="C47" s="12"/>
      <c r="D47" s="12" t="s">
        <v>454</v>
      </c>
      <c r="E47" s="13"/>
      <c r="F47" s="14"/>
      <c r="G47" s="18" t="s">
        <v>455</v>
      </c>
      <c r="H47" s="13" t="s">
        <v>430</v>
      </c>
      <c r="I47" s="18" t="s">
        <v>387</v>
      </c>
      <c r="J47" s="13" t="s">
        <v>456</v>
      </c>
      <c r="K47" s="10">
        <v>300</v>
      </c>
      <c r="L47" s="10">
        <v>150</v>
      </c>
      <c r="M47" s="13" t="s">
        <v>426</v>
      </c>
      <c r="N47" s="13" t="s">
        <v>457</v>
      </c>
      <c r="O47" s="13" t="s">
        <v>428</v>
      </c>
      <c r="P47" s="17">
        <f>SUM(Q47:AX47)</f>
        <v>0</v>
      </c>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2"/>
    </row>
    <row r="48" spans="1:51" ht="30.75" customHeight="1">
      <c r="A48" s="4">
        <v>43</v>
      </c>
      <c r="B48" s="5" t="s">
        <v>88</v>
      </c>
      <c r="C48" s="6"/>
      <c r="D48" s="6" t="s">
        <v>458</v>
      </c>
      <c r="E48" s="4"/>
      <c r="F48" s="6" t="s">
        <v>459</v>
      </c>
      <c r="G48" s="29" t="s">
        <v>460</v>
      </c>
      <c r="H48" s="4"/>
      <c r="I48" s="7"/>
      <c r="J48" s="4"/>
      <c r="K48" s="19">
        <v>0</v>
      </c>
      <c r="L48" s="19">
        <v>0</v>
      </c>
      <c r="M48" s="4"/>
      <c r="N48" s="4"/>
      <c r="O48" s="4"/>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9"/>
    </row>
    <row r="49" spans="1:51" ht="18.75" customHeight="1">
      <c r="A49" s="2">
        <v>44</v>
      </c>
      <c r="B49" s="21" t="s">
        <v>88</v>
      </c>
      <c r="C49" s="3"/>
      <c r="D49" s="1"/>
      <c r="E49" s="2"/>
      <c r="F49" s="1"/>
      <c r="G49" s="26" t="s">
        <v>421</v>
      </c>
      <c r="H49" s="2"/>
      <c r="I49" s="22"/>
      <c r="J49" s="2"/>
      <c r="K49" s="23">
        <v>0</v>
      </c>
      <c r="L49" s="23">
        <v>0</v>
      </c>
      <c r="M49" s="2"/>
      <c r="N49" s="2"/>
      <c r="O49" s="2"/>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1"/>
    </row>
    <row r="50" spans="1:51" ht="30.75" customHeight="1">
      <c r="A50" s="4">
        <v>45</v>
      </c>
      <c r="B50" s="11" t="s">
        <v>88</v>
      </c>
      <c r="C50" s="12"/>
      <c r="D50" s="12" t="s">
        <v>461</v>
      </c>
      <c r="E50" s="13"/>
      <c r="F50" s="14"/>
      <c r="G50" s="18" t="s">
        <v>462</v>
      </c>
      <c r="H50" s="13" t="s">
        <v>424</v>
      </c>
      <c r="I50" s="18" t="s">
        <v>387</v>
      </c>
      <c r="J50" s="13" t="s">
        <v>463</v>
      </c>
      <c r="K50" s="10">
        <v>150</v>
      </c>
      <c r="L50" s="10">
        <v>150</v>
      </c>
      <c r="M50" s="13" t="s">
        <v>426</v>
      </c>
      <c r="N50" s="13" t="s">
        <v>464</v>
      </c>
      <c r="O50" s="13" t="s">
        <v>428</v>
      </c>
      <c r="P50" s="17">
        <f>SUM(Q50:AX50)</f>
        <v>0</v>
      </c>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2"/>
    </row>
    <row r="51" spans="1:51" ht="30.75" customHeight="1">
      <c r="A51" s="2">
        <v>46</v>
      </c>
      <c r="B51" s="11" t="s">
        <v>88</v>
      </c>
      <c r="C51" s="12"/>
      <c r="D51" s="12" t="s">
        <v>465</v>
      </c>
      <c r="E51" s="13"/>
      <c r="F51" s="14"/>
      <c r="G51" s="18" t="s">
        <v>462</v>
      </c>
      <c r="H51" s="13" t="s">
        <v>430</v>
      </c>
      <c r="I51" s="18" t="s">
        <v>387</v>
      </c>
      <c r="J51" s="13" t="s">
        <v>463</v>
      </c>
      <c r="K51" s="10">
        <v>300</v>
      </c>
      <c r="L51" s="10">
        <v>150</v>
      </c>
      <c r="M51" s="13" t="s">
        <v>426</v>
      </c>
      <c r="N51" s="13" t="s">
        <v>466</v>
      </c>
      <c r="O51" s="13" t="s">
        <v>428</v>
      </c>
      <c r="P51" s="17">
        <f>SUM(Q51:AX51)</f>
        <v>0</v>
      </c>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2"/>
    </row>
    <row r="52" spans="1:51" ht="30.75" customHeight="1">
      <c r="A52" s="4">
        <v>47</v>
      </c>
      <c r="B52" s="11" t="s">
        <v>88</v>
      </c>
      <c r="C52" s="12"/>
      <c r="D52" s="12" t="s">
        <v>467</v>
      </c>
      <c r="E52" s="13"/>
      <c r="F52" s="14"/>
      <c r="G52" s="18" t="s">
        <v>462</v>
      </c>
      <c r="H52" s="13" t="s">
        <v>433</v>
      </c>
      <c r="I52" s="18" t="s">
        <v>387</v>
      </c>
      <c r="J52" s="13" t="s">
        <v>463</v>
      </c>
      <c r="K52" s="10">
        <v>600</v>
      </c>
      <c r="L52" s="10">
        <v>150</v>
      </c>
      <c r="M52" s="13" t="s">
        <v>426</v>
      </c>
      <c r="N52" s="13" t="s">
        <v>468</v>
      </c>
      <c r="O52" s="13" t="s">
        <v>428</v>
      </c>
      <c r="P52" s="17">
        <f>SUM(Q52:AX52)</f>
        <v>0</v>
      </c>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2"/>
    </row>
    <row r="53" spans="1:51" ht="30.75" customHeight="1">
      <c r="A53" s="2">
        <v>48</v>
      </c>
      <c r="B53" s="11" t="s">
        <v>88</v>
      </c>
      <c r="C53" s="12"/>
      <c r="D53" s="12" t="s">
        <v>469</v>
      </c>
      <c r="E53" s="13"/>
      <c r="F53" s="14"/>
      <c r="G53" s="18" t="s">
        <v>462</v>
      </c>
      <c r="H53" s="13" t="s">
        <v>436</v>
      </c>
      <c r="I53" s="18" t="s">
        <v>387</v>
      </c>
      <c r="J53" s="13" t="s">
        <v>463</v>
      </c>
      <c r="K53" s="10">
        <v>900</v>
      </c>
      <c r="L53" s="10">
        <v>150</v>
      </c>
      <c r="M53" s="13" t="s">
        <v>426</v>
      </c>
      <c r="N53" s="13" t="s">
        <v>470</v>
      </c>
      <c r="O53" s="13" t="s">
        <v>428</v>
      </c>
      <c r="P53" s="17">
        <f>SUM(Q53:AX53)</f>
        <v>40</v>
      </c>
      <c r="Q53" s="17"/>
      <c r="R53" s="17">
        <v>20</v>
      </c>
      <c r="S53" s="17"/>
      <c r="T53" s="17"/>
      <c r="U53" s="17"/>
      <c r="V53" s="17">
        <v>20</v>
      </c>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2"/>
    </row>
    <row r="54" spans="1:51" ht="30.75" customHeight="1">
      <c r="A54" s="4">
        <v>49</v>
      </c>
      <c r="B54" s="5" t="s">
        <v>88</v>
      </c>
      <c r="C54" s="6"/>
      <c r="D54" s="6" t="s">
        <v>471</v>
      </c>
      <c r="E54" s="4"/>
      <c r="F54" s="6" t="s">
        <v>472</v>
      </c>
      <c r="G54" s="29" t="s">
        <v>473</v>
      </c>
      <c r="H54" s="4"/>
      <c r="I54" s="7"/>
      <c r="J54" s="4"/>
      <c r="K54" s="19">
        <v>0</v>
      </c>
      <c r="L54" s="19">
        <v>0</v>
      </c>
      <c r="M54" s="4"/>
      <c r="N54" s="4"/>
      <c r="O54" s="4"/>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9"/>
    </row>
    <row r="55" spans="1:51" ht="18.75" customHeight="1">
      <c r="A55" s="2">
        <v>50</v>
      </c>
      <c r="B55" s="21" t="s">
        <v>88</v>
      </c>
      <c r="C55" s="3"/>
      <c r="D55" s="1"/>
      <c r="E55" s="2"/>
      <c r="F55" s="1"/>
      <c r="G55" s="26" t="s">
        <v>421</v>
      </c>
      <c r="H55" s="2"/>
      <c r="I55" s="22"/>
      <c r="J55" s="2"/>
      <c r="K55" s="23">
        <v>0</v>
      </c>
      <c r="L55" s="23">
        <v>0</v>
      </c>
      <c r="M55" s="2"/>
      <c r="N55" s="2"/>
      <c r="O55" s="2"/>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1"/>
    </row>
    <row r="56" spans="1:51" ht="30.75" customHeight="1">
      <c r="A56" s="4">
        <v>51</v>
      </c>
      <c r="B56" s="11" t="s">
        <v>88</v>
      </c>
      <c r="C56" s="12"/>
      <c r="D56" s="12" t="s">
        <v>474</v>
      </c>
      <c r="E56" s="13"/>
      <c r="F56" s="14"/>
      <c r="G56" s="18" t="s">
        <v>475</v>
      </c>
      <c r="H56" s="13" t="s">
        <v>424</v>
      </c>
      <c r="I56" s="18" t="s">
        <v>387</v>
      </c>
      <c r="J56" s="13" t="s">
        <v>476</v>
      </c>
      <c r="K56" s="10">
        <v>150</v>
      </c>
      <c r="L56" s="10">
        <v>150</v>
      </c>
      <c r="M56" s="13" t="s">
        <v>426</v>
      </c>
      <c r="N56" s="13" t="s">
        <v>477</v>
      </c>
      <c r="O56" s="13" t="s">
        <v>428</v>
      </c>
      <c r="P56" s="17">
        <f>SUM(Q56:AX56)</f>
        <v>0</v>
      </c>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2"/>
    </row>
    <row r="57" spans="1:51" ht="30.75" customHeight="1">
      <c r="A57" s="2">
        <v>52</v>
      </c>
      <c r="B57" s="11" t="s">
        <v>88</v>
      </c>
      <c r="C57" s="12"/>
      <c r="D57" s="12" t="s">
        <v>478</v>
      </c>
      <c r="E57" s="13"/>
      <c r="F57" s="14"/>
      <c r="G57" s="18" t="s">
        <v>475</v>
      </c>
      <c r="H57" s="13" t="s">
        <v>430</v>
      </c>
      <c r="I57" s="18" t="s">
        <v>387</v>
      </c>
      <c r="J57" s="13" t="s">
        <v>476</v>
      </c>
      <c r="K57" s="10">
        <v>300</v>
      </c>
      <c r="L57" s="10">
        <v>150</v>
      </c>
      <c r="M57" s="13" t="s">
        <v>426</v>
      </c>
      <c r="N57" s="13" t="s">
        <v>479</v>
      </c>
      <c r="O57" s="13" t="s">
        <v>428</v>
      </c>
      <c r="P57" s="17">
        <f>SUM(Q57:AX57)</f>
        <v>0</v>
      </c>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2"/>
    </row>
    <row r="58" spans="1:51" ht="30.75" customHeight="1">
      <c r="A58" s="4">
        <v>53</v>
      </c>
      <c r="B58" s="11" t="s">
        <v>88</v>
      </c>
      <c r="C58" s="12"/>
      <c r="D58" s="12" t="s">
        <v>480</v>
      </c>
      <c r="E58" s="13"/>
      <c r="F58" s="14"/>
      <c r="G58" s="18" t="s">
        <v>475</v>
      </c>
      <c r="H58" s="13" t="s">
        <v>433</v>
      </c>
      <c r="I58" s="18" t="s">
        <v>387</v>
      </c>
      <c r="J58" s="13" t="s">
        <v>476</v>
      </c>
      <c r="K58" s="10">
        <v>600</v>
      </c>
      <c r="L58" s="10">
        <v>150</v>
      </c>
      <c r="M58" s="13" t="s">
        <v>426</v>
      </c>
      <c r="N58" s="13" t="s">
        <v>481</v>
      </c>
      <c r="O58" s="13" t="s">
        <v>428</v>
      </c>
      <c r="P58" s="17">
        <f>SUM(Q58:AX58)</f>
        <v>0</v>
      </c>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2"/>
    </row>
    <row r="59" spans="1:51" ht="30.75" customHeight="1">
      <c r="A59" s="2">
        <v>54</v>
      </c>
      <c r="B59" s="11" t="s">
        <v>88</v>
      </c>
      <c r="C59" s="12"/>
      <c r="D59" s="12" t="s">
        <v>482</v>
      </c>
      <c r="E59" s="13"/>
      <c r="F59" s="14"/>
      <c r="G59" s="18" t="s">
        <v>475</v>
      </c>
      <c r="H59" s="13" t="s">
        <v>436</v>
      </c>
      <c r="I59" s="18" t="s">
        <v>387</v>
      </c>
      <c r="J59" s="13" t="s">
        <v>476</v>
      </c>
      <c r="K59" s="10">
        <v>900</v>
      </c>
      <c r="L59" s="10">
        <v>150</v>
      </c>
      <c r="M59" s="13" t="s">
        <v>426</v>
      </c>
      <c r="N59" s="13" t="s">
        <v>483</v>
      </c>
      <c r="O59" s="13" t="s">
        <v>428</v>
      </c>
      <c r="P59" s="17">
        <f>SUM(Q59:AX59)</f>
        <v>40</v>
      </c>
      <c r="Q59" s="17"/>
      <c r="R59" s="17">
        <v>20</v>
      </c>
      <c r="S59" s="17"/>
      <c r="T59" s="17"/>
      <c r="U59" s="17"/>
      <c r="V59" s="17">
        <v>20</v>
      </c>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2"/>
    </row>
    <row r="60" spans="1:51" ht="18.75" customHeight="1">
      <c r="A60" s="4">
        <v>55</v>
      </c>
      <c r="B60" s="5" t="s">
        <v>88</v>
      </c>
      <c r="C60" s="6"/>
      <c r="D60" s="6" t="s">
        <v>484</v>
      </c>
      <c r="E60" s="4"/>
      <c r="F60" s="6" t="s">
        <v>485</v>
      </c>
      <c r="G60" s="29" t="s">
        <v>486</v>
      </c>
      <c r="H60" s="4"/>
      <c r="I60" s="7"/>
      <c r="J60" s="4"/>
      <c r="K60" s="19">
        <v>0</v>
      </c>
      <c r="L60" s="19">
        <v>0</v>
      </c>
      <c r="M60" s="4"/>
      <c r="N60" s="4"/>
      <c r="O60" s="4"/>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9"/>
    </row>
    <row r="61" spans="1:51" ht="30.75" customHeight="1">
      <c r="A61" s="2">
        <v>56</v>
      </c>
      <c r="B61" s="21" t="s">
        <v>88</v>
      </c>
      <c r="C61" s="3"/>
      <c r="D61" s="1"/>
      <c r="E61" s="2"/>
      <c r="F61" s="1"/>
      <c r="G61" s="26" t="s">
        <v>487</v>
      </c>
      <c r="H61" s="2"/>
      <c r="I61" s="22"/>
      <c r="J61" s="2"/>
      <c r="K61" s="23">
        <v>0</v>
      </c>
      <c r="L61" s="23">
        <v>0</v>
      </c>
      <c r="M61" s="2"/>
      <c r="N61" s="2"/>
      <c r="O61" s="2"/>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1"/>
    </row>
    <row r="62" spans="1:51" ht="18.75" customHeight="1">
      <c r="A62" s="4">
        <v>57</v>
      </c>
      <c r="B62" s="21" t="s">
        <v>88</v>
      </c>
      <c r="C62" s="3"/>
      <c r="D62" s="1"/>
      <c r="E62" s="2"/>
      <c r="F62" s="1"/>
      <c r="G62" s="26" t="s">
        <v>488</v>
      </c>
      <c r="H62" s="2"/>
      <c r="I62" s="22"/>
      <c r="J62" s="2"/>
      <c r="K62" s="23">
        <v>0</v>
      </c>
      <c r="L62" s="23">
        <v>0</v>
      </c>
      <c r="M62" s="2"/>
      <c r="N62" s="2"/>
      <c r="O62" s="2"/>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1"/>
    </row>
    <row r="63" spans="1:51" ht="18.75" customHeight="1">
      <c r="A63" s="2">
        <v>58</v>
      </c>
      <c r="B63" s="11" t="s">
        <v>88</v>
      </c>
      <c r="C63" s="12"/>
      <c r="D63" s="12" t="s">
        <v>489</v>
      </c>
      <c r="E63" s="13"/>
      <c r="F63" s="14"/>
      <c r="G63" s="18" t="s">
        <v>490</v>
      </c>
      <c r="H63" s="13" t="s">
        <v>424</v>
      </c>
      <c r="I63" s="18" t="s">
        <v>387</v>
      </c>
      <c r="J63" s="13" t="s">
        <v>491</v>
      </c>
      <c r="K63" s="10">
        <v>150</v>
      </c>
      <c r="L63" s="10">
        <v>150</v>
      </c>
      <c r="M63" s="13" t="s">
        <v>426</v>
      </c>
      <c r="N63" s="13" t="s">
        <v>492</v>
      </c>
      <c r="O63" s="13" t="s">
        <v>428</v>
      </c>
      <c r="P63" s="17">
        <f>SUM(Q63:AX63)</f>
        <v>0</v>
      </c>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2"/>
    </row>
    <row r="64" spans="1:51" ht="18.75" customHeight="1">
      <c r="A64" s="4">
        <v>59</v>
      </c>
      <c r="B64" s="11" t="s">
        <v>88</v>
      </c>
      <c r="C64" s="12"/>
      <c r="D64" s="12" t="s">
        <v>493</v>
      </c>
      <c r="E64" s="13"/>
      <c r="F64" s="14"/>
      <c r="G64" s="18" t="s">
        <v>490</v>
      </c>
      <c r="H64" s="13" t="s">
        <v>430</v>
      </c>
      <c r="I64" s="18" t="s">
        <v>494</v>
      </c>
      <c r="J64" s="13" t="s">
        <v>491</v>
      </c>
      <c r="K64" s="10">
        <v>300</v>
      </c>
      <c r="L64" s="10">
        <v>150</v>
      </c>
      <c r="M64" s="13" t="s">
        <v>426</v>
      </c>
      <c r="N64" s="13" t="s">
        <v>495</v>
      </c>
      <c r="O64" s="13" t="s">
        <v>428</v>
      </c>
      <c r="P64" s="17">
        <f>SUM(Q64:AX64)</f>
        <v>0</v>
      </c>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2"/>
    </row>
    <row r="65" spans="1:51" ht="18.75" customHeight="1">
      <c r="A65" s="2">
        <v>60</v>
      </c>
      <c r="B65" s="11" t="s">
        <v>88</v>
      </c>
      <c r="C65" s="12"/>
      <c r="D65" s="12" t="s">
        <v>496</v>
      </c>
      <c r="E65" s="13"/>
      <c r="F65" s="14"/>
      <c r="G65" s="18" t="s">
        <v>490</v>
      </c>
      <c r="H65" s="13" t="s">
        <v>433</v>
      </c>
      <c r="I65" s="18" t="s">
        <v>497</v>
      </c>
      <c r="J65" s="13" t="s">
        <v>491</v>
      </c>
      <c r="K65" s="10">
        <v>600</v>
      </c>
      <c r="L65" s="10">
        <v>150</v>
      </c>
      <c r="M65" s="13" t="s">
        <v>426</v>
      </c>
      <c r="N65" s="13" t="s">
        <v>498</v>
      </c>
      <c r="O65" s="13" t="s">
        <v>428</v>
      </c>
      <c r="P65" s="17">
        <f>SUM(Q65:AX65)</f>
        <v>0</v>
      </c>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2"/>
    </row>
    <row r="66" spans="1:51" ht="18.75" customHeight="1">
      <c r="A66" s="4">
        <v>61</v>
      </c>
      <c r="B66" s="11" t="s">
        <v>88</v>
      </c>
      <c r="C66" s="12"/>
      <c r="D66" s="12" t="s">
        <v>499</v>
      </c>
      <c r="E66" s="13"/>
      <c r="F66" s="14"/>
      <c r="G66" s="18" t="s">
        <v>490</v>
      </c>
      <c r="H66" s="13" t="s">
        <v>500</v>
      </c>
      <c r="I66" s="18" t="s">
        <v>501</v>
      </c>
      <c r="J66" s="13" t="s">
        <v>491</v>
      </c>
      <c r="K66" s="10">
        <v>750</v>
      </c>
      <c r="L66" s="10">
        <v>150</v>
      </c>
      <c r="M66" s="13" t="s">
        <v>502</v>
      </c>
      <c r="N66" s="13" t="s">
        <v>503</v>
      </c>
      <c r="O66" s="13" t="s">
        <v>428</v>
      </c>
      <c r="P66" s="17">
        <f>SUM(Q66:AX66)</f>
        <v>0</v>
      </c>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4"/>
    </row>
    <row r="67" spans="1:51" ht="18.75" customHeight="1">
      <c r="A67" s="2">
        <v>62</v>
      </c>
      <c r="B67" s="5" t="s">
        <v>88</v>
      </c>
      <c r="C67" s="6"/>
      <c r="D67" s="6" t="s">
        <v>504</v>
      </c>
      <c r="E67" s="4"/>
      <c r="F67" s="6" t="s">
        <v>505</v>
      </c>
      <c r="G67" s="29" t="s">
        <v>505</v>
      </c>
      <c r="H67" s="4"/>
      <c r="I67" s="7"/>
      <c r="J67" s="4"/>
      <c r="K67" s="19">
        <v>0</v>
      </c>
      <c r="L67" s="19">
        <v>0</v>
      </c>
      <c r="M67" s="4"/>
      <c r="N67" s="4"/>
      <c r="O67" s="4"/>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9"/>
    </row>
    <row r="68" spans="1:51" ht="30.75" customHeight="1">
      <c r="A68" s="4">
        <v>63</v>
      </c>
      <c r="B68" s="21" t="s">
        <v>88</v>
      </c>
      <c r="C68" s="3"/>
      <c r="D68" s="1"/>
      <c r="E68" s="2"/>
      <c r="F68" s="1"/>
      <c r="G68" s="26" t="s">
        <v>487</v>
      </c>
      <c r="H68" s="2"/>
      <c r="I68" s="22"/>
      <c r="J68" s="2"/>
      <c r="K68" s="23">
        <v>0</v>
      </c>
      <c r="L68" s="23">
        <v>0</v>
      </c>
      <c r="M68" s="2"/>
      <c r="N68" s="2"/>
      <c r="O68" s="2"/>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1"/>
    </row>
    <row r="69" spans="1:51" ht="18.75" customHeight="1">
      <c r="A69" s="2">
        <v>64</v>
      </c>
      <c r="B69" s="21" t="s">
        <v>88</v>
      </c>
      <c r="C69" s="3"/>
      <c r="D69" s="1"/>
      <c r="E69" s="2"/>
      <c r="F69" s="1"/>
      <c r="G69" s="26" t="s">
        <v>488</v>
      </c>
      <c r="H69" s="2"/>
      <c r="I69" s="22"/>
      <c r="J69" s="2"/>
      <c r="K69" s="23">
        <v>0</v>
      </c>
      <c r="L69" s="23">
        <v>0</v>
      </c>
      <c r="M69" s="2"/>
      <c r="N69" s="2"/>
      <c r="O69" s="2"/>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1"/>
    </row>
    <row r="70" spans="1:51" ht="30.75" customHeight="1">
      <c r="A70" s="4">
        <v>65</v>
      </c>
      <c r="B70" s="11" t="s">
        <v>88</v>
      </c>
      <c r="C70" s="12"/>
      <c r="D70" s="12" t="s">
        <v>506</v>
      </c>
      <c r="E70" s="13"/>
      <c r="F70" s="14"/>
      <c r="G70" s="18" t="s">
        <v>507</v>
      </c>
      <c r="H70" s="13" t="s">
        <v>508</v>
      </c>
      <c r="I70" s="18" t="s">
        <v>494</v>
      </c>
      <c r="J70" s="13" t="s">
        <v>509</v>
      </c>
      <c r="K70" s="28">
        <v>0</v>
      </c>
      <c r="L70" s="10">
        <v>150</v>
      </c>
      <c r="M70" s="13" t="s">
        <v>389</v>
      </c>
      <c r="N70" s="13" t="s">
        <v>510</v>
      </c>
      <c r="O70" s="13" t="s">
        <v>428</v>
      </c>
      <c r="P70" s="17">
        <f>SUM(Q70:AX70)</f>
        <v>0</v>
      </c>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2"/>
    </row>
    <row r="71" spans="1:51" ht="18.75" customHeight="1">
      <c r="A71" s="2">
        <v>66</v>
      </c>
      <c r="B71" s="5" t="s">
        <v>88</v>
      </c>
      <c r="C71" s="6"/>
      <c r="D71" s="6" t="s">
        <v>511</v>
      </c>
      <c r="E71" s="4"/>
      <c r="F71" s="6" t="s">
        <v>512</v>
      </c>
      <c r="G71" s="29" t="s">
        <v>512</v>
      </c>
      <c r="H71" s="4"/>
      <c r="I71" s="7"/>
      <c r="J71" s="4"/>
      <c r="K71" s="19">
        <v>0</v>
      </c>
      <c r="L71" s="19">
        <v>0</v>
      </c>
      <c r="M71" s="4"/>
      <c r="N71" s="4"/>
      <c r="O71" s="4"/>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9"/>
    </row>
    <row r="72" spans="1:51" ht="30.75" customHeight="1">
      <c r="A72" s="4">
        <v>67</v>
      </c>
      <c r="B72" s="21" t="s">
        <v>88</v>
      </c>
      <c r="C72" s="3"/>
      <c r="D72" s="1"/>
      <c r="E72" s="2"/>
      <c r="F72" s="1"/>
      <c r="G72" s="26" t="s">
        <v>487</v>
      </c>
      <c r="H72" s="2"/>
      <c r="I72" s="22"/>
      <c r="J72" s="2"/>
      <c r="K72" s="23">
        <v>0</v>
      </c>
      <c r="L72" s="23">
        <v>0</v>
      </c>
      <c r="M72" s="2"/>
      <c r="N72" s="2"/>
      <c r="O72" s="2"/>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1"/>
    </row>
    <row r="73" spans="1:51" ht="18.75" customHeight="1">
      <c r="A73" s="2">
        <v>68</v>
      </c>
      <c r="B73" s="21" t="s">
        <v>88</v>
      </c>
      <c r="C73" s="3"/>
      <c r="D73" s="1"/>
      <c r="E73" s="2"/>
      <c r="F73" s="1"/>
      <c r="G73" s="26" t="s">
        <v>488</v>
      </c>
      <c r="H73" s="2"/>
      <c r="I73" s="22"/>
      <c r="J73" s="2"/>
      <c r="K73" s="23">
        <v>0</v>
      </c>
      <c r="L73" s="23">
        <v>0</v>
      </c>
      <c r="M73" s="2"/>
      <c r="N73" s="2"/>
      <c r="O73" s="2"/>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1"/>
    </row>
    <row r="74" spans="1:51" ht="30.75" customHeight="1">
      <c r="A74" s="4">
        <v>69</v>
      </c>
      <c r="B74" s="11" t="s">
        <v>88</v>
      </c>
      <c r="C74" s="12"/>
      <c r="D74" s="12" t="s">
        <v>513</v>
      </c>
      <c r="E74" s="13"/>
      <c r="F74" s="14"/>
      <c r="G74" s="18" t="s">
        <v>514</v>
      </c>
      <c r="H74" s="13" t="s">
        <v>508</v>
      </c>
      <c r="I74" s="18" t="s">
        <v>497</v>
      </c>
      <c r="J74" s="13" t="s">
        <v>509</v>
      </c>
      <c r="K74" s="28">
        <v>0</v>
      </c>
      <c r="L74" s="10">
        <v>150</v>
      </c>
      <c r="M74" s="13" t="s">
        <v>389</v>
      </c>
      <c r="N74" s="13" t="s">
        <v>515</v>
      </c>
      <c r="O74" s="13" t="s">
        <v>428</v>
      </c>
      <c r="P74" s="17">
        <f>SUM(Q74:AX74)</f>
        <v>0</v>
      </c>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2"/>
    </row>
    <row r="75" spans="1:51" ht="18.75" customHeight="1">
      <c r="A75" s="2">
        <v>70</v>
      </c>
      <c r="B75" s="5" t="s">
        <v>88</v>
      </c>
      <c r="C75" s="6"/>
      <c r="D75" s="6" t="s">
        <v>516</v>
      </c>
      <c r="E75" s="4"/>
      <c r="F75" s="6" t="s">
        <v>517</v>
      </c>
      <c r="G75" s="29" t="s">
        <v>517</v>
      </c>
      <c r="H75" s="4"/>
      <c r="I75" s="7"/>
      <c r="J75" s="4"/>
      <c r="K75" s="19">
        <v>0</v>
      </c>
      <c r="L75" s="19">
        <v>0</v>
      </c>
      <c r="M75" s="4"/>
      <c r="N75" s="4"/>
      <c r="O75" s="4"/>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9"/>
    </row>
    <row r="76" spans="1:51" ht="30.75" customHeight="1">
      <c r="A76" s="4">
        <v>71</v>
      </c>
      <c r="B76" s="21" t="s">
        <v>88</v>
      </c>
      <c r="C76" s="3"/>
      <c r="D76" s="1"/>
      <c r="E76" s="2"/>
      <c r="F76" s="1"/>
      <c r="G76" s="26" t="s">
        <v>487</v>
      </c>
      <c r="H76" s="2"/>
      <c r="I76" s="22"/>
      <c r="J76" s="2"/>
      <c r="K76" s="23">
        <v>0</v>
      </c>
      <c r="L76" s="23">
        <v>0</v>
      </c>
      <c r="M76" s="2"/>
      <c r="N76" s="2"/>
      <c r="O76" s="2"/>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1"/>
    </row>
    <row r="77" spans="1:51" ht="18.75" customHeight="1">
      <c r="A77" s="2">
        <v>72</v>
      </c>
      <c r="B77" s="21" t="s">
        <v>88</v>
      </c>
      <c r="C77" s="3"/>
      <c r="D77" s="1"/>
      <c r="E77" s="2"/>
      <c r="F77" s="1"/>
      <c r="G77" s="26" t="s">
        <v>488</v>
      </c>
      <c r="H77" s="2"/>
      <c r="I77" s="22"/>
      <c r="J77" s="2"/>
      <c r="K77" s="23">
        <v>0</v>
      </c>
      <c r="L77" s="23">
        <v>0</v>
      </c>
      <c r="M77" s="2"/>
      <c r="N77" s="2"/>
      <c r="O77" s="2"/>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1"/>
    </row>
    <row r="78" spans="1:51" ht="18.75" customHeight="1">
      <c r="A78" s="4">
        <v>73</v>
      </c>
      <c r="B78" s="11" t="s">
        <v>88</v>
      </c>
      <c r="C78" s="12"/>
      <c r="D78" s="12" t="s">
        <v>518</v>
      </c>
      <c r="E78" s="13"/>
      <c r="F78" s="14"/>
      <c r="G78" s="18" t="s">
        <v>519</v>
      </c>
      <c r="H78" s="13" t="s">
        <v>424</v>
      </c>
      <c r="I78" s="18" t="s">
        <v>387</v>
      </c>
      <c r="J78" s="13" t="s">
        <v>520</v>
      </c>
      <c r="K78" s="10">
        <v>150</v>
      </c>
      <c r="L78" s="10">
        <v>150</v>
      </c>
      <c r="M78" s="13" t="s">
        <v>426</v>
      </c>
      <c r="N78" s="13" t="s">
        <v>521</v>
      </c>
      <c r="O78" s="13" t="s">
        <v>428</v>
      </c>
      <c r="P78" s="17">
        <f>SUM(Q78:AX78)</f>
        <v>0</v>
      </c>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2"/>
    </row>
    <row r="79" spans="1:51" ht="18.75" customHeight="1">
      <c r="A79" s="2">
        <v>74</v>
      </c>
      <c r="B79" s="11" t="s">
        <v>88</v>
      </c>
      <c r="C79" s="12"/>
      <c r="D79" s="12" t="s">
        <v>522</v>
      </c>
      <c r="E79" s="13"/>
      <c r="F79" s="14"/>
      <c r="G79" s="18" t="s">
        <v>519</v>
      </c>
      <c r="H79" s="13" t="s">
        <v>430</v>
      </c>
      <c r="I79" s="18" t="s">
        <v>387</v>
      </c>
      <c r="J79" s="13" t="s">
        <v>520</v>
      </c>
      <c r="K79" s="10">
        <v>300</v>
      </c>
      <c r="L79" s="10">
        <v>150</v>
      </c>
      <c r="M79" s="13" t="s">
        <v>426</v>
      </c>
      <c r="N79" s="13" t="s">
        <v>523</v>
      </c>
      <c r="O79" s="13" t="s">
        <v>428</v>
      </c>
      <c r="P79" s="17">
        <f>SUM(Q79:AX79)</f>
        <v>0</v>
      </c>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2"/>
    </row>
    <row r="80" spans="1:51" ht="18.75" customHeight="1">
      <c r="A80" s="4">
        <v>75</v>
      </c>
      <c r="B80" s="11" t="s">
        <v>88</v>
      </c>
      <c r="C80" s="12"/>
      <c r="D80" s="12" t="s">
        <v>524</v>
      </c>
      <c r="E80" s="13"/>
      <c r="F80" s="14"/>
      <c r="G80" s="18" t="s">
        <v>519</v>
      </c>
      <c r="H80" s="13" t="s">
        <v>433</v>
      </c>
      <c r="I80" s="18" t="s">
        <v>387</v>
      </c>
      <c r="J80" s="13" t="s">
        <v>520</v>
      </c>
      <c r="K80" s="10">
        <v>600</v>
      </c>
      <c r="L80" s="10">
        <v>150</v>
      </c>
      <c r="M80" s="13" t="s">
        <v>426</v>
      </c>
      <c r="N80" s="13" t="s">
        <v>525</v>
      </c>
      <c r="O80" s="13" t="s">
        <v>428</v>
      </c>
      <c r="P80" s="17">
        <f>SUM(Q80:AX80)</f>
        <v>0</v>
      </c>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2"/>
    </row>
    <row r="81" spans="1:51" ht="18.75" customHeight="1">
      <c r="A81" s="2">
        <v>76</v>
      </c>
      <c r="B81" s="11" t="s">
        <v>88</v>
      </c>
      <c r="C81" s="12"/>
      <c r="D81" s="12" t="s">
        <v>526</v>
      </c>
      <c r="E81" s="13"/>
      <c r="F81" s="14"/>
      <c r="G81" s="18" t="s">
        <v>519</v>
      </c>
      <c r="H81" s="13" t="s">
        <v>436</v>
      </c>
      <c r="I81" s="18" t="s">
        <v>387</v>
      </c>
      <c r="J81" s="13" t="s">
        <v>520</v>
      </c>
      <c r="K81" s="10">
        <v>900</v>
      </c>
      <c r="L81" s="10">
        <v>150</v>
      </c>
      <c r="M81" s="13" t="s">
        <v>426</v>
      </c>
      <c r="N81" s="13" t="s">
        <v>527</v>
      </c>
      <c r="O81" s="13" t="s">
        <v>428</v>
      </c>
      <c r="P81" s="17">
        <f>SUM(Q81:AX81)</f>
        <v>40</v>
      </c>
      <c r="Q81" s="17"/>
      <c r="R81" s="17">
        <v>20</v>
      </c>
      <c r="S81" s="17"/>
      <c r="T81" s="17"/>
      <c r="U81" s="17"/>
      <c r="V81" s="17">
        <v>20</v>
      </c>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2"/>
    </row>
    <row r="82" spans="1:51" ht="18.75" customHeight="1">
      <c r="A82" s="4">
        <v>77</v>
      </c>
      <c r="B82" s="5" t="s">
        <v>88</v>
      </c>
      <c r="C82" s="6"/>
      <c r="D82" s="6" t="s">
        <v>528</v>
      </c>
      <c r="E82" s="4"/>
      <c r="F82" s="6" t="s">
        <v>529</v>
      </c>
      <c r="G82" s="29" t="s">
        <v>530</v>
      </c>
      <c r="H82" s="4"/>
      <c r="I82" s="7"/>
      <c r="J82" s="4"/>
      <c r="K82" s="19">
        <v>0</v>
      </c>
      <c r="L82" s="19">
        <v>0</v>
      </c>
      <c r="M82" s="4"/>
      <c r="N82" s="4"/>
      <c r="O82" s="4"/>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9"/>
    </row>
    <row r="83" spans="1:51" ht="30.75" customHeight="1">
      <c r="A83" s="2">
        <v>78</v>
      </c>
      <c r="B83" s="21" t="s">
        <v>88</v>
      </c>
      <c r="C83" s="3"/>
      <c r="D83" s="1"/>
      <c r="E83" s="2"/>
      <c r="F83" s="1"/>
      <c r="G83" s="26" t="s">
        <v>487</v>
      </c>
      <c r="H83" s="2"/>
      <c r="I83" s="22"/>
      <c r="J83" s="2"/>
      <c r="K83" s="23">
        <v>0</v>
      </c>
      <c r="L83" s="23">
        <v>0</v>
      </c>
      <c r="M83" s="2"/>
      <c r="N83" s="2"/>
      <c r="O83" s="2"/>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1"/>
    </row>
    <row r="84" spans="1:51" ht="18.75" customHeight="1">
      <c r="A84" s="4">
        <v>79</v>
      </c>
      <c r="B84" s="21" t="s">
        <v>88</v>
      </c>
      <c r="C84" s="3"/>
      <c r="D84" s="1"/>
      <c r="E84" s="2"/>
      <c r="F84" s="1"/>
      <c r="G84" s="26" t="s">
        <v>488</v>
      </c>
      <c r="H84" s="2"/>
      <c r="I84" s="22"/>
      <c r="J84" s="2"/>
      <c r="K84" s="23">
        <v>0</v>
      </c>
      <c r="L84" s="23">
        <v>0</v>
      </c>
      <c r="M84" s="2"/>
      <c r="N84" s="2"/>
      <c r="O84" s="2"/>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1"/>
    </row>
    <row r="85" spans="1:51" ht="18.75" customHeight="1">
      <c r="A85" s="2">
        <v>80</v>
      </c>
      <c r="B85" s="11" t="s">
        <v>88</v>
      </c>
      <c r="C85" s="12"/>
      <c r="D85" s="12" t="s">
        <v>531</v>
      </c>
      <c r="E85" s="13"/>
      <c r="F85" s="14"/>
      <c r="G85" s="18" t="s">
        <v>532</v>
      </c>
      <c r="H85" s="13" t="s">
        <v>533</v>
      </c>
      <c r="I85" s="18" t="s">
        <v>387</v>
      </c>
      <c r="J85" s="13" t="s">
        <v>534</v>
      </c>
      <c r="K85" s="28">
        <v>0</v>
      </c>
      <c r="L85" s="10">
        <v>140</v>
      </c>
      <c r="M85" s="13" t="s">
        <v>389</v>
      </c>
      <c r="N85" s="13" t="s">
        <v>535</v>
      </c>
      <c r="O85" s="13" t="s">
        <v>428</v>
      </c>
      <c r="P85" s="17">
        <f>SUM(Q85:AX85)</f>
        <v>0</v>
      </c>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2"/>
    </row>
    <row r="86" spans="1:51" ht="30.75" customHeight="1">
      <c r="A86" s="4">
        <v>81</v>
      </c>
      <c r="B86" s="5" t="s">
        <v>88</v>
      </c>
      <c r="C86" s="6"/>
      <c r="D86" s="6" t="s">
        <v>536</v>
      </c>
      <c r="E86" s="4"/>
      <c r="F86" s="6" t="s">
        <v>537</v>
      </c>
      <c r="G86" s="29" t="s">
        <v>538</v>
      </c>
      <c r="H86" s="4"/>
      <c r="I86" s="7"/>
      <c r="J86" s="4"/>
      <c r="K86" s="19">
        <v>0</v>
      </c>
      <c r="L86" s="19">
        <v>0</v>
      </c>
      <c r="M86" s="4"/>
      <c r="N86" s="4"/>
      <c r="O86" s="4"/>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9"/>
    </row>
    <row r="87" spans="1:51" ht="30.75" customHeight="1">
      <c r="A87" s="2">
        <v>82</v>
      </c>
      <c r="B87" s="21" t="s">
        <v>88</v>
      </c>
      <c r="C87" s="3"/>
      <c r="D87" s="1"/>
      <c r="E87" s="2"/>
      <c r="F87" s="1"/>
      <c r="G87" s="26" t="s">
        <v>487</v>
      </c>
      <c r="H87" s="2"/>
      <c r="I87" s="22"/>
      <c r="J87" s="2"/>
      <c r="K87" s="23">
        <v>0</v>
      </c>
      <c r="L87" s="23">
        <v>0</v>
      </c>
      <c r="M87" s="2"/>
      <c r="N87" s="2"/>
      <c r="O87" s="2"/>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1"/>
    </row>
    <row r="88" spans="1:51" ht="18.75" customHeight="1">
      <c r="A88" s="4">
        <v>83</v>
      </c>
      <c r="B88" s="21" t="s">
        <v>88</v>
      </c>
      <c r="C88" s="3"/>
      <c r="D88" s="1"/>
      <c r="E88" s="2"/>
      <c r="F88" s="1"/>
      <c r="G88" s="26" t="s">
        <v>488</v>
      </c>
      <c r="H88" s="2"/>
      <c r="I88" s="22"/>
      <c r="J88" s="2"/>
      <c r="K88" s="23">
        <v>0</v>
      </c>
      <c r="L88" s="23">
        <v>0</v>
      </c>
      <c r="M88" s="2"/>
      <c r="N88" s="2"/>
      <c r="O88" s="2"/>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1"/>
    </row>
    <row r="89" spans="1:51" ht="30.75" customHeight="1">
      <c r="A89" s="2">
        <v>84</v>
      </c>
      <c r="B89" s="11" t="s">
        <v>88</v>
      </c>
      <c r="C89" s="12"/>
      <c r="D89" s="12" t="s">
        <v>539</v>
      </c>
      <c r="E89" s="13"/>
      <c r="F89" s="14"/>
      <c r="G89" s="18" t="s">
        <v>540</v>
      </c>
      <c r="H89" s="13" t="s">
        <v>533</v>
      </c>
      <c r="I89" s="18" t="s">
        <v>387</v>
      </c>
      <c r="J89" s="13" t="s">
        <v>541</v>
      </c>
      <c r="K89" s="28">
        <v>0</v>
      </c>
      <c r="L89" s="10">
        <v>140</v>
      </c>
      <c r="M89" s="13" t="s">
        <v>389</v>
      </c>
      <c r="N89" s="13" t="s">
        <v>542</v>
      </c>
      <c r="O89" s="13" t="s">
        <v>428</v>
      </c>
      <c r="P89" s="17">
        <f>SUM(Q89:AX89)</f>
        <v>0</v>
      </c>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2"/>
    </row>
    <row r="90" spans="1:51" ht="18.75" customHeight="1">
      <c r="A90" s="4">
        <v>85</v>
      </c>
      <c r="B90" s="5" t="s">
        <v>88</v>
      </c>
      <c r="C90" s="6"/>
      <c r="D90" s="6" t="s">
        <v>543</v>
      </c>
      <c r="E90" s="4"/>
      <c r="F90" s="6" t="s">
        <v>544</v>
      </c>
      <c r="G90" s="29" t="s">
        <v>544</v>
      </c>
      <c r="H90" s="4"/>
      <c r="I90" s="7"/>
      <c r="J90" s="4"/>
      <c r="K90" s="19">
        <v>0</v>
      </c>
      <c r="L90" s="19">
        <v>0</v>
      </c>
      <c r="M90" s="4"/>
      <c r="N90" s="4"/>
      <c r="O90" s="4"/>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9"/>
    </row>
    <row r="91" spans="1:51" ht="42.75" customHeight="1">
      <c r="A91" s="2">
        <v>86</v>
      </c>
      <c r="B91" s="21" t="s">
        <v>88</v>
      </c>
      <c r="C91" s="3"/>
      <c r="D91" s="1"/>
      <c r="E91" s="2"/>
      <c r="F91" s="1"/>
      <c r="G91" s="26" t="s">
        <v>545</v>
      </c>
      <c r="H91" s="2"/>
      <c r="I91" s="22"/>
      <c r="J91" s="2"/>
      <c r="K91" s="23">
        <v>0</v>
      </c>
      <c r="L91" s="23">
        <v>0</v>
      </c>
      <c r="M91" s="2"/>
      <c r="N91" s="2"/>
      <c r="O91" s="2"/>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1"/>
    </row>
    <row r="92" spans="1:51" ht="30.75" customHeight="1">
      <c r="A92" s="4">
        <v>87</v>
      </c>
      <c r="B92" s="21" t="s">
        <v>88</v>
      </c>
      <c r="C92" s="3"/>
      <c r="D92" s="1"/>
      <c r="E92" s="2"/>
      <c r="F92" s="1"/>
      <c r="G92" s="26" t="s">
        <v>546</v>
      </c>
      <c r="H92" s="2"/>
      <c r="I92" s="22"/>
      <c r="J92" s="2"/>
      <c r="K92" s="23">
        <v>0</v>
      </c>
      <c r="L92" s="23">
        <v>0</v>
      </c>
      <c r="M92" s="2"/>
      <c r="N92" s="2"/>
      <c r="O92" s="2"/>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1"/>
    </row>
    <row r="93" spans="1:51" ht="30.75" customHeight="1">
      <c r="A93" s="2">
        <v>88</v>
      </c>
      <c r="B93" s="21" t="s">
        <v>88</v>
      </c>
      <c r="C93" s="3"/>
      <c r="D93" s="1"/>
      <c r="E93" s="2"/>
      <c r="F93" s="1"/>
      <c r="G93" s="26" t="s">
        <v>547</v>
      </c>
      <c r="H93" s="2"/>
      <c r="I93" s="22"/>
      <c r="J93" s="2"/>
      <c r="K93" s="23">
        <v>0</v>
      </c>
      <c r="L93" s="23">
        <v>0</v>
      </c>
      <c r="M93" s="2"/>
      <c r="N93" s="2"/>
      <c r="O93" s="2"/>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1"/>
    </row>
    <row r="94" spans="1:51" ht="18.75" customHeight="1">
      <c r="A94" s="4">
        <v>89</v>
      </c>
      <c r="B94" s="11" t="s">
        <v>88</v>
      </c>
      <c r="C94" s="12"/>
      <c r="D94" s="12" t="s">
        <v>548</v>
      </c>
      <c r="E94" s="13"/>
      <c r="F94" s="14"/>
      <c r="G94" s="18" t="s">
        <v>549</v>
      </c>
      <c r="H94" s="13" t="s">
        <v>550</v>
      </c>
      <c r="I94" s="18" t="s">
        <v>387</v>
      </c>
      <c r="J94" s="13" t="s">
        <v>551</v>
      </c>
      <c r="K94" s="28">
        <v>0</v>
      </c>
      <c r="L94" s="28">
        <v>0</v>
      </c>
      <c r="M94" s="30" t="s">
        <v>552</v>
      </c>
      <c r="N94" s="13" t="s">
        <v>553</v>
      </c>
      <c r="O94" s="13" t="s">
        <v>428</v>
      </c>
      <c r="P94" s="17">
        <f>SUM(Q94:AX94)</f>
        <v>0</v>
      </c>
      <c r="Q94" s="17"/>
      <c r="R94" s="17">
        <f>(T26/6)*2</f>
        <v>0</v>
      </c>
      <c r="S94" s="17"/>
      <c r="T94" s="17"/>
      <c r="U94" s="17"/>
      <c r="V94" s="17">
        <f>(T26/6)*2</f>
        <v>0</v>
      </c>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2"/>
    </row>
    <row r="95" spans="1:51" ht="18.75" customHeight="1">
      <c r="A95" s="2">
        <v>90</v>
      </c>
      <c r="B95" s="5" t="s">
        <v>88</v>
      </c>
      <c r="C95" s="6"/>
      <c r="D95" s="6" t="s">
        <v>554</v>
      </c>
      <c r="E95" s="4"/>
      <c r="F95" s="6" t="s">
        <v>555</v>
      </c>
      <c r="G95" s="29" t="s">
        <v>555</v>
      </c>
      <c r="H95" s="4"/>
      <c r="I95" s="7"/>
      <c r="J95" s="4"/>
      <c r="K95" s="19">
        <v>0</v>
      </c>
      <c r="L95" s="19">
        <v>0</v>
      </c>
      <c r="M95" s="4"/>
      <c r="N95" s="4"/>
      <c r="O95" s="4"/>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9"/>
    </row>
    <row r="96" spans="1:51" ht="18.75" customHeight="1">
      <c r="A96" s="4">
        <v>91</v>
      </c>
      <c r="B96" s="21" t="s">
        <v>88</v>
      </c>
      <c r="C96" s="3"/>
      <c r="D96" s="1"/>
      <c r="E96" s="2"/>
      <c r="F96" s="1"/>
      <c r="G96" s="26" t="s">
        <v>556</v>
      </c>
      <c r="H96" s="2"/>
      <c r="I96" s="22"/>
      <c r="J96" s="2"/>
      <c r="K96" s="23">
        <v>0</v>
      </c>
      <c r="L96" s="23">
        <v>0</v>
      </c>
      <c r="M96" s="2"/>
      <c r="N96" s="2"/>
      <c r="O96" s="2"/>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1"/>
    </row>
    <row r="97" spans="1:51" ht="30.75" customHeight="1">
      <c r="A97" s="2">
        <v>92</v>
      </c>
      <c r="B97" s="21" t="s">
        <v>88</v>
      </c>
      <c r="C97" s="3"/>
      <c r="D97" s="1"/>
      <c r="E97" s="2"/>
      <c r="F97" s="1"/>
      <c r="G97" s="26" t="s">
        <v>557</v>
      </c>
      <c r="H97" s="2"/>
      <c r="I97" s="22"/>
      <c r="J97" s="2"/>
      <c r="K97" s="23">
        <v>0</v>
      </c>
      <c r="L97" s="23">
        <v>0</v>
      </c>
      <c r="M97" s="2"/>
      <c r="N97" s="2"/>
      <c r="O97" s="2"/>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1"/>
    </row>
    <row r="98" spans="1:51" ht="30.75" customHeight="1">
      <c r="A98" s="4">
        <v>93</v>
      </c>
      <c r="B98" s="11" t="s">
        <v>88</v>
      </c>
      <c r="C98" s="12"/>
      <c r="D98" s="12" t="s">
        <v>558</v>
      </c>
      <c r="E98" s="13"/>
      <c r="F98" s="14"/>
      <c r="G98" s="18" t="s">
        <v>559</v>
      </c>
      <c r="H98" s="13" t="s">
        <v>550</v>
      </c>
      <c r="I98" s="18" t="s">
        <v>387</v>
      </c>
      <c r="J98" s="13" t="s">
        <v>560</v>
      </c>
      <c r="K98" s="28">
        <v>0</v>
      </c>
      <c r="L98" s="28">
        <v>0</v>
      </c>
      <c r="M98" s="30" t="s">
        <v>552</v>
      </c>
      <c r="N98" s="13" t="s">
        <v>561</v>
      </c>
      <c r="O98" s="13" t="s">
        <v>428</v>
      </c>
      <c r="P98" s="17">
        <f t="shared" ref="P98:P103" si="0">SUM(Q98:AX98)</f>
        <v>0</v>
      </c>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2"/>
    </row>
    <row r="99" spans="1:51" ht="30.75" customHeight="1">
      <c r="A99" s="2">
        <v>94</v>
      </c>
      <c r="B99" s="11" t="s">
        <v>88</v>
      </c>
      <c r="C99" s="12"/>
      <c r="D99" s="12" t="s">
        <v>562</v>
      </c>
      <c r="E99" s="13"/>
      <c r="F99" s="14"/>
      <c r="G99" s="18" t="s">
        <v>563</v>
      </c>
      <c r="H99" s="13" t="s">
        <v>550</v>
      </c>
      <c r="I99" s="18" t="s">
        <v>494</v>
      </c>
      <c r="J99" s="13" t="s">
        <v>564</v>
      </c>
      <c r="K99" s="28">
        <v>0</v>
      </c>
      <c r="L99" s="28">
        <v>0</v>
      </c>
      <c r="M99" s="10"/>
      <c r="N99" s="13" t="s">
        <v>565</v>
      </c>
      <c r="O99" s="13" t="s">
        <v>428</v>
      </c>
      <c r="P99" s="17">
        <f t="shared" si="0"/>
        <v>0</v>
      </c>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2"/>
    </row>
    <row r="100" spans="1:51" ht="30.75" customHeight="1">
      <c r="A100" s="4">
        <v>95</v>
      </c>
      <c r="B100" s="11" t="s">
        <v>88</v>
      </c>
      <c r="C100" s="12"/>
      <c r="D100" s="12" t="s">
        <v>566</v>
      </c>
      <c r="E100" s="13"/>
      <c r="F100" s="14"/>
      <c r="G100" s="18" t="s">
        <v>567</v>
      </c>
      <c r="H100" s="13" t="s">
        <v>550</v>
      </c>
      <c r="I100" s="18" t="s">
        <v>387</v>
      </c>
      <c r="J100" s="13" t="s">
        <v>568</v>
      </c>
      <c r="K100" s="28">
        <v>0</v>
      </c>
      <c r="L100" s="28">
        <v>0</v>
      </c>
      <c r="M100" s="30" t="s">
        <v>552</v>
      </c>
      <c r="N100" s="13" t="s">
        <v>569</v>
      </c>
      <c r="O100" s="13" t="s">
        <v>428</v>
      </c>
      <c r="P100" s="17">
        <f t="shared" si="0"/>
        <v>0</v>
      </c>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2"/>
    </row>
    <row r="101" spans="1:51" ht="30.75" customHeight="1">
      <c r="A101" s="2">
        <v>96</v>
      </c>
      <c r="B101" s="11" t="s">
        <v>88</v>
      </c>
      <c r="C101" s="12"/>
      <c r="D101" s="12" t="s">
        <v>570</v>
      </c>
      <c r="E101" s="13"/>
      <c r="F101" s="14"/>
      <c r="G101" s="18" t="s">
        <v>571</v>
      </c>
      <c r="H101" s="13" t="s">
        <v>550</v>
      </c>
      <c r="I101" s="18" t="s">
        <v>497</v>
      </c>
      <c r="J101" s="13" t="s">
        <v>564</v>
      </c>
      <c r="K101" s="28">
        <v>0</v>
      </c>
      <c r="L101" s="28">
        <v>0</v>
      </c>
      <c r="M101" s="10"/>
      <c r="N101" s="13" t="s">
        <v>572</v>
      </c>
      <c r="O101" s="13" t="s">
        <v>428</v>
      </c>
      <c r="P101" s="17">
        <f t="shared" si="0"/>
        <v>0</v>
      </c>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2"/>
    </row>
    <row r="102" spans="1:51" ht="30.75" customHeight="1">
      <c r="A102" s="4">
        <v>97</v>
      </c>
      <c r="B102" s="11" t="s">
        <v>88</v>
      </c>
      <c r="C102" s="12"/>
      <c r="D102" s="12" t="s">
        <v>573</v>
      </c>
      <c r="E102" s="13"/>
      <c r="F102" s="14"/>
      <c r="G102" s="18" t="s">
        <v>574</v>
      </c>
      <c r="H102" s="13" t="s">
        <v>550</v>
      </c>
      <c r="I102" s="18" t="s">
        <v>501</v>
      </c>
      <c r="J102" s="13" t="s">
        <v>564</v>
      </c>
      <c r="K102" s="28">
        <v>0</v>
      </c>
      <c r="L102" s="28">
        <v>0</v>
      </c>
      <c r="M102" s="10"/>
      <c r="N102" s="13" t="s">
        <v>575</v>
      </c>
      <c r="O102" s="13" t="s">
        <v>428</v>
      </c>
      <c r="P102" s="17">
        <f t="shared" si="0"/>
        <v>0</v>
      </c>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2"/>
    </row>
    <row r="103" spans="1:51" ht="30.75" customHeight="1">
      <c r="A103" s="2">
        <v>98</v>
      </c>
      <c r="B103" s="11" t="s">
        <v>88</v>
      </c>
      <c r="C103" s="12"/>
      <c r="D103" s="12" t="s">
        <v>576</v>
      </c>
      <c r="E103" s="13"/>
      <c r="F103" s="14"/>
      <c r="G103" s="18" t="s">
        <v>577</v>
      </c>
      <c r="H103" s="13" t="s">
        <v>550</v>
      </c>
      <c r="I103" s="18" t="s">
        <v>387</v>
      </c>
      <c r="J103" s="13" t="s">
        <v>564</v>
      </c>
      <c r="K103" s="28">
        <v>0</v>
      </c>
      <c r="L103" s="28">
        <v>0</v>
      </c>
      <c r="M103" s="30" t="s">
        <v>552</v>
      </c>
      <c r="N103" s="13" t="s">
        <v>578</v>
      </c>
      <c r="O103" s="13" t="s">
        <v>428</v>
      </c>
      <c r="P103" s="17">
        <f t="shared" si="0"/>
        <v>0</v>
      </c>
      <c r="Q103" s="17"/>
      <c r="R103" s="17">
        <f>(T26/6)*2*3</f>
        <v>0</v>
      </c>
      <c r="S103" s="17"/>
      <c r="T103" s="17"/>
      <c r="U103" s="17"/>
      <c r="V103" s="17">
        <f>(T26/6)*2*3</f>
        <v>0</v>
      </c>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4"/>
    </row>
    <row r="104" spans="1:51" ht="18.75" customHeight="1">
      <c r="A104" s="4">
        <v>99</v>
      </c>
      <c r="B104" s="5" t="s">
        <v>88</v>
      </c>
      <c r="C104" s="6"/>
      <c r="D104" s="6" t="s">
        <v>579</v>
      </c>
      <c r="E104" s="4"/>
      <c r="F104" s="6" t="s">
        <v>580</v>
      </c>
      <c r="G104" s="29" t="s">
        <v>580</v>
      </c>
      <c r="H104" s="4"/>
      <c r="I104" s="7"/>
      <c r="J104" s="4"/>
      <c r="K104" s="19">
        <v>0</v>
      </c>
      <c r="L104" s="19">
        <v>0</v>
      </c>
      <c r="M104" s="4"/>
      <c r="N104" s="4"/>
      <c r="O104" s="4"/>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9"/>
    </row>
    <row r="105" spans="1:51" ht="30.75" customHeight="1">
      <c r="A105" s="2">
        <v>100</v>
      </c>
      <c r="B105" s="21" t="s">
        <v>88</v>
      </c>
      <c r="C105" s="3"/>
      <c r="D105" s="1"/>
      <c r="E105" s="2"/>
      <c r="F105" s="1"/>
      <c r="G105" s="26" t="s">
        <v>487</v>
      </c>
      <c r="H105" s="2"/>
      <c r="I105" s="22"/>
      <c r="J105" s="2"/>
      <c r="K105" s="23">
        <v>0</v>
      </c>
      <c r="L105" s="23">
        <v>0</v>
      </c>
      <c r="M105" s="2"/>
      <c r="N105" s="2"/>
      <c r="O105" s="2"/>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1"/>
    </row>
    <row r="106" spans="1:51" ht="30.75" customHeight="1">
      <c r="A106" s="4">
        <v>101</v>
      </c>
      <c r="B106" s="21" t="s">
        <v>88</v>
      </c>
      <c r="C106" s="3"/>
      <c r="D106" s="1"/>
      <c r="E106" s="2"/>
      <c r="F106" s="1"/>
      <c r="G106" s="26" t="s">
        <v>581</v>
      </c>
      <c r="H106" s="2"/>
      <c r="I106" s="22"/>
      <c r="J106" s="2"/>
      <c r="K106" s="23">
        <v>0</v>
      </c>
      <c r="L106" s="23">
        <v>0</v>
      </c>
      <c r="M106" s="2"/>
      <c r="N106" s="2"/>
      <c r="O106" s="2"/>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1"/>
    </row>
    <row r="107" spans="1:51" ht="42.75" customHeight="1">
      <c r="A107" s="2">
        <v>102</v>
      </c>
      <c r="B107" s="21" t="s">
        <v>88</v>
      </c>
      <c r="C107" s="3"/>
      <c r="D107" s="1"/>
      <c r="E107" s="2"/>
      <c r="F107" s="1"/>
      <c r="G107" s="26" t="s">
        <v>582</v>
      </c>
      <c r="H107" s="2"/>
      <c r="I107" s="22"/>
      <c r="J107" s="2"/>
      <c r="K107" s="23">
        <v>0</v>
      </c>
      <c r="L107" s="23">
        <v>0</v>
      </c>
      <c r="M107" s="2"/>
      <c r="N107" s="2"/>
      <c r="O107" s="2"/>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1"/>
    </row>
    <row r="108" spans="1:51" ht="18.75" customHeight="1">
      <c r="A108" s="4">
        <v>103</v>
      </c>
      <c r="B108" s="11" t="s">
        <v>88</v>
      </c>
      <c r="C108" s="12"/>
      <c r="D108" s="12" t="s">
        <v>583</v>
      </c>
      <c r="E108" s="13"/>
      <c r="F108" s="14"/>
      <c r="G108" s="18" t="s">
        <v>580</v>
      </c>
      <c r="H108" s="13" t="s">
        <v>424</v>
      </c>
      <c r="I108" s="18" t="s">
        <v>387</v>
      </c>
      <c r="J108" s="13" t="s">
        <v>584</v>
      </c>
      <c r="K108" s="10">
        <v>150</v>
      </c>
      <c r="L108" s="10">
        <v>150</v>
      </c>
      <c r="M108" s="13" t="s">
        <v>426</v>
      </c>
      <c r="N108" s="13" t="s">
        <v>585</v>
      </c>
      <c r="O108" s="13" t="s">
        <v>428</v>
      </c>
      <c r="P108" s="17">
        <f>SUM(Q108:AX108)</f>
        <v>0</v>
      </c>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2"/>
    </row>
    <row r="109" spans="1:51" ht="18.75" customHeight="1">
      <c r="A109" s="2">
        <v>104</v>
      </c>
      <c r="B109" s="11" t="s">
        <v>88</v>
      </c>
      <c r="C109" s="12"/>
      <c r="D109" s="12" t="s">
        <v>586</v>
      </c>
      <c r="E109" s="13"/>
      <c r="F109" s="14"/>
      <c r="G109" s="18" t="s">
        <v>580</v>
      </c>
      <c r="H109" s="13" t="s">
        <v>430</v>
      </c>
      <c r="I109" s="18" t="s">
        <v>387</v>
      </c>
      <c r="J109" s="13" t="s">
        <v>584</v>
      </c>
      <c r="K109" s="10">
        <v>300</v>
      </c>
      <c r="L109" s="10">
        <v>150</v>
      </c>
      <c r="M109" s="13" t="s">
        <v>426</v>
      </c>
      <c r="N109" s="13" t="s">
        <v>587</v>
      </c>
      <c r="O109" s="13" t="s">
        <v>428</v>
      </c>
      <c r="P109" s="17">
        <f>SUM(Q109:AX109)</f>
        <v>0</v>
      </c>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2"/>
    </row>
    <row r="110" spans="1:51" ht="18.75" customHeight="1">
      <c r="A110" s="4">
        <v>105</v>
      </c>
      <c r="B110" s="11" t="s">
        <v>88</v>
      </c>
      <c r="C110" s="12"/>
      <c r="D110" s="12" t="s">
        <v>588</v>
      </c>
      <c r="E110" s="13"/>
      <c r="F110" s="14"/>
      <c r="G110" s="18" t="s">
        <v>580</v>
      </c>
      <c r="H110" s="13" t="s">
        <v>433</v>
      </c>
      <c r="I110" s="18" t="s">
        <v>387</v>
      </c>
      <c r="J110" s="13" t="s">
        <v>584</v>
      </c>
      <c r="K110" s="10">
        <v>600</v>
      </c>
      <c r="L110" s="10">
        <v>150</v>
      </c>
      <c r="M110" s="13" t="s">
        <v>426</v>
      </c>
      <c r="N110" s="13" t="s">
        <v>589</v>
      </c>
      <c r="O110" s="13" t="s">
        <v>428</v>
      </c>
      <c r="P110" s="17">
        <f>SUM(Q110:AX110)</f>
        <v>0</v>
      </c>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2"/>
    </row>
    <row r="111" spans="1:51" ht="18.75" customHeight="1">
      <c r="A111" s="2">
        <v>106</v>
      </c>
      <c r="B111" s="11" t="s">
        <v>88</v>
      </c>
      <c r="C111" s="12"/>
      <c r="D111" s="12" t="s">
        <v>590</v>
      </c>
      <c r="E111" s="13"/>
      <c r="F111" s="14"/>
      <c r="G111" s="18" t="s">
        <v>580</v>
      </c>
      <c r="H111" s="13" t="s">
        <v>436</v>
      </c>
      <c r="I111" s="18" t="s">
        <v>387</v>
      </c>
      <c r="J111" s="13" t="s">
        <v>584</v>
      </c>
      <c r="K111" s="10">
        <v>900</v>
      </c>
      <c r="L111" s="10">
        <v>150</v>
      </c>
      <c r="M111" s="13" t="s">
        <v>426</v>
      </c>
      <c r="N111" s="13" t="s">
        <v>591</v>
      </c>
      <c r="O111" s="13" t="s">
        <v>428</v>
      </c>
      <c r="P111" s="17">
        <f>SUM(Q111:AX111)</f>
        <v>0</v>
      </c>
      <c r="Q111" s="17"/>
      <c r="R111" s="17">
        <f>(T26/6)*3</f>
        <v>0</v>
      </c>
      <c r="S111" s="17"/>
      <c r="T111" s="17"/>
      <c r="U111" s="17"/>
      <c r="V111" s="17">
        <f>(T26/6)*3</f>
        <v>0</v>
      </c>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2"/>
    </row>
    <row r="112" spans="1:51" ht="18.75" customHeight="1">
      <c r="A112" s="4">
        <v>107</v>
      </c>
      <c r="B112" s="21" t="s">
        <v>88</v>
      </c>
      <c r="C112" s="3"/>
      <c r="D112" s="1"/>
      <c r="E112" s="2"/>
      <c r="F112" s="56" t="s">
        <v>592</v>
      </c>
      <c r="G112" s="57" t="s">
        <v>592</v>
      </c>
      <c r="H112" s="2"/>
      <c r="I112" s="22"/>
      <c r="J112" s="2"/>
      <c r="K112" s="23">
        <v>0</v>
      </c>
      <c r="L112" s="23">
        <v>0</v>
      </c>
      <c r="M112" s="2"/>
      <c r="N112" s="2"/>
      <c r="O112" s="2"/>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1"/>
    </row>
    <row r="113" spans="1:51" ht="42.75" customHeight="1">
      <c r="A113" s="2">
        <v>108</v>
      </c>
      <c r="B113" s="21" t="s">
        <v>88</v>
      </c>
      <c r="C113" s="3"/>
      <c r="D113" s="1"/>
      <c r="E113" s="2"/>
      <c r="F113" s="1"/>
      <c r="G113" s="26" t="s">
        <v>367</v>
      </c>
      <c r="H113" s="2"/>
      <c r="I113" s="22"/>
      <c r="J113" s="2"/>
      <c r="K113" s="23">
        <v>0</v>
      </c>
      <c r="L113" s="23">
        <v>0</v>
      </c>
      <c r="M113" s="2"/>
      <c r="N113" s="2"/>
      <c r="O113" s="2"/>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1"/>
    </row>
    <row r="114" spans="1:51" ht="30.75" customHeight="1">
      <c r="A114" s="4">
        <v>109</v>
      </c>
      <c r="B114" s="21" t="s">
        <v>88</v>
      </c>
      <c r="C114" s="3"/>
      <c r="D114" s="1"/>
      <c r="E114" s="2"/>
      <c r="F114" s="1"/>
      <c r="G114" s="26" t="s">
        <v>368</v>
      </c>
      <c r="H114" s="2"/>
      <c r="I114" s="22"/>
      <c r="J114" s="2"/>
      <c r="K114" s="23">
        <v>0</v>
      </c>
      <c r="L114" s="23">
        <v>0</v>
      </c>
      <c r="M114" s="2"/>
      <c r="N114" s="2"/>
      <c r="O114" s="2"/>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1"/>
    </row>
    <row r="115" spans="1:51" ht="30.75" customHeight="1">
      <c r="A115" s="2">
        <v>110</v>
      </c>
      <c r="B115" s="21" t="s">
        <v>88</v>
      </c>
      <c r="C115" s="3"/>
      <c r="D115" s="1"/>
      <c r="E115" s="2"/>
      <c r="F115" s="1"/>
      <c r="G115" s="26" t="s">
        <v>369</v>
      </c>
      <c r="H115" s="2"/>
      <c r="I115" s="22"/>
      <c r="J115" s="2"/>
      <c r="K115" s="23">
        <v>0</v>
      </c>
      <c r="L115" s="23">
        <v>0</v>
      </c>
      <c r="M115" s="2"/>
      <c r="N115" s="2"/>
      <c r="O115" s="2"/>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1"/>
    </row>
    <row r="116" spans="1:51" ht="30.75" customHeight="1">
      <c r="A116" s="4">
        <v>111</v>
      </c>
      <c r="B116" s="21" t="s">
        <v>88</v>
      </c>
      <c r="C116" s="3"/>
      <c r="D116" s="1"/>
      <c r="E116" s="2"/>
      <c r="F116" s="1"/>
      <c r="G116" s="26" t="s">
        <v>370</v>
      </c>
      <c r="H116" s="2"/>
      <c r="I116" s="22"/>
      <c r="J116" s="2"/>
      <c r="K116" s="23">
        <v>0</v>
      </c>
      <c r="L116" s="23">
        <v>0</v>
      </c>
      <c r="M116" s="2"/>
      <c r="N116" s="2"/>
      <c r="O116" s="2"/>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1"/>
    </row>
    <row r="117" spans="1:51" ht="30.75" customHeight="1">
      <c r="A117" s="2">
        <v>112</v>
      </c>
      <c r="B117" s="21" t="s">
        <v>88</v>
      </c>
      <c r="C117" s="3"/>
      <c r="D117" s="1"/>
      <c r="E117" s="2"/>
      <c r="F117" s="1"/>
      <c r="G117" s="26" t="s">
        <v>371</v>
      </c>
      <c r="H117" s="2"/>
      <c r="I117" s="22"/>
      <c r="J117" s="2"/>
      <c r="K117" s="23">
        <v>0</v>
      </c>
      <c r="L117" s="23">
        <v>0</v>
      </c>
      <c r="M117" s="2"/>
      <c r="N117" s="2"/>
      <c r="O117" s="2"/>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1"/>
    </row>
    <row r="118" spans="1:51" ht="18.75" customHeight="1">
      <c r="A118" s="4">
        <v>113</v>
      </c>
      <c r="B118" s="21" t="s">
        <v>88</v>
      </c>
      <c r="C118" s="3"/>
      <c r="D118" s="1"/>
      <c r="E118" s="2"/>
      <c r="F118" s="1"/>
      <c r="G118" s="26" t="s">
        <v>372</v>
      </c>
      <c r="H118" s="2"/>
      <c r="I118" s="22"/>
      <c r="J118" s="2"/>
      <c r="K118" s="23">
        <v>0</v>
      </c>
      <c r="L118" s="23">
        <v>0</v>
      </c>
      <c r="M118" s="2"/>
      <c r="N118" s="2"/>
      <c r="O118" s="2"/>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1"/>
    </row>
    <row r="119" spans="1:51" ht="30.75" customHeight="1">
      <c r="A119" s="2">
        <v>114</v>
      </c>
      <c r="B119" s="21" t="s">
        <v>88</v>
      </c>
      <c r="C119" s="3"/>
      <c r="D119" s="1"/>
      <c r="E119" s="2"/>
      <c r="F119" s="1"/>
      <c r="G119" s="26" t="s">
        <v>373</v>
      </c>
      <c r="H119" s="2"/>
      <c r="I119" s="22"/>
      <c r="J119" s="2"/>
      <c r="K119" s="23">
        <v>0</v>
      </c>
      <c r="L119" s="23">
        <v>0</v>
      </c>
      <c r="M119" s="2"/>
      <c r="N119" s="2"/>
      <c r="O119" s="2"/>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1"/>
    </row>
    <row r="120" spans="1:51" ht="30.75" customHeight="1">
      <c r="A120" s="4">
        <v>115</v>
      </c>
      <c r="B120" s="21" t="s">
        <v>88</v>
      </c>
      <c r="C120" s="3"/>
      <c r="D120" s="1"/>
      <c r="E120" s="2"/>
      <c r="F120" s="1"/>
      <c r="G120" s="26" t="s">
        <v>375</v>
      </c>
      <c r="H120" s="2"/>
      <c r="I120" s="22"/>
      <c r="J120" s="2"/>
      <c r="K120" s="23">
        <v>0</v>
      </c>
      <c r="L120" s="23">
        <v>0</v>
      </c>
      <c r="M120" s="2"/>
      <c r="N120" s="2"/>
      <c r="O120" s="2"/>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1"/>
    </row>
    <row r="121" spans="1:51" ht="30.75" customHeight="1">
      <c r="A121" s="2">
        <v>116</v>
      </c>
      <c r="B121" s="21" t="s">
        <v>88</v>
      </c>
      <c r="C121" s="3"/>
      <c r="D121" s="1"/>
      <c r="E121" s="2"/>
      <c r="F121" s="1"/>
      <c r="G121" s="26" t="s">
        <v>376</v>
      </c>
      <c r="H121" s="2"/>
      <c r="I121" s="22"/>
      <c r="J121" s="2"/>
      <c r="K121" s="23">
        <v>0</v>
      </c>
      <c r="L121" s="23">
        <v>0</v>
      </c>
      <c r="M121" s="2"/>
      <c r="N121" s="2"/>
      <c r="O121" s="2"/>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1"/>
    </row>
    <row r="122" spans="1:51" ht="18.75" customHeight="1">
      <c r="A122" s="4">
        <v>117</v>
      </c>
      <c r="B122" s="21" t="s">
        <v>88</v>
      </c>
      <c r="C122" s="3"/>
      <c r="D122" s="1"/>
      <c r="E122" s="2"/>
      <c r="F122" s="1"/>
      <c r="G122" s="26" t="s">
        <v>377</v>
      </c>
      <c r="H122" s="2"/>
      <c r="I122" s="22"/>
      <c r="J122" s="2"/>
      <c r="K122" s="23">
        <v>0</v>
      </c>
      <c r="L122" s="23">
        <v>0</v>
      </c>
      <c r="M122" s="2"/>
      <c r="N122" s="2"/>
      <c r="O122" s="2"/>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1"/>
    </row>
    <row r="123" spans="1:51" ht="18.75" customHeight="1">
      <c r="A123" s="2">
        <v>118</v>
      </c>
      <c r="B123" s="21" t="s">
        <v>88</v>
      </c>
      <c r="C123" s="3"/>
      <c r="D123" s="1"/>
      <c r="E123" s="2"/>
      <c r="F123" s="1"/>
      <c r="G123" s="26" t="s">
        <v>378</v>
      </c>
      <c r="H123" s="2"/>
      <c r="I123" s="22"/>
      <c r="J123" s="2"/>
      <c r="K123" s="23">
        <v>0</v>
      </c>
      <c r="L123" s="23">
        <v>0</v>
      </c>
      <c r="M123" s="2"/>
      <c r="N123" s="2"/>
      <c r="O123" s="2"/>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1"/>
    </row>
    <row r="124" spans="1:51" ht="18.75" customHeight="1">
      <c r="A124" s="4">
        <v>119</v>
      </c>
      <c r="B124" s="21" t="s">
        <v>88</v>
      </c>
      <c r="C124" s="3"/>
      <c r="D124" s="1"/>
      <c r="E124" s="2"/>
      <c r="F124" s="1"/>
      <c r="G124" s="26" t="s">
        <v>593</v>
      </c>
      <c r="H124" s="2"/>
      <c r="I124" s="22"/>
      <c r="J124" s="2"/>
      <c r="K124" s="23">
        <v>0</v>
      </c>
      <c r="L124" s="23">
        <v>0</v>
      </c>
      <c r="M124" s="2"/>
      <c r="N124" s="2"/>
      <c r="O124" s="2"/>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1"/>
    </row>
    <row r="125" spans="1:51" ht="18.75" customHeight="1">
      <c r="A125" s="2">
        <v>120</v>
      </c>
      <c r="B125" s="5" t="s">
        <v>88</v>
      </c>
      <c r="C125" s="6"/>
      <c r="D125" s="6" t="s">
        <v>594</v>
      </c>
      <c r="E125" s="4"/>
      <c r="F125" s="6" t="s">
        <v>381</v>
      </c>
      <c r="G125" s="29" t="s">
        <v>382</v>
      </c>
      <c r="H125" s="4"/>
      <c r="I125" s="7"/>
      <c r="J125" s="4"/>
      <c r="K125" s="19">
        <v>0</v>
      </c>
      <c r="L125" s="19">
        <v>0</v>
      </c>
      <c r="M125" s="4"/>
      <c r="N125" s="4"/>
      <c r="O125" s="4"/>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9"/>
    </row>
    <row r="126" spans="1:51" ht="18.75" customHeight="1">
      <c r="A126" s="4">
        <v>121</v>
      </c>
      <c r="B126" s="21" t="s">
        <v>88</v>
      </c>
      <c r="C126" s="3"/>
      <c r="D126" s="1"/>
      <c r="E126" s="2"/>
      <c r="F126" s="1"/>
      <c r="G126" s="26" t="s">
        <v>383</v>
      </c>
      <c r="H126" s="2"/>
      <c r="I126" s="22"/>
      <c r="J126" s="2"/>
      <c r="K126" s="23">
        <v>0</v>
      </c>
      <c r="L126" s="23">
        <v>0</v>
      </c>
      <c r="M126" s="2"/>
      <c r="N126" s="2"/>
      <c r="O126" s="2"/>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1"/>
    </row>
    <row r="127" spans="1:51" ht="18.75" customHeight="1">
      <c r="A127" s="2">
        <v>122</v>
      </c>
      <c r="B127" s="11" t="s">
        <v>88</v>
      </c>
      <c r="C127" s="12"/>
      <c r="D127" s="12" t="s">
        <v>595</v>
      </c>
      <c r="E127" s="13"/>
      <c r="F127" s="14"/>
      <c r="G127" s="18" t="s">
        <v>385</v>
      </c>
      <c r="H127" s="13" t="s">
        <v>386</v>
      </c>
      <c r="I127" s="18" t="s">
        <v>596</v>
      </c>
      <c r="J127" s="13" t="s">
        <v>388</v>
      </c>
      <c r="K127" s="10">
        <v>150</v>
      </c>
      <c r="L127" s="10">
        <v>150</v>
      </c>
      <c r="M127" s="13" t="s">
        <v>389</v>
      </c>
      <c r="N127" s="13" t="s">
        <v>597</v>
      </c>
      <c r="O127" s="13" t="s">
        <v>109</v>
      </c>
      <c r="P127" s="17">
        <f>SUM(Q127:AX127)</f>
        <v>600</v>
      </c>
      <c r="Q127" s="17"/>
      <c r="R127" s="17"/>
      <c r="S127" s="17"/>
      <c r="T127" s="17"/>
      <c r="U127" s="17"/>
      <c r="V127" s="17"/>
      <c r="W127" s="17"/>
      <c r="X127" s="17"/>
      <c r="Y127" s="17"/>
      <c r="Z127" s="17"/>
      <c r="AA127" s="17"/>
      <c r="AB127" s="17"/>
      <c r="AC127" s="17"/>
      <c r="AD127" s="17"/>
      <c r="AE127" s="17"/>
      <c r="AF127" s="17"/>
      <c r="AG127" s="17">
        <f>1.2*2*100</f>
        <v>240</v>
      </c>
      <c r="AH127" s="17">
        <f>1.2*2*150</f>
        <v>360</v>
      </c>
      <c r="AI127" s="17"/>
      <c r="AJ127" s="17"/>
      <c r="AK127" s="17"/>
      <c r="AL127" s="17"/>
      <c r="AM127" s="17"/>
      <c r="AN127" s="17"/>
      <c r="AO127" s="17"/>
      <c r="AP127" s="17"/>
      <c r="AQ127" s="17"/>
      <c r="AR127" s="17"/>
      <c r="AS127" s="17"/>
      <c r="AT127" s="17"/>
      <c r="AU127" s="17"/>
      <c r="AV127" s="17"/>
      <c r="AW127" s="17"/>
      <c r="AX127" s="17"/>
      <c r="AY127" s="12" t="s">
        <v>598</v>
      </c>
    </row>
    <row r="128" spans="1:51" ht="18.75" customHeight="1">
      <c r="A128" s="4">
        <v>123</v>
      </c>
      <c r="B128" s="11" t="s">
        <v>88</v>
      </c>
      <c r="C128" s="12"/>
      <c r="D128" s="12" t="s">
        <v>599</v>
      </c>
      <c r="E128" s="13"/>
      <c r="F128" s="14"/>
      <c r="G128" s="18" t="s">
        <v>385</v>
      </c>
      <c r="H128" s="13" t="s">
        <v>392</v>
      </c>
      <c r="I128" s="18" t="s">
        <v>596</v>
      </c>
      <c r="J128" s="13" t="s">
        <v>388</v>
      </c>
      <c r="K128" s="10">
        <v>300</v>
      </c>
      <c r="L128" s="10">
        <v>150</v>
      </c>
      <c r="M128" s="13" t="s">
        <v>389</v>
      </c>
      <c r="N128" s="13" t="s">
        <v>600</v>
      </c>
      <c r="O128" s="13" t="s">
        <v>109</v>
      </c>
      <c r="P128" s="17">
        <f>SUM(Q128:AX128)</f>
        <v>161.1</v>
      </c>
      <c r="Q128" s="17"/>
      <c r="R128" s="17"/>
      <c r="S128" s="17"/>
      <c r="T128" s="17"/>
      <c r="U128" s="17"/>
      <c r="V128" s="17"/>
      <c r="W128" s="17"/>
      <c r="X128" s="17"/>
      <c r="Y128" s="17"/>
      <c r="Z128" s="17"/>
      <c r="AA128" s="17"/>
      <c r="AB128" s="17"/>
      <c r="AC128" s="17"/>
      <c r="AD128" s="17"/>
      <c r="AE128" s="17"/>
      <c r="AF128" s="17"/>
      <c r="AG128" s="17">
        <f>1.2*47.5</f>
        <v>57</v>
      </c>
      <c r="AH128" s="17">
        <f>1.2*86.75</f>
        <v>104.1</v>
      </c>
      <c r="AI128" s="17"/>
      <c r="AJ128" s="17"/>
      <c r="AK128" s="17"/>
      <c r="AL128" s="17"/>
      <c r="AM128" s="17"/>
      <c r="AN128" s="17"/>
      <c r="AO128" s="17"/>
      <c r="AP128" s="17"/>
      <c r="AQ128" s="17"/>
      <c r="AR128" s="17"/>
      <c r="AS128" s="17"/>
      <c r="AT128" s="17"/>
      <c r="AU128" s="17"/>
      <c r="AV128" s="17"/>
      <c r="AW128" s="17"/>
      <c r="AX128" s="17"/>
      <c r="AY128" s="12"/>
    </row>
    <row r="129" spans="1:51" ht="18.75" customHeight="1">
      <c r="A129" s="2">
        <v>124</v>
      </c>
      <c r="B129" s="11" t="s">
        <v>88</v>
      </c>
      <c r="C129" s="12"/>
      <c r="D129" s="12" t="s">
        <v>601</v>
      </c>
      <c r="E129" s="13"/>
      <c r="F129" s="14"/>
      <c r="G129" s="18" t="s">
        <v>385</v>
      </c>
      <c r="H129" s="13" t="s">
        <v>602</v>
      </c>
      <c r="I129" s="18" t="s">
        <v>596</v>
      </c>
      <c r="J129" s="13" t="s">
        <v>388</v>
      </c>
      <c r="K129" s="10">
        <v>450</v>
      </c>
      <c r="L129" s="10">
        <v>150</v>
      </c>
      <c r="M129" s="13" t="s">
        <v>389</v>
      </c>
      <c r="N129" s="13" t="s">
        <v>603</v>
      </c>
      <c r="O129" s="13" t="s">
        <v>109</v>
      </c>
      <c r="P129" s="17">
        <f>SUM(Q129:AX129)</f>
        <v>0</v>
      </c>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2"/>
    </row>
    <row r="130" spans="1:51" ht="18.75" customHeight="1">
      <c r="A130" s="4">
        <v>125</v>
      </c>
      <c r="B130" s="11" t="s">
        <v>88</v>
      </c>
      <c r="C130" s="12"/>
      <c r="D130" s="12" t="s">
        <v>604</v>
      </c>
      <c r="E130" s="13"/>
      <c r="F130" s="14"/>
      <c r="G130" s="18" t="s">
        <v>385</v>
      </c>
      <c r="H130" s="13" t="s">
        <v>395</v>
      </c>
      <c r="I130" s="18" t="s">
        <v>596</v>
      </c>
      <c r="J130" s="13" t="s">
        <v>388</v>
      </c>
      <c r="K130" s="10">
        <v>600</v>
      </c>
      <c r="L130" s="10">
        <v>150</v>
      </c>
      <c r="M130" s="13" t="s">
        <v>389</v>
      </c>
      <c r="N130" s="13" t="s">
        <v>605</v>
      </c>
      <c r="O130" s="13" t="s">
        <v>109</v>
      </c>
      <c r="P130" s="17">
        <f>SUM(Q130:AX130)</f>
        <v>50</v>
      </c>
      <c r="Q130" s="17"/>
      <c r="R130" s="17"/>
      <c r="S130" s="17"/>
      <c r="T130" s="17"/>
      <c r="U130" s="17"/>
      <c r="V130" s="17"/>
      <c r="W130" s="17"/>
      <c r="X130" s="17">
        <v>50</v>
      </c>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2"/>
    </row>
    <row r="131" spans="1:51" ht="18.75" customHeight="1">
      <c r="A131" s="2">
        <v>126</v>
      </c>
      <c r="B131" s="11" t="s">
        <v>88</v>
      </c>
      <c r="C131" s="12"/>
      <c r="D131" s="12" t="s">
        <v>606</v>
      </c>
      <c r="E131" s="13"/>
      <c r="F131" s="14"/>
      <c r="G131" s="18" t="s">
        <v>385</v>
      </c>
      <c r="H131" s="13" t="s">
        <v>398</v>
      </c>
      <c r="I131" s="18" t="s">
        <v>596</v>
      </c>
      <c r="J131" s="13" t="s">
        <v>388</v>
      </c>
      <c r="K131" s="10">
        <v>900</v>
      </c>
      <c r="L131" s="10">
        <v>150</v>
      </c>
      <c r="M131" s="13" t="s">
        <v>389</v>
      </c>
      <c r="N131" s="13" t="s">
        <v>607</v>
      </c>
      <c r="O131" s="13" t="s">
        <v>109</v>
      </c>
      <c r="P131" s="17">
        <f>SUM(Q131:AX131)</f>
        <v>0</v>
      </c>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2"/>
    </row>
    <row r="132" spans="1:51" ht="30.75" customHeight="1">
      <c r="A132" s="4">
        <v>127</v>
      </c>
      <c r="B132" s="5" t="s">
        <v>88</v>
      </c>
      <c r="C132" s="6"/>
      <c r="D132" s="6" t="s">
        <v>608</v>
      </c>
      <c r="E132" s="4"/>
      <c r="F132" s="6" t="s">
        <v>419</v>
      </c>
      <c r="G132" s="29" t="s">
        <v>609</v>
      </c>
      <c r="H132" s="4"/>
      <c r="I132" s="7"/>
      <c r="J132" s="4"/>
      <c r="K132" s="19">
        <v>0</v>
      </c>
      <c r="L132" s="19">
        <v>0</v>
      </c>
      <c r="M132" s="4"/>
      <c r="N132" s="4"/>
      <c r="O132" s="4"/>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9"/>
    </row>
    <row r="133" spans="1:51" ht="18.75" customHeight="1">
      <c r="A133" s="2">
        <v>128</v>
      </c>
      <c r="B133" s="21" t="s">
        <v>88</v>
      </c>
      <c r="C133" s="3"/>
      <c r="D133" s="1"/>
      <c r="E133" s="2"/>
      <c r="F133" s="1"/>
      <c r="G133" s="26" t="s">
        <v>421</v>
      </c>
      <c r="H133" s="2"/>
      <c r="I133" s="22"/>
      <c r="J133" s="2"/>
      <c r="K133" s="23">
        <v>0</v>
      </c>
      <c r="L133" s="23">
        <v>0</v>
      </c>
      <c r="M133" s="2"/>
      <c r="N133" s="2"/>
      <c r="O133" s="2"/>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1"/>
    </row>
    <row r="134" spans="1:51" ht="30.75" customHeight="1">
      <c r="A134" s="4">
        <v>129</v>
      </c>
      <c r="B134" s="11" t="s">
        <v>88</v>
      </c>
      <c r="C134" s="12"/>
      <c r="D134" s="12" t="s">
        <v>610</v>
      </c>
      <c r="E134" s="13"/>
      <c r="F134" s="14"/>
      <c r="G134" s="18" t="s">
        <v>611</v>
      </c>
      <c r="H134" s="13" t="s">
        <v>424</v>
      </c>
      <c r="I134" s="18" t="s">
        <v>596</v>
      </c>
      <c r="J134" s="13" t="s">
        <v>425</v>
      </c>
      <c r="K134" s="10">
        <v>150</v>
      </c>
      <c r="L134" s="10">
        <v>150</v>
      </c>
      <c r="M134" s="13" t="s">
        <v>426</v>
      </c>
      <c r="N134" s="13" t="s">
        <v>612</v>
      </c>
      <c r="O134" s="13" t="s">
        <v>428</v>
      </c>
      <c r="P134" s="17">
        <f>SUM(Q134:AX134)</f>
        <v>0</v>
      </c>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2"/>
    </row>
    <row r="135" spans="1:51" ht="30.75" customHeight="1">
      <c r="A135" s="2">
        <v>130</v>
      </c>
      <c r="B135" s="11" t="s">
        <v>88</v>
      </c>
      <c r="C135" s="12"/>
      <c r="D135" s="12" t="s">
        <v>613</v>
      </c>
      <c r="E135" s="13"/>
      <c r="F135" s="14"/>
      <c r="G135" s="18" t="s">
        <v>611</v>
      </c>
      <c r="H135" s="13" t="s">
        <v>430</v>
      </c>
      <c r="I135" s="18" t="s">
        <v>596</v>
      </c>
      <c r="J135" s="13" t="s">
        <v>425</v>
      </c>
      <c r="K135" s="10">
        <v>300</v>
      </c>
      <c r="L135" s="10">
        <v>150</v>
      </c>
      <c r="M135" s="13" t="s">
        <v>426</v>
      </c>
      <c r="N135" s="13" t="s">
        <v>614</v>
      </c>
      <c r="O135" s="13" t="s">
        <v>428</v>
      </c>
      <c r="P135" s="17">
        <f>SUM(Q135:AX135)</f>
        <v>10</v>
      </c>
      <c r="Q135" s="17"/>
      <c r="R135" s="17"/>
      <c r="S135" s="17"/>
      <c r="T135" s="17"/>
      <c r="U135" s="17"/>
      <c r="V135" s="17"/>
      <c r="W135" s="17"/>
      <c r="X135" s="17"/>
      <c r="Y135" s="17"/>
      <c r="Z135" s="17"/>
      <c r="AA135" s="17"/>
      <c r="AB135" s="17"/>
      <c r="AC135" s="17"/>
      <c r="AD135" s="17"/>
      <c r="AE135" s="17"/>
      <c r="AF135" s="17"/>
      <c r="AG135" s="17">
        <v>5</v>
      </c>
      <c r="AH135" s="17">
        <v>5</v>
      </c>
      <c r="AI135" s="17"/>
      <c r="AJ135" s="17"/>
      <c r="AK135" s="17"/>
      <c r="AL135" s="17"/>
      <c r="AM135" s="17"/>
      <c r="AN135" s="17"/>
      <c r="AO135" s="17"/>
      <c r="AP135" s="17"/>
      <c r="AQ135" s="17"/>
      <c r="AR135" s="17"/>
      <c r="AS135" s="17"/>
      <c r="AT135" s="17"/>
      <c r="AU135" s="17"/>
      <c r="AV135" s="17"/>
      <c r="AW135" s="17"/>
      <c r="AX135" s="17"/>
      <c r="AY135" s="12"/>
    </row>
    <row r="136" spans="1:51" ht="30.75" customHeight="1">
      <c r="A136" s="4">
        <v>131</v>
      </c>
      <c r="B136" s="11" t="s">
        <v>88</v>
      </c>
      <c r="C136" s="12"/>
      <c r="D136" s="12" t="s">
        <v>615</v>
      </c>
      <c r="E136" s="13"/>
      <c r="F136" s="14"/>
      <c r="G136" s="18" t="s">
        <v>611</v>
      </c>
      <c r="H136" s="13" t="s">
        <v>433</v>
      </c>
      <c r="I136" s="18" t="s">
        <v>596</v>
      </c>
      <c r="J136" s="13" t="s">
        <v>425</v>
      </c>
      <c r="K136" s="10">
        <v>600</v>
      </c>
      <c r="L136" s="10">
        <v>150</v>
      </c>
      <c r="M136" s="13" t="s">
        <v>426</v>
      </c>
      <c r="N136" s="13" t="s">
        <v>616</v>
      </c>
      <c r="O136" s="13" t="s">
        <v>428</v>
      </c>
      <c r="P136" s="17">
        <f>SUM(Q136:AX136)</f>
        <v>5</v>
      </c>
      <c r="Q136" s="17"/>
      <c r="R136" s="17"/>
      <c r="S136" s="17"/>
      <c r="T136" s="17"/>
      <c r="U136" s="17"/>
      <c r="V136" s="17"/>
      <c r="W136" s="17"/>
      <c r="X136" s="17">
        <v>5</v>
      </c>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2"/>
    </row>
    <row r="137" spans="1:51" ht="30.75" customHeight="1">
      <c r="A137" s="2">
        <v>132</v>
      </c>
      <c r="B137" s="11" t="s">
        <v>88</v>
      </c>
      <c r="C137" s="12"/>
      <c r="D137" s="12" t="s">
        <v>617</v>
      </c>
      <c r="E137" s="13"/>
      <c r="F137" s="14"/>
      <c r="G137" s="18" t="s">
        <v>611</v>
      </c>
      <c r="H137" s="13" t="s">
        <v>436</v>
      </c>
      <c r="I137" s="18" t="s">
        <v>596</v>
      </c>
      <c r="J137" s="13" t="s">
        <v>425</v>
      </c>
      <c r="K137" s="10">
        <v>900</v>
      </c>
      <c r="L137" s="10">
        <v>150</v>
      </c>
      <c r="M137" s="13" t="s">
        <v>426</v>
      </c>
      <c r="N137" s="13" t="s">
        <v>618</v>
      </c>
      <c r="O137" s="13" t="s">
        <v>428</v>
      </c>
      <c r="P137" s="17">
        <f>SUM(Q137:AX137)</f>
        <v>0</v>
      </c>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2"/>
    </row>
    <row r="138" spans="1:51" ht="30.75" customHeight="1">
      <c r="A138" s="4">
        <v>133</v>
      </c>
      <c r="B138" s="11" t="s">
        <v>88</v>
      </c>
      <c r="C138" s="12"/>
      <c r="D138" s="12" t="s">
        <v>619</v>
      </c>
      <c r="E138" s="13"/>
      <c r="F138" s="14"/>
      <c r="G138" s="18" t="s">
        <v>611</v>
      </c>
      <c r="H138" s="13" t="s">
        <v>620</v>
      </c>
      <c r="I138" s="18" t="s">
        <v>596</v>
      </c>
      <c r="J138" s="13" t="s">
        <v>425</v>
      </c>
      <c r="K138" s="10">
        <v>450</v>
      </c>
      <c r="L138" s="10">
        <v>150</v>
      </c>
      <c r="M138" s="13" t="s">
        <v>621</v>
      </c>
      <c r="N138" s="13" t="s">
        <v>622</v>
      </c>
      <c r="O138" s="13" t="s">
        <v>428</v>
      </c>
      <c r="P138" s="17">
        <f>SUM(Q138:AX138)</f>
        <v>0</v>
      </c>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4"/>
    </row>
    <row r="139" spans="1:51" ht="18.75" customHeight="1">
      <c r="A139" s="2">
        <v>134</v>
      </c>
      <c r="B139" s="21" t="s">
        <v>88</v>
      </c>
      <c r="C139" s="3"/>
      <c r="D139" s="1"/>
      <c r="E139" s="2"/>
      <c r="F139" s="1"/>
      <c r="G139" s="26" t="s">
        <v>623</v>
      </c>
      <c r="H139" s="2"/>
      <c r="I139" s="22"/>
      <c r="J139" s="2"/>
      <c r="K139" s="23">
        <v>0</v>
      </c>
      <c r="L139" s="23">
        <v>0</v>
      </c>
      <c r="M139" s="2"/>
      <c r="N139" s="2"/>
      <c r="O139" s="2"/>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1"/>
    </row>
    <row r="140" spans="1:51" ht="30.75" customHeight="1">
      <c r="A140" s="4">
        <v>135</v>
      </c>
      <c r="B140" s="11" t="s">
        <v>88</v>
      </c>
      <c r="C140" s="12"/>
      <c r="D140" s="12" t="s">
        <v>624</v>
      </c>
      <c r="E140" s="13"/>
      <c r="F140" s="14"/>
      <c r="G140" s="18" t="s">
        <v>611</v>
      </c>
      <c r="H140" s="13" t="s">
        <v>430</v>
      </c>
      <c r="I140" s="18" t="s">
        <v>596</v>
      </c>
      <c r="J140" s="13" t="s">
        <v>625</v>
      </c>
      <c r="K140" s="10">
        <v>300</v>
      </c>
      <c r="L140" s="10">
        <v>150</v>
      </c>
      <c r="M140" s="13" t="s">
        <v>621</v>
      </c>
      <c r="N140" s="13" t="s">
        <v>626</v>
      </c>
      <c r="O140" s="13" t="s">
        <v>428</v>
      </c>
      <c r="P140" s="17">
        <f>SUM(Q140:AX140)</f>
        <v>10</v>
      </c>
      <c r="Q140" s="17"/>
      <c r="R140" s="17"/>
      <c r="S140" s="17"/>
      <c r="T140" s="17"/>
      <c r="U140" s="17"/>
      <c r="V140" s="17"/>
      <c r="W140" s="17"/>
      <c r="X140" s="17"/>
      <c r="Y140" s="17"/>
      <c r="Z140" s="17"/>
      <c r="AA140" s="17"/>
      <c r="AB140" s="17"/>
      <c r="AC140" s="17"/>
      <c r="AD140" s="17"/>
      <c r="AE140" s="17"/>
      <c r="AF140" s="17"/>
      <c r="AG140" s="17">
        <v>5</v>
      </c>
      <c r="AH140" s="17">
        <v>5</v>
      </c>
      <c r="AI140" s="17"/>
      <c r="AJ140" s="17"/>
      <c r="AK140" s="17"/>
      <c r="AL140" s="17"/>
      <c r="AM140" s="17"/>
      <c r="AN140" s="17"/>
      <c r="AO140" s="17"/>
      <c r="AP140" s="17"/>
      <c r="AQ140" s="17"/>
      <c r="AR140" s="17"/>
      <c r="AS140" s="17"/>
      <c r="AT140" s="17"/>
      <c r="AU140" s="17"/>
      <c r="AV140" s="17"/>
      <c r="AW140" s="17"/>
      <c r="AX140" s="17"/>
      <c r="AY140" s="14"/>
    </row>
    <row r="141" spans="1:51" ht="30.75" customHeight="1">
      <c r="A141" s="2">
        <v>136</v>
      </c>
      <c r="B141" s="11" t="s">
        <v>88</v>
      </c>
      <c r="C141" s="12"/>
      <c r="D141" s="12" t="s">
        <v>627</v>
      </c>
      <c r="E141" s="13"/>
      <c r="F141" s="14"/>
      <c r="G141" s="18" t="s">
        <v>611</v>
      </c>
      <c r="H141" s="13" t="s">
        <v>433</v>
      </c>
      <c r="I141" s="18" t="s">
        <v>596</v>
      </c>
      <c r="J141" s="13" t="s">
        <v>625</v>
      </c>
      <c r="K141" s="10">
        <v>600</v>
      </c>
      <c r="L141" s="10">
        <v>150</v>
      </c>
      <c r="M141" s="13" t="s">
        <v>621</v>
      </c>
      <c r="N141" s="13" t="s">
        <v>628</v>
      </c>
      <c r="O141" s="13" t="s">
        <v>428</v>
      </c>
      <c r="P141" s="17">
        <f>SUM(Q141:AX141)</f>
        <v>5</v>
      </c>
      <c r="Q141" s="17"/>
      <c r="R141" s="17"/>
      <c r="S141" s="17"/>
      <c r="T141" s="17"/>
      <c r="U141" s="17"/>
      <c r="V141" s="17"/>
      <c r="W141" s="17"/>
      <c r="X141" s="17">
        <v>5</v>
      </c>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4"/>
    </row>
    <row r="142" spans="1:51" ht="18.75" customHeight="1">
      <c r="A142" s="4">
        <v>137</v>
      </c>
      <c r="B142" s="5" t="s">
        <v>88</v>
      </c>
      <c r="C142" s="6"/>
      <c r="D142" s="6" t="s">
        <v>629</v>
      </c>
      <c r="E142" s="4"/>
      <c r="F142" s="6" t="s">
        <v>439</v>
      </c>
      <c r="G142" s="29" t="s">
        <v>630</v>
      </c>
      <c r="H142" s="4"/>
      <c r="I142" s="7"/>
      <c r="J142" s="4"/>
      <c r="K142" s="19">
        <v>0</v>
      </c>
      <c r="L142" s="19">
        <v>0</v>
      </c>
      <c r="M142" s="4"/>
      <c r="N142" s="4"/>
      <c r="O142" s="4"/>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9"/>
    </row>
    <row r="143" spans="1:51" ht="18.75" customHeight="1">
      <c r="A143" s="2">
        <v>138</v>
      </c>
      <c r="B143" s="21" t="s">
        <v>88</v>
      </c>
      <c r="C143" s="3"/>
      <c r="D143" s="1"/>
      <c r="E143" s="2"/>
      <c r="F143" s="1"/>
      <c r="G143" s="26" t="s">
        <v>623</v>
      </c>
      <c r="H143" s="2"/>
      <c r="I143" s="22"/>
      <c r="J143" s="2"/>
      <c r="K143" s="23">
        <v>0</v>
      </c>
      <c r="L143" s="23">
        <v>0</v>
      </c>
      <c r="M143" s="2"/>
      <c r="N143" s="2"/>
      <c r="O143" s="2"/>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1"/>
    </row>
    <row r="144" spans="1:51" ht="30.75" customHeight="1">
      <c r="A144" s="4">
        <v>139</v>
      </c>
      <c r="B144" s="11" t="s">
        <v>88</v>
      </c>
      <c r="C144" s="12"/>
      <c r="D144" s="12" t="s">
        <v>631</v>
      </c>
      <c r="E144" s="13"/>
      <c r="F144" s="14"/>
      <c r="G144" s="18" t="s">
        <v>632</v>
      </c>
      <c r="H144" s="13" t="s">
        <v>430</v>
      </c>
      <c r="I144" s="18" t="s">
        <v>596</v>
      </c>
      <c r="J144" s="13" t="s">
        <v>443</v>
      </c>
      <c r="K144" s="10">
        <v>300</v>
      </c>
      <c r="L144" s="10">
        <v>150</v>
      </c>
      <c r="M144" s="13" t="s">
        <v>426</v>
      </c>
      <c r="N144" s="13" t="s">
        <v>633</v>
      </c>
      <c r="O144" s="13" t="s">
        <v>428</v>
      </c>
      <c r="P144" s="17">
        <f>SUM(Q144:AX144)</f>
        <v>10</v>
      </c>
      <c r="Q144" s="17"/>
      <c r="R144" s="17"/>
      <c r="S144" s="17"/>
      <c r="T144" s="17"/>
      <c r="U144" s="17"/>
      <c r="V144" s="17"/>
      <c r="W144" s="17"/>
      <c r="X144" s="17"/>
      <c r="Y144" s="17"/>
      <c r="Z144" s="17"/>
      <c r="AA144" s="17"/>
      <c r="AB144" s="17"/>
      <c r="AC144" s="17"/>
      <c r="AD144" s="17"/>
      <c r="AE144" s="17"/>
      <c r="AF144" s="17"/>
      <c r="AG144" s="17">
        <v>5</v>
      </c>
      <c r="AH144" s="17">
        <v>5</v>
      </c>
      <c r="AI144" s="17"/>
      <c r="AJ144" s="17"/>
      <c r="AK144" s="17"/>
      <c r="AL144" s="17"/>
      <c r="AM144" s="17"/>
      <c r="AN144" s="17"/>
      <c r="AO144" s="17"/>
      <c r="AP144" s="17"/>
      <c r="AQ144" s="17"/>
      <c r="AR144" s="17"/>
      <c r="AS144" s="17"/>
      <c r="AT144" s="17"/>
      <c r="AU144" s="17"/>
      <c r="AV144" s="17"/>
      <c r="AW144" s="17"/>
      <c r="AX144" s="17"/>
      <c r="AY144" s="12"/>
    </row>
    <row r="145" spans="1:51" ht="30.75" customHeight="1">
      <c r="A145" s="2">
        <v>140</v>
      </c>
      <c r="B145" s="11" t="s">
        <v>88</v>
      </c>
      <c r="C145" s="12"/>
      <c r="D145" s="12" t="s">
        <v>634</v>
      </c>
      <c r="E145" s="13"/>
      <c r="F145" s="14"/>
      <c r="G145" s="18" t="s">
        <v>632</v>
      </c>
      <c r="H145" s="13" t="s">
        <v>433</v>
      </c>
      <c r="I145" s="18" t="s">
        <v>596</v>
      </c>
      <c r="J145" s="13" t="s">
        <v>443</v>
      </c>
      <c r="K145" s="10">
        <v>600</v>
      </c>
      <c r="L145" s="10">
        <v>150</v>
      </c>
      <c r="M145" s="13" t="s">
        <v>426</v>
      </c>
      <c r="N145" s="13" t="s">
        <v>635</v>
      </c>
      <c r="O145" s="13" t="s">
        <v>428</v>
      </c>
      <c r="P145" s="17">
        <f>SUM(Q145:AX145)</f>
        <v>5</v>
      </c>
      <c r="Q145" s="17"/>
      <c r="R145" s="17"/>
      <c r="S145" s="17"/>
      <c r="T145" s="17"/>
      <c r="U145" s="17"/>
      <c r="V145" s="17"/>
      <c r="W145" s="17"/>
      <c r="X145" s="17">
        <v>5</v>
      </c>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2"/>
    </row>
    <row r="146" spans="1:51" ht="30.75" customHeight="1">
      <c r="A146" s="4">
        <v>141</v>
      </c>
      <c r="B146" s="11" t="s">
        <v>88</v>
      </c>
      <c r="C146" s="12"/>
      <c r="D146" s="12" t="s">
        <v>636</v>
      </c>
      <c r="E146" s="13"/>
      <c r="F146" s="14"/>
      <c r="G146" s="18" t="s">
        <v>632</v>
      </c>
      <c r="H146" s="13" t="s">
        <v>436</v>
      </c>
      <c r="I146" s="18" t="s">
        <v>596</v>
      </c>
      <c r="J146" s="13" t="s">
        <v>443</v>
      </c>
      <c r="K146" s="10">
        <v>900</v>
      </c>
      <c r="L146" s="10">
        <v>150</v>
      </c>
      <c r="M146" s="13" t="s">
        <v>426</v>
      </c>
      <c r="N146" s="13" t="s">
        <v>637</v>
      </c>
      <c r="O146" s="13" t="s">
        <v>428</v>
      </c>
      <c r="P146" s="17">
        <f>SUM(Q146:AX146)</f>
        <v>0</v>
      </c>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2"/>
    </row>
    <row r="147" spans="1:51" ht="18.75" customHeight="1">
      <c r="A147" s="2">
        <v>142</v>
      </c>
      <c r="B147" s="5" t="s">
        <v>88</v>
      </c>
      <c r="C147" s="6"/>
      <c r="D147" s="6" t="s">
        <v>638</v>
      </c>
      <c r="E147" s="4"/>
      <c r="F147" s="6" t="s">
        <v>485</v>
      </c>
      <c r="G147" s="29" t="s">
        <v>486</v>
      </c>
      <c r="H147" s="4"/>
      <c r="I147" s="7"/>
      <c r="J147" s="4"/>
      <c r="K147" s="19">
        <v>0</v>
      </c>
      <c r="L147" s="19">
        <v>0</v>
      </c>
      <c r="M147" s="4"/>
      <c r="N147" s="4"/>
      <c r="O147" s="4"/>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9"/>
    </row>
    <row r="148" spans="1:51" ht="30.75" customHeight="1">
      <c r="A148" s="4">
        <v>143</v>
      </c>
      <c r="B148" s="21" t="s">
        <v>88</v>
      </c>
      <c r="C148" s="3"/>
      <c r="D148" s="1"/>
      <c r="E148" s="2"/>
      <c r="F148" s="1"/>
      <c r="G148" s="26" t="s">
        <v>487</v>
      </c>
      <c r="H148" s="2"/>
      <c r="I148" s="22"/>
      <c r="J148" s="2"/>
      <c r="K148" s="23">
        <v>0</v>
      </c>
      <c r="L148" s="23">
        <v>0</v>
      </c>
      <c r="M148" s="2"/>
      <c r="N148" s="2"/>
      <c r="O148" s="2"/>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1"/>
    </row>
    <row r="149" spans="1:51" ht="18.75" customHeight="1">
      <c r="A149" s="2">
        <v>144</v>
      </c>
      <c r="B149" s="21" t="s">
        <v>88</v>
      </c>
      <c r="C149" s="3"/>
      <c r="D149" s="1"/>
      <c r="E149" s="2"/>
      <c r="F149" s="1"/>
      <c r="G149" s="26" t="s">
        <v>488</v>
      </c>
      <c r="H149" s="2"/>
      <c r="I149" s="22"/>
      <c r="J149" s="2"/>
      <c r="K149" s="23">
        <v>0</v>
      </c>
      <c r="L149" s="23">
        <v>0</v>
      </c>
      <c r="M149" s="2"/>
      <c r="N149" s="2"/>
      <c r="O149" s="2"/>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1"/>
    </row>
    <row r="150" spans="1:51" ht="18.75" customHeight="1">
      <c r="A150" s="4">
        <v>145</v>
      </c>
      <c r="B150" s="11" t="s">
        <v>88</v>
      </c>
      <c r="C150" s="12"/>
      <c r="D150" s="12" t="s">
        <v>639</v>
      </c>
      <c r="E150" s="13"/>
      <c r="F150" s="14"/>
      <c r="G150" s="18" t="s">
        <v>490</v>
      </c>
      <c r="H150" s="13" t="s">
        <v>433</v>
      </c>
      <c r="I150" s="18" t="s">
        <v>596</v>
      </c>
      <c r="J150" s="13" t="s">
        <v>491</v>
      </c>
      <c r="K150" s="10">
        <v>600</v>
      </c>
      <c r="L150" s="10">
        <v>150</v>
      </c>
      <c r="M150" s="13" t="s">
        <v>426</v>
      </c>
      <c r="N150" s="13" t="s">
        <v>640</v>
      </c>
      <c r="O150" s="13" t="s">
        <v>428</v>
      </c>
      <c r="P150" s="17">
        <f>SUM(Q150:AX150)</f>
        <v>5</v>
      </c>
      <c r="Q150" s="17"/>
      <c r="R150" s="17"/>
      <c r="S150" s="17"/>
      <c r="T150" s="17"/>
      <c r="U150" s="17"/>
      <c r="V150" s="17"/>
      <c r="W150" s="17"/>
      <c r="X150" s="17">
        <v>5</v>
      </c>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2"/>
    </row>
    <row r="151" spans="1:51" ht="18.75" customHeight="1">
      <c r="A151" s="2">
        <v>146</v>
      </c>
      <c r="B151" s="11" t="s">
        <v>88</v>
      </c>
      <c r="C151" s="12"/>
      <c r="D151" s="12" t="s">
        <v>641</v>
      </c>
      <c r="E151" s="13"/>
      <c r="F151" s="14"/>
      <c r="G151" s="18" t="s">
        <v>490</v>
      </c>
      <c r="H151" s="13" t="s">
        <v>430</v>
      </c>
      <c r="I151" s="18" t="s">
        <v>596</v>
      </c>
      <c r="J151" s="13" t="s">
        <v>491</v>
      </c>
      <c r="K151" s="10">
        <v>300</v>
      </c>
      <c r="L151" s="10">
        <v>150</v>
      </c>
      <c r="M151" s="13" t="s">
        <v>621</v>
      </c>
      <c r="N151" s="13" t="s">
        <v>642</v>
      </c>
      <c r="O151" s="13" t="s">
        <v>428</v>
      </c>
      <c r="P151" s="17">
        <f>SUM(Q151:AX151)</f>
        <v>10</v>
      </c>
      <c r="Q151" s="17"/>
      <c r="R151" s="17"/>
      <c r="S151" s="17"/>
      <c r="T151" s="17"/>
      <c r="U151" s="17"/>
      <c r="V151" s="17"/>
      <c r="W151" s="17"/>
      <c r="X151" s="17"/>
      <c r="Y151" s="17"/>
      <c r="Z151" s="17"/>
      <c r="AA151" s="17"/>
      <c r="AB151" s="17"/>
      <c r="AC151" s="17"/>
      <c r="AD151" s="17"/>
      <c r="AE151" s="17"/>
      <c r="AF151" s="17"/>
      <c r="AG151" s="17">
        <v>5</v>
      </c>
      <c r="AH151" s="17">
        <v>5</v>
      </c>
      <c r="AI151" s="17"/>
      <c r="AJ151" s="17"/>
      <c r="AK151" s="17"/>
      <c r="AL151" s="17"/>
      <c r="AM151" s="17"/>
      <c r="AN151" s="17"/>
      <c r="AO151" s="17"/>
      <c r="AP151" s="17"/>
      <c r="AQ151" s="17"/>
      <c r="AR151" s="17"/>
      <c r="AS151" s="17"/>
      <c r="AT151" s="17"/>
      <c r="AU151" s="17"/>
      <c r="AV151" s="17"/>
      <c r="AW151" s="17"/>
      <c r="AX151" s="17"/>
      <c r="AY151" s="14"/>
    </row>
    <row r="152" spans="1:51" ht="18.75" customHeight="1">
      <c r="A152" s="4">
        <v>147</v>
      </c>
      <c r="B152" s="11" t="s">
        <v>88</v>
      </c>
      <c r="C152" s="12"/>
      <c r="D152" s="12" t="s">
        <v>643</v>
      </c>
      <c r="E152" s="13"/>
      <c r="F152" s="14"/>
      <c r="G152" s="18" t="s">
        <v>490</v>
      </c>
      <c r="H152" s="13" t="s">
        <v>620</v>
      </c>
      <c r="I152" s="18" t="s">
        <v>596</v>
      </c>
      <c r="J152" s="13" t="s">
        <v>491</v>
      </c>
      <c r="K152" s="10">
        <v>450</v>
      </c>
      <c r="L152" s="10">
        <v>150</v>
      </c>
      <c r="M152" s="13" t="s">
        <v>621</v>
      </c>
      <c r="N152" s="13" t="s">
        <v>644</v>
      </c>
      <c r="O152" s="13" t="s">
        <v>428</v>
      </c>
      <c r="P152" s="17">
        <f>SUM(Q152:AX152)</f>
        <v>0</v>
      </c>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4"/>
    </row>
    <row r="153" spans="1:51" ht="18.75" customHeight="1">
      <c r="A153" s="2">
        <v>148</v>
      </c>
      <c r="B153" s="5" t="s">
        <v>88</v>
      </c>
      <c r="C153" s="6"/>
      <c r="D153" s="6" t="s">
        <v>645</v>
      </c>
      <c r="E153" s="4"/>
      <c r="F153" s="6" t="s">
        <v>505</v>
      </c>
      <c r="G153" s="29" t="s">
        <v>505</v>
      </c>
      <c r="H153" s="4"/>
      <c r="I153" s="7"/>
      <c r="J153" s="4"/>
      <c r="K153" s="19">
        <v>0</v>
      </c>
      <c r="L153" s="19">
        <v>0</v>
      </c>
      <c r="M153" s="4"/>
      <c r="N153" s="4"/>
      <c r="O153" s="4"/>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9"/>
    </row>
    <row r="154" spans="1:51" ht="30.75" customHeight="1">
      <c r="A154" s="4">
        <v>149</v>
      </c>
      <c r="B154" s="21" t="s">
        <v>88</v>
      </c>
      <c r="C154" s="3"/>
      <c r="D154" s="1"/>
      <c r="E154" s="2"/>
      <c r="F154" s="1"/>
      <c r="G154" s="26" t="s">
        <v>646</v>
      </c>
      <c r="H154" s="2"/>
      <c r="I154" s="22"/>
      <c r="J154" s="2"/>
      <c r="K154" s="23">
        <v>0</v>
      </c>
      <c r="L154" s="23">
        <v>0</v>
      </c>
      <c r="M154" s="2"/>
      <c r="N154" s="2"/>
      <c r="O154" s="2"/>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1"/>
    </row>
    <row r="155" spans="1:51" ht="18.75" customHeight="1">
      <c r="A155" s="2">
        <v>150</v>
      </c>
      <c r="B155" s="21" t="s">
        <v>88</v>
      </c>
      <c r="C155" s="3"/>
      <c r="D155" s="1"/>
      <c r="E155" s="2"/>
      <c r="F155" s="1"/>
      <c r="G155" s="26" t="s">
        <v>488</v>
      </c>
      <c r="H155" s="2"/>
      <c r="I155" s="22"/>
      <c r="J155" s="2"/>
      <c r="K155" s="23">
        <v>0</v>
      </c>
      <c r="L155" s="23">
        <v>0</v>
      </c>
      <c r="M155" s="2"/>
      <c r="N155" s="2"/>
      <c r="O155" s="2"/>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1"/>
    </row>
    <row r="156" spans="1:51" ht="30.75" customHeight="1">
      <c r="A156" s="4">
        <v>151</v>
      </c>
      <c r="B156" s="11" t="s">
        <v>88</v>
      </c>
      <c r="C156" s="12"/>
      <c r="D156" s="12" t="s">
        <v>647</v>
      </c>
      <c r="E156" s="13"/>
      <c r="F156" s="14"/>
      <c r="G156" s="18" t="s">
        <v>648</v>
      </c>
      <c r="H156" s="13" t="s">
        <v>508</v>
      </c>
      <c r="I156" s="18" t="s">
        <v>596</v>
      </c>
      <c r="J156" s="13" t="s">
        <v>649</v>
      </c>
      <c r="K156" s="28">
        <v>0</v>
      </c>
      <c r="L156" s="10">
        <v>150</v>
      </c>
      <c r="M156" s="13" t="s">
        <v>389</v>
      </c>
      <c r="N156" s="13" t="s">
        <v>650</v>
      </c>
      <c r="O156" s="13" t="s">
        <v>428</v>
      </c>
      <c r="P156" s="17">
        <f>SUM(Q156:AX156)</f>
        <v>0</v>
      </c>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2"/>
    </row>
    <row r="157" spans="1:51" ht="18.75" customHeight="1">
      <c r="A157" s="2">
        <v>152</v>
      </c>
      <c r="B157" s="5" t="s">
        <v>88</v>
      </c>
      <c r="C157" s="6"/>
      <c r="D157" s="6" t="s">
        <v>651</v>
      </c>
      <c r="E157" s="4"/>
      <c r="F157" s="6" t="s">
        <v>512</v>
      </c>
      <c r="G157" s="29" t="s">
        <v>652</v>
      </c>
      <c r="H157" s="4"/>
      <c r="I157" s="7"/>
      <c r="J157" s="4"/>
      <c r="K157" s="19">
        <v>0</v>
      </c>
      <c r="L157" s="19">
        <v>0</v>
      </c>
      <c r="M157" s="4"/>
      <c r="N157" s="4"/>
      <c r="O157" s="4"/>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9"/>
    </row>
    <row r="158" spans="1:51" ht="30.75" customHeight="1">
      <c r="A158" s="4">
        <v>153</v>
      </c>
      <c r="B158" s="21" t="s">
        <v>88</v>
      </c>
      <c r="C158" s="3"/>
      <c r="D158" s="1"/>
      <c r="E158" s="2"/>
      <c r="F158" s="1"/>
      <c r="G158" s="26" t="s">
        <v>646</v>
      </c>
      <c r="H158" s="2"/>
      <c r="I158" s="22"/>
      <c r="J158" s="2"/>
      <c r="K158" s="23">
        <v>0</v>
      </c>
      <c r="L158" s="23">
        <v>0</v>
      </c>
      <c r="M158" s="2"/>
      <c r="N158" s="2"/>
      <c r="O158" s="2"/>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1"/>
    </row>
    <row r="159" spans="1:51" ht="18.75" customHeight="1">
      <c r="A159" s="2">
        <v>154</v>
      </c>
      <c r="B159" s="21" t="s">
        <v>88</v>
      </c>
      <c r="C159" s="3"/>
      <c r="D159" s="1"/>
      <c r="E159" s="2"/>
      <c r="F159" s="1"/>
      <c r="G159" s="26" t="s">
        <v>488</v>
      </c>
      <c r="H159" s="2"/>
      <c r="I159" s="22"/>
      <c r="J159" s="2"/>
      <c r="K159" s="23">
        <v>0</v>
      </c>
      <c r="L159" s="23">
        <v>0</v>
      </c>
      <c r="M159" s="2"/>
      <c r="N159" s="2"/>
      <c r="O159" s="2"/>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1"/>
    </row>
    <row r="160" spans="1:51" ht="30.75" customHeight="1">
      <c r="A160" s="4">
        <v>155</v>
      </c>
      <c r="B160" s="11" t="s">
        <v>88</v>
      </c>
      <c r="C160" s="12"/>
      <c r="D160" s="12" t="s">
        <v>653</v>
      </c>
      <c r="E160" s="13"/>
      <c r="F160" s="14"/>
      <c r="G160" s="18" t="s">
        <v>654</v>
      </c>
      <c r="H160" s="13" t="s">
        <v>508</v>
      </c>
      <c r="I160" s="18" t="s">
        <v>596</v>
      </c>
      <c r="J160" s="13" t="s">
        <v>655</v>
      </c>
      <c r="K160" s="28">
        <v>0</v>
      </c>
      <c r="L160" s="10">
        <v>150</v>
      </c>
      <c r="M160" s="13" t="s">
        <v>389</v>
      </c>
      <c r="N160" s="13" t="s">
        <v>656</v>
      </c>
      <c r="O160" s="13" t="s">
        <v>428</v>
      </c>
      <c r="P160" s="17">
        <f>SUM(Q160:AX160)</f>
        <v>0</v>
      </c>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2"/>
    </row>
    <row r="161" spans="1:51" ht="18.75" customHeight="1">
      <c r="A161" s="2">
        <v>156</v>
      </c>
      <c r="B161" s="5" t="s">
        <v>88</v>
      </c>
      <c r="C161" s="6"/>
      <c r="D161" s="6" t="s">
        <v>657</v>
      </c>
      <c r="E161" s="4"/>
      <c r="F161" s="6" t="s">
        <v>517</v>
      </c>
      <c r="G161" s="29" t="s">
        <v>517</v>
      </c>
      <c r="H161" s="4"/>
      <c r="I161" s="7"/>
      <c r="J161" s="4"/>
      <c r="K161" s="19">
        <v>0</v>
      </c>
      <c r="L161" s="19">
        <v>0</v>
      </c>
      <c r="M161" s="4"/>
      <c r="N161" s="4"/>
      <c r="O161" s="4"/>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9"/>
    </row>
    <row r="162" spans="1:51" ht="30.75" customHeight="1">
      <c r="A162" s="4">
        <v>157</v>
      </c>
      <c r="B162" s="21" t="s">
        <v>88</v>
      </c>
      <c r="C162" s="3"/>
      <c r="D162" s="1"/>
      <c r="E162" s="2"/>
      <c r="F162" s="1"/>
      <c r="G162" s="26" t="s">
        <v>646</v>
      </c>
      <c r="H162" s="2"/>
      <c r="I162" s="22"/>
      <c r="J162" s="2"/>
      <c r="K162" s="23">
        <v>0</v>
      </c>
      <c r="L162" s="23">
        <v>0</v>
      </c>
      <c r="M162" s="2"/>
      <c r="N162" s="2"/>
      <c r="O162" s="2"/>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1"/>
    </row>
    <row r="163" spans="1:51" ht="18.75" customHeight="1">
      <c r="A163" s="2">
        <v>158</v>
      </c>
      <c r="B163" s="21" t="s">
        <v>88</v>
      </c>
      <c r="C163" s="3"/>
      <c r="D163" s="1"/>
      <c r="E163" s="2"/>
      <c r="F163" s="1"/>
      <c r="G163" s="26" t="s">
        <v>488</v>
      </c>
      <c r="H163" s="2"/>
      <c r="I163" s="22"/>
      <c r="J163" s="2"/>
      <c r="K163" s="23">
        <v>0</v>
      </c>
      <c r="L163" s="23">
        <v>0</v>
      </c>
      <c r="M163" s="2"/>
      <c r="N163" s="2"/>
      <c r="O163" s="2"/>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1"/>
    </row>
    <row r="164" spans="1:51" ht="18.75" customHeight="1">
      <c r="A164" s="4">
        <v>159</v>
      </c>
      <c r="B164" s="11" t="s">
        <v>88</v>
      </c>
      <c r="C164" s="12"/>
      <c r="D164" s="12" t="s">
        <v>658</v>
      </c>
      <c r="E164" s="13"/>
      <c r="F164" s="14"/>
      <c r="G164" s="18" t="s">
        <v>519</v>
      </c>
      <c r="H164" s="13" t="s">
        <v>430</v>
      </c>
      <c r="I164" s="18" t="s">
        <v>596</v>
      </c>
      <c r="J164" s="13" t="s">
        <v>520</v>
      </c>
      <c r="K164" s="10">
        <v>300</v>
      </c>
      <c r="L164" s="10">
        <v>150</v>
      </c>
      <c r="M164" s="13" t="s">
        <v>426</v>
      </c>
      <c r="N164" s="13" t="s">
        <v>659</v>
      </c>
      <c r="O164" s="13" t="s">
        <v>428</v>
      </c>
      <c r="P164" s="17">
        <f>SUM(Q164:AX164)</f>
        <v>10</v>
      </c>
      <c r="Q164" s="17"/>
      <c r="R164" s="17"/>
      <c r="S164" s="17"/>
      <c r="T164" s="17"/>
      <c r="U164" s="17"/>
      <c r="V164" s="17"/>
      <c r="W164" s="17"/>
      <c r="X164" s="17"/>
      <c r="Y164" s="17"/>
      <c r="Z164" s="17"/>
      <c r="AA164" s="17"/>
      <c r="AB164" s="17"/>
      <c r="AC164" s="17"/>
      <c r="AD164" s="17"/>
      <c r="AE164" s="17"/>
      <c r="AF164" s="17"/>
      <c r="AG164" s="17">
        <v>5</v>
      </c>
      <c r="AH164" s="17">
        <v>5</v>
      </c>
      <c r="AI164" s="17"/>
      <c r="AJ164" s="17"/>
      <c r="AK164" s="17"/>
      <c r="AL164" s="17"/>
      <c r="AM164" s="17"/>
      <c r="AN164" s="17"/>
      <c r="AO164" s="17"/>
      <c r="AP164" s="17"/>
      <c r="AQ164" s="17"/>
      <c r="AR164" s="17"/>
      <c r="AS164" s="17"/>
      <c r="AT164" s="17"/>
      <c r="AU164" s="17"/>
      <c r="AV164" s="17"/>
      <c r="AW164" s="17"/>
      <c r="AX164" s="17"/>
      <c r="AY164" s="12"/>
    </row>
    <row r="165" spans="1:51" ht="18.75" customHeight="1">
      <c r="A165" s="2">
        <v>160</v>
      </c>
      <c r="B165" s="11" t="s">
        <v>88</v>
      </c>
      <c r="C165" s="12"/>
      <c r="D165" s="12" t="s">
        <v>660</v>
      </c>
      <c r="E165" s="13"/>
      <c r="F165" s="14"/>
      <c r="G165" s="18" t="s">
        <v>519</v>
      </c>
      <c r="H165" s="13" t="s">
        <v>433</v>
      </c>
      <c r="I165" s="18" t="s">
        <v>596</v>
      </c>
      <c r="J165" s="13" t="s">
        <v>520</v>
      </c>
      <c r="K165" s="10">
        <v>600</v>
      </c>
      <c r="L165" s="10">
        <v>150</v>
      </c>
      <c r="M165" s="13" t="s">
        <v>426</v>
      </c>
      <c r="N165" s="13" t="s">
        <v>661</v>
      </c>
      <c r="O165" s="13" t="s">
        <v>428</v>
      </c>
      <c r="P165" s="17">
        <f>SUM(Q165:AX165)</f>
        <v>5</v>
      </c>
      <c r="Q165" s="17"/>
      <c r="R165" s="17"/>
      <c r="S165" s="17"/>
      <c r="T165" s="17"/>
      <c r="U165" s="17"/>
      <c r="V165" s="17"/>
      <c r="W165" s="17"/>
      <c r="X165" s="17">
        <v>5</v>
      </c>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2"/>
    </row>
    <row r="166" spans="1:51" ht="18.75" customHeight="1">
      <c r="A166" s="4">
        <v>161</v>
      </c>
      <c r="B166" s="11" t="s">
        <v>88</v>
      </c>
      <c r="C166" s="12"/>
      <c r="D166" s="12" t="s">
        <v>662</v>
      </c>
      <c r="E166" s="13"/>
      <c r="F166" s="14"/>
      <c r="G166" s="18" t="s">
        <v>519</v>
      </c>
      <c r="H166" s="13" t="s">
        <v>436</v>
      </c>
      <c r="I166" s="18" t="s">
        <v>596</v>
      </c>
      <c r="J166" s="13" t="s">
        <v>520</v>
      </c>
      <c r="K166" s="10">
        <v>900</v>
      </c>
      <c r="L166" s="10">
        <v>150</v>
      </c>
      <c r="M166" s="13" t="s">
        <v>426</v>
      </c>
      <c r="N166" s="13" t="s">
        <v>663</v>
      </c>
      <c r="O166" s="13" t="s">
        <v>428</v>
      </c>
      <c r="P166" s="17">
        <f>SUM(Q166:AX166)</f>
        <v>0</v>
      </c>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2"/>
    </row>
    <row r="167" spans="1:51" ht="18.75" customHeight="1">
      <c r="A167" s="2">
        <v>162</v>
      </c>
      <c r="B167" s="5" t="s">
        <v>88</v>
      </c>
      <c r="C167" s="6"/>
      <c r="D167" s="6" t="s">
        <v>664</v>
      </c>
      <c r="E167" s="4"/>
      <c r="F167" s="6" t="s">
        <v>529</v>
      </c>
      <c r="G167" s="29" t="s">
        <v>529</v>
      </c>
      <c r="H167" s="4"/>
      <c r="I167" s="7"/>
      <c r="J167" s="4"/>
      <c r="K167" s="19">
        <v>0</v>
      </c>
      <c r="L167" s="19">
        <v>0</v>
      </c>
      <c r="M167" s="4"/>
      <c r="N167" s="4"/>
      <c r="O167" s="4"/>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9"/>
    </row>
    <row r="168" spans="1:51" ht="30.75" customHeight="1">
      <c r="A168" s="4">
        <v>163</v>
      </c>
      <c r="B168" s="21" t="s">
        <v>88</v>
      </c>
      <c r="C168" s="3"/>
      <c r="D168" s="1"/>
      <c r="E168" s="2"/>
      <c r="F168" s="1"/>
      <c r="G168" s="26" t="s">
        <v>646</v>
      </c>
      <c r="H168" s="2"/>
      <c r="I168" s="22"/>
      <c r="J168" s="2"/>
      <c r="K168" s="23">
        <v>0</v>
      </c>
      <c r="L168" s="23">
        <v>0</v>
      </c>
      <c r="M168" s="2"/>
      <c r="N168" s="2"/>
      <c r="O168" s="2"/>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1"/>
    </row>
    <row r="169" spans="1:51" ht="18.75" customHeight="1">
      <c r="A169" s="2">
        <v>164</v>
      </c>
      <c r="B169" s="21" t="s">
        <v>88</v>
      </c>
      <c r="C169" s="3"/>
      <c r="D169" s="1"/>
      <c r="E169" s="2"/>
      <c r="F169" s="1"/>
      <c r="G169" s="26" t="s">
        <v>488</v>
      </c>
      <c r="H169" s="2"/>
      <c r="I169" s="22"/>
      <c r="J169" s="2"/>
      <c r="K169" s="23">
        <v>0</v>
      </c>
      <c r="L169" s="23">
        <v>0</v>
      </c>
      <c r="M169" s="2"/>
      <c r="N169" s="2"/>
      <c r="O169" s="2"/>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1"/>
    </row>
    <row r="170" spans="1:51" ht="18.75" customHeight="1">
      <c r="A170" s="4">
        <v>165</v>
      </c>
      <c r="B170" s="11" t="s">
        <v>88</v>
      </c>
      <c r="C170" s="12"/>
      <c r="D170" s="12" t="s">
        <v>665</v>
      </c>
      <c r="E170" s="13"/>
      <c r="F170" s="14"/>
      <c r="G170" s="18" t="s">
        <v>529</v>
      </c>
      <c r="H170" s="13" t="s">
        <v>533</v>
      </c>
      <c r="I170" s="18" t="s">
        <v>596</v>
      </c>
      <c r="J170" s="13" t="s">
        <v>534</v>
      </c>
      <c r="K170" s="28">
        <v>0</v>
      </c>
      <c r="L170" s="10">
        <v>140</v>
      </c>
      <c r="M170" s="13" t="s">
        <v>389</v>
      </c>
      <c r="N170" s="13" t="s">
        <v>666</v>
      </c>
      <c r="O170" s="13" t="s">
        <v>428</v>
      </c>
      <c r="P170" s="17">
        <f>SUM(Q170:AX170)</f>
        <v>0</v>
      </c>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2"/>
    </row>
    <row r="171" spans="1:51" ht="18.75" customHeight="1">
      <c r="A171" s="2">
        <v>166</v>
      </c>
      <c r="B171" s="5" t="s">
        <v>88</v>
      </c>
      <c r="C171" s="6"/>
      <c r="D171" s="6" t="s">
        <v>667</v>
      </c>
      <c r="E171" s="4"/>
      <c r="F171" s="6" t="s">
        <v>544</v>
      </c>
      <c r="G171" s="29" t="s">
        <v>544</v>
      </c>
      <c r="H171" s="4"/>
      <c r="I171" s="7"/>
      <c r="J171" s="4"/>
      <c r="K171" s="19">
        <v>0</v>
      </c>
      <c r="L171" s="19">
        <v>0</v>
      </c>
      <c r="M171" s="4"/>
      <c r="N171" s="4"/>
      <c r="O171" s="4"/>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9"/>
    </row>
    <row r="172" spans="1:51" ht="42.75" customHeight="1">
      <c r="A172" s="4">
        <v>167</v>
      </c>
      <c r="B172" s="21" t="s">
        <v>88</v>
      </c>
      <c r="C172" s="3"/>
      <c r="D172" s="1"/>
      <c r="E172" s="2"/>
      <c r="F172" s="1"/>
      <c r="G172" s="26" t="s">
        <v>545</v>
      </c>
      <c r="H172" s="2"/>
      <c r="I172" s="22"/>
      <c r="J172" s="2"/>
      <c r="K172" s="23">
        <v>0</v>
      </c>
      <c r="L172" s="23">
        <v>0</v>
      </c>
      <c r="M172" s="2"/>
      <c r="N172" s="2"/>
      <c r="O172" s="2"/>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1"/>
    </row>
    <row r="173" spans="1:51" ht="30.75" customHeight="1">
      <c r="A173" s="2">
        <v>168</v>
      </c>
      <c r="B173" s="21" t="s">
        <v>88</v>
      </c>
      <c r="C173" s="3"/>
      <c r="D173" s="1"/>
      <c r="E173" s="2"/>
      <c r="F173" s="1"/>
      <c r="G173" s="26" t="s">
        <v>668</v>
      </c>
      <c r="H173" s="2"/>
      <c r="I173" s="22"/>
      <c r="J173" s="2"/>
      <c r="K173" s="23">
        <v>0</v>
      </c>
      <c r="L173" s="23">
        <v>0</v>
      </c>
      <c r="M173" s="2"/>
      <c r="N173" s="2"/>
      <c r="O173" s="2"/>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1"/>
    </row>
    <row r="174" spans="1:51" ht="30.75" customHeight="1">
      <c r="A174" s="4">
        <v>169</v>
      </c>
      <c r="B174" s="21" t="s">
        <v>88</v>
      </c>
      <c r="C174" s="3"/>
      <c r="D174" s="1"/>
      <c r="E174" s="2"/>
      <c r="F174" s="1"/>
      <c r="G174" s="26" t="s">
        <v>547</v>
      </c>
      <c r="H174" s="2"/>
      <c r="I174" s="22"/>
      <c r="J174" s="2"/>
      <c r="K174" s="23">
        <v>0</v>
      </c>
      <c r="L174" s="23">
        <v>0</v>
      </c>
      <c r="M174" s="2"/>
      <c r="N174" s="2"/>
      <c r="O174" s="2"/>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1"/>
    </row>
    <row r="175" spans="1:51" ht="18.75" customHeight="1">
      <c r="A175" s="2">
        <v>170</v>
      </c>
      <c r="B175" s="11" t="s">
        <v>88</v>
      </c>
      <c r="C175" s="12"/>
      <c r="D175" s="12" t="s">
        <v>669</v>
      </c>
      <c r="E175" s="13"/>
      <c r="F175" s="14"/>
      <c r="G175" s="18" t="s">
        <v>544</v>
      </c>
      <c r="H175" s="13" t="s">
        <v>550</v>
      </c>
      <c r="I175" s="18" t="s">
        <v>596</v>
      </c>
      <c r="J175" s="13" t="s">
        <v>551</v>
      </c>
      <c r="K175" s="28">
        <v>0</v>
      </c>
      <c r="L175" s="28">
        <v>0</v>
      </c>
      <c r="M175" s="30" t="s">
        <v>552</v>
      </c>
      <c r="N175" s="13" t="s">
        <v>670</v>
      </c>
      <c r="O175" s="13" t="s">
        <v>428</v>
      </c>
      <c r="P175" s="17">
        <f>SUM(Q175:AX175)</f>
        <v>0</v>
      </c>
      <c r="Q175" s="17"/>
      <c r="R175" s="17"/>
      <c r="S175" s="17"/>
      <c r="T175" s="17"/>
      <c r="U175" s="17"/>
      <c r="V175" s="17"/>
      <c r="W175" s="17"/>
      <c r="X175" s="17"/>
      <c r="Y175" s="17"/>
      <c r="Z175" s="17"/>
      <c r="AA175" s="17"/>
      <c r="AB175" s="17"/>
      <c r="AC175" s="17"/>
      <c r="AD175" s="17"/>
      <c r="AE175" s="17"/>
      <c r="AF175" s="17"/>
      <c r="AG175" s="17">
        <f>(W128/6)*2</f>
        <v>0</v>
      </c>
      <c r="AH175" s="17">
        <f>(X128/6)*2</f>
        <v>0</v>
      </c>
      <c r="AI175" s="17"/>
      <c r="AJ175" s="17"/>
      <c r="AK175" s="17"/>
      <c r="AL175" s="17"/>
      <c r="AM175" s="17"/>
      <c r="AN175" s="17"/>
      <c r="AO175" s="17"/>
      <c r="AP175" s="17"/>
      <c r="AQ175" s="17"/>
      <c r="AR175" s="17"/>
      <c r="AS175" s="17"/>
      <c r="AT175" s="17"/>
      <c r="AU175" s="17"/>
      <c r="AV175" s="17"/>
      <c r="AW175" s="17"/>
      <c r="AX175" s="17"/>
      <c r="AY175" s="12"/>
    </row>
    <row r="176" spans="1:51" ht="18.75" customHeight="1">
      <c r="A176" s="4">
        <v>171</v>
      </c>
      <c r="B176" s="5" t="s">
        <v>88</v>
      </c>
      <c r="C176" s="6"/>
      <c r="D176" s="6" t="s">
        <v>671</v>
      </c>
      <c r="E176" s="4"/>
      <c r="F176" s="6" t="s">
        <v>555</v>
      </c>
      <c r="G176" s="29" t="s">
        <v>555</v>
      </c>
      <c r="H176" s="4"/>
      <c r="I176" s="7"/>
      <c r="J176" s="4"/>
      <c r="K176" s="19">
        <v>0</v>
      </c>
      <c r="L176" s="19">
        <v>0</v>
      </c>
      <c r="M176" s="4"/>
      <c r="N176" s="4"/>
      <c r="O176" s="4"/>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9"/>
    </row>
    <row r="177" spans="1:51" ht="18.75" customHeight="1">
      <c r="A177" s="2">
        <v>172</v>
      </c>
      <c r="B177" s="21" t="s">
        <v>88</v>
      </c>
      <c r="C177" s="3"/>
      <c r="D177" s="1"/>
      <c r="E177" s="2"/>
      <c r="F177" s="1"/>
      <c r="G177" s="26" t="s">
        <v>672</v>
      </c>
      <c r="H177" s="2"/>
      <c r="I177" s="22"/>
      <c r="J177" s="2"/>
      <c r="K177" s="23">
        <v>0</v>
      </c>
      <c r="L177" s="23">
        <v>0</v>
      </c>
      <c r="M177" s="2"/>
      <c r="N177" s="2"/>
      <c r="O177" s="2"/>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1"/>
    </row>
    <row r="178" spans="1:51" ht="30.75" customHeight="1">
      <c r="A178" s="4">
        <v>173</v>
      </c>
      <c r="B178" s="21" t="s">
        <v>88</v>
      </c>
      <c r="C178" s="3"/>
      <c r="D178" s="1"/>
      <c r="E178" s="2"/>
      <c r="F178" s="1"/>
      <c r="G178" s="26" t="s">
        <v>557</v>
      </c>
      <c r="H178" s="2"/>
      <c r="I178" s="22"/>
      <c r="J178" s="2"/>
      <c r="K178" s="23">
        <v>0</v>
      </c>
      <c r="L178" s="23">
        <v>0</v>
      </c>
      <c r="M178" s="2"/>
      <c r="N178" s="2"/>
      <c r="O178" s="2"/>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1"/>
    </row>
    <row r="179" spans="1:51" ht="18.75" customHeight="1">
      <c r="A179" s="2">
        <v>174</v>
      </c>
      <c r="B179" s="11" t="s">
        <v>88</v>
      </c>
      <c r="C179" s="12"/>
      <c r="D179" s="12" t="s">
        <v>673</v>
      </c>
      <c r="E179" s="13"/>
      <c r="F179" s="14"/>
      <c r="G179" s="18" t="s">
        <v>555</v>
      </c>
      <c r="H179" s="13" t="s">
        <v>550</v>
      </c>
      <c r="I179" s="18" t="s">
        <v>596</v>
      </c>
      <c r="J179" s="13" t="s">
        <v>674</v>
      </c>
      <c r="K179" s="28">
        <v>0</v>
      </c>
      <c r="L179" s="28">
        <v>0</v>
      </c>
      <c r="M179" s="10"/>
      <c r="N179" s="13" t="s">
        <v>675</v>
      </c>
      <c r="O179" s="13" t="s">
        <v>428</v>
      </c>
      <c r="P179" s="17">
        <f>SUM(Q179:AX179)</f>
        <v>0</v>
      </c>
      <c r="Q179" s="17"/>
      <c r="R179" s="17"/>
      <c r="S179" s="17"/>
      <c r="T179" s="17"/>
      <c r="U179" s="17"/>
      <c r="V179" s="17"/>
      <c r="W179" s="17"/>
      <c r="X179" s="17"/>
      <c r="Y179" s="17"/>
      <c r="Z179" s="17"/>
      <c r="AA179" s="17"/>
      <c r="AB179" s="17"/>
      <c r="AC179" s="17"/>
      <c r="AD179" s="17"/>
      <c r="AE179" s="17"/>
      <c r="AF179" s="17"/>
      <c r="AG179" s="17">
        <f>(W128/6)*2*3</f>
        <v>0</v>
      </c>
      <c r="AH179" s="17">
        <f>(X128/6)*2*3</f>
        <v>0</v>
      </c>
      <c r="AI179" s="17"/>
      <c r="AJ179" s="17"/>
      <c r="AK179" s="17"/>
      <c r="AL179" s="17"/>
      <c r="AM179" s="17"/>
      <c r="AN179" s="17"/>
      <c r="AO179" s="17"/>
      <c r="AP179" s="17"/>
      <c r="AQ179" s="17"/>
      <c r="AR179" s="17"/>
      <c r="AS179" s="17"/>
      <c r="AT179" s="17"/>
      <c r="AU179" s="17"/>
      <c r="AV179" s="17"/>
      <c r="AW179" s="17"/>
      <c r="AX179" s="17"/>
      <c r="AY179" s="12"/>
    </row>
    <row r="180" spans="1:51" ht="18.75" customHeight="1">
      <c r="A180" s="4">
        <v>175</v>
      </c>
      <c r="B180" s="21" t="s">
        <v>88</v>
      </c>
      <c r="C180" s="3"/>
      <c r="D180" s="1"/>
      <c r="E180" s="2"/>
      <c r="F180" s="1"/>
      <c r="G180" s="26" t="s">
        <v>676</v>
      </c>
      <c r="H180" s="2"/>
      <c r="I180" s="22"/>
      <c r="J180" s="2"/>
      <c r="K180" s="23">
        <v>0</v>
      </c>
      <c r="L180" s="23">
        <v>0</v>
      </c>
      <c r="M180" s="2"/>
      <c r="N180" s="2"/>
      <c r="O180" s="2"/>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1"/>
    </row>
    <row r="181" spans="1:51" ht="18.75" customHeight="1">
      <c r="A181" s="2">
        <v>176</v>
      </c>
      <c r="B181" s="21" t="s">
        <v>88</v>
      </c>
      <c r="C181" s="3"/>
      <c r="D181" s="1"/>
      <c r="E181" s="2"/>
      <c r="F181" s="1"/>
      <c r="G181" s="26" t="s">
        <v>677</v>
      </c>
      <c r="H181" s="2"/>
      <c r="I181" s="22"/>
      <c r="J181" s="2"/>
      <c r="K181" s="23">
        <v>0</v>
      </c>
      <c r="L181" s="23">
        <v>0</v>
      </c>
      <c r="M181" s="2"/>
      <c r="N181" s="2"/>
      <c r="O181" s="2"/>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1"/>
    </row>
  </sheetData>
  <autoFilter ref="A5:BF181" xr:uid="{00000000-0009-0000-0000-000002000000}"/>
  <mergeCells count="7">
    <mergeCell ref="A1:AY1"/>
    <mergeCell ref="P3:P5"/>
    <mergeCell ref="AY3:AY5"/>
    <mergeCell ref="Q3:AC3"/>
    <mergeCell ref="A2:AY2"/>
    <mergeCell ref="O3:O5"/>
    <mergeCell ref="AD3:AX3"/>
  </mergeCells>
  <pageMargins left="1" right="1" top="1" bottom="1" header="0.3" footer="0.3"/>
  <pageSetup paperSize="0" orientation="portrait"/>
  <headerFooter>
    <oddHeader>&amp;L&amp;"Calibri"&amp;8&amp;K000000 대외비(Restricted)&amp;1#_x000D_</oddHead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X77"/>
  <sheetViews>
    <sheetView zoomScale="70" zoomScaleNormal="70" workbookViewId="0">
      <pane xSplit="13" ySplit="5" topLeftCell="N6" activePane="bottomRight" state="frozen"/>
      <selection pane="bottomRight" activeCell="P5" sqref="P5:R5"/>
      <selection pane="bottomLeft" activeCell="A6" sqref="A6"/>
      <selection pane="topRight" activeCell="N1" sqref="N1"/>
    </sheetView>
  </sheetViews>
  <sheetFormatPr defaultRowHeight="14.45" outlineLevelCol="1"/>
  <cols>
    <col min="1" max="1" width="5.7109375" customWidth="1"/>
    <col min="2" max="2" width="11.28515625" customWidth="1"/>
    <col min="3" max="3" width="21.28515625" customWidth="1"/>
    <col min="4" max="4" width="8.7109375" customWidth="1"/>
    <col min="5" max="5" width="14.28515625" customWidth="1" outlineLevel="1"/>
    <col min="6" max="6" width="14.28515625" customWidth="1"/>
    <col min="7" max="7" width="35.7109375" customWidth="1"/>
    <col min="8" max="8" width="14.28515625" customWidth="1"/>
    <col min="9" max="9" width="28.7109375" customWidth="1"/>
    <col min="10" max="13" width="14.28515625" hidden="1" customWidth="1" outlineLevel="1"/>
    <col min="14" max="14" width="8.7109375" customWidth="1" collapsed="1"/>
    <col min="15" max="15" width="11.28515625" customWidth="1"/>
    <col min="16" max="33" width="13" customWidth="1"/>
    <col min="34" max="34" width="13" customWidth="1" collapsed="1"/>
    <col min="35" max="49" width="13" customWidth="1"/>
    <col min="50" max="50" width="21.28515625" customWidth="1"/>
  </cols>
  <sheetData>
    <row r="1" spans="1:50" ht="18.75" customHeight="1">
      <c r="A1" s="115" t="s">
        <v>7</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row>
    <row r="2" spans="1:50" ht="13.5" customHeight="1">
      <c r="A2" s="116" t="s">
        <v>8</v>
      </c>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row>
    <row r="3" spans="1:50" ht="23.25" customHeight="1">
      <c r="A3" s="104" t="s">
        <v>9</v>
      </c>
      <c r="B3" s="104" t="s">
        <v>10</v>
      </c>
      <c r="C3" s="104" t="s">
        <v>11</v>
      </c>
      <c r="D3" s="104" t="s">
        <v>12</v>
      </c>
      <c r="E3" s="104" t="s">
        <v>13</v>
      </c>
      <c r="F3" s="104" t="s">
        <v>14</v>
      </c>
      <c r="G3" s="104" t="s">
        <v>15</v>
      </c>
      <c r="I3" s="104" t="s">
        <v>16</v>
      </c>
      <c r="J3" s="104" t="s">
        <v>17</v>
      </c>
      <c r="K3" s="104" t="s">
        <v>678</v>
      </c>
      <c r="L3" s="104" t="s">
        <v>679</v>
      </c>
      <c r="M3" s="104" t="s">
        <v>23</v>
      </c>
      <c r="N3" s="114" t="s">
        <v>24</v>
      </c>
      <c r="O3" s="114" t="s">
        <v>25</v>
      </c>
      <c r="P3" s="113" t="s">
        <v>26</v>
      </c>
      <c r="Q3" s="124"/>
      <c r="R3" s="124"/>
      <c r="S3" s="124"/>
      <c r="T3" s="124"/>
      <c r="U3" s="124"/>
      <c r="V3" s="124"/>
      <c r="W3" s="124"/>
      <c r="X3" s="124"/>
      <c r="Y3" s="124"/>
      <c r="Z3" s="124"/>
      <c r="AA3" s="124"/>
      <c r="AB3" s="125"/>
      <c r="AC3" s="113" t="s">
        <v>27</v>
      </c>
      <c r="AD3" s="124"/>
      <c r="AE3" s="124"/>
      <c r="AF3" s="124"/>
      <c r="AG3" s="124"/>
      <c r="AH3" s="124"/>
      <c r="AI3" s="124"/>
      <c r="AJ3" s="124"/>
      <c r="AK3" s="124"/>
      <c r="AL3" s="124"/>
      <c r="AM3" s="124"/>
      <c r="AN3" s="124"/>
      <c r="AO3" s="124"/>
      <c r="AP3" s="124"/>
      <c r="AQ3" s="124"/>
      <c r="AR3" s="124"/>
      <c r="AS3" s="124"/>
      <c r="AT3" s="124"/>
      <c r="AU3" s="124"/>
      <c r="AV3" s="124"/>
      <c r="AW3" s="125"/>
      <c r="AX3" s="114" t="s">
        <v>28</v>
      </c>
    </row>
    <row r="4" spans="1:50" ht="23.25" customHeight="1">
      <c r="G4" s="104" t="s">
        <v>29</v>
      </c>
      <c r="H4" s="104" t="s">
        <v>30</v>
      </c>
      <c r="N4" s="126"/>
      <c r="O4" s="126"/>
      <c r="P4" s="103" t="s">
        <v>31</v>
      </c>
      <c r="Q4" s="103" t="s">
        <v>32</v>
      </c>
      <c r="R4" s="103" t="s">
        <v>33</v>
      </c>
      <c r="S4" s="103" t="s">
        <v>34</v>
      </c>
      <c r="T4" s="103" t="s">
        <v>35</v>
      </c>
      <c r="U4" s="103" t="s">
        <v>36</v>
      </c>
      <c r="V4" s="104" t="s">
        <v>37</v>
      </c>
      <c r="W4" s="104" t="s">
        <v>38</v>
      </c>
      <c r="X4" s="103" t="s">
        <v>39</v>
      </c>
      <c r="Y4" s="103" t="s">
        <v>40</v>
      </c>
      <c r="Z4" s="104" t="s">
        <v>41</v>
      </c>
      <c r="AA4" s="103" t="s">
        <v>42</v>
      </c>
      <c r="AB4" s="103" t="s">
        <v>43</v>
      </c>
      <c r="AC4" s="104" t="s">
        <v>44</v>
      </c>
      <c r="AD4" s="104" t="s">
        <v>45</v>
      </c>
      <c r="AE4" s="103" t="s">
        <v>46</v>
      </c>
      <c r="AF4" s="104" t="s">
        <v>47</v>
      </c>
      <c r="AG4" s="104" t="s">
        <v>48</v>
      </c>
      <c r="AH4" s="103" t="s">
        <v>49</v>
      </c>
      <c r="AI4" s="103" t="s">
        <v>50</v>
      </c>
      <c r="AJ4" s="103" t="s">
        <v>51</v>
      </c>
      <c r="AK4" s="103" t="s">
        <v>52</v>
      </c>
      <c r="AL4" s="103" t="s">
        <v>53</v>
      </c>
      <c r="AM4" s="103" t="s">
        <v>54</v>
      </c>
      <c r="AN4" s="103" t="s">
        <v>55</v>
      </c>
      <c r="AO4" s="103" t="s">
        <v>56</v>
      </c>
      <c r="AP4" s="103" t="s">
        <v>57</v>
      </c>
      <c r="AQ4" s="103" t="s">
        <v>58</v>
      </c>
      <c r="AR4" s="103" t="s">
        <v>59</v>
      </c>
      <c r="AS4" s="103" t="s">
        <v>60</v>
      </c>
      <c r="AT4" s="103" t="s">
        <v>61</v>
      </c>
      <c r="AU4" s="103" t="s">
        <v>62</v>
      </c>
      <c r="AV4" s="103" t="s">
        <v>63</v>
      </c>
      <c r="AW4" s="105" t="s">
        <v>64</v>
      </c>
      <c r="AX4" s="126"/>
    </row>
    <row r="5" spans="1:50" ht="23.25" customHeight="1">
      <c r="N5" s="127"/>
      <c r="O5" s="127"/>
      <c r="P5" s="104" t="s">
        <v>65</v>
      </c>
      <c r="Q5" s="104" t="s">
        <v>65</v>
      </c>
      <c r="R5" s="104" t="s">
        <v>66</v>
      </c>
      <c r="S5" s="103" t="s">
        <v>66</v>
      </c>
      <c r="T5" s="103" t="s">
        <v>66</v>
      </c>
      <c r="U5" s="103" t="s">
        <v>66</v>
      </c>
      <c r="V5" s="103" t="s">
        <v>67</v>
      </c>
      <c r="W5" s="104" t="s">
        <v>68</v>
      </c>
      <c r="X5" s="103" t="s">
        <v>69</v>
      </c>
      <c r="Y5" s="103" t="s">
        <v>70</v>
      </c>
      <c r="Z5" s="103" t="s">
        <v>71</v>
      </c>
      <c r="AA5" s="103" t="s">
        <v>72</v>
      </c>
      <c r="AB5" s="103" t="s">
        <v>73</v>
      </c>
      <c r="AC5" s="104" t="s">
        <v>74</v>
      </c>
      <c r="AD5" s="104" t="s">
        <v>75</v>
      </c>
      <c r="AE5" s="103" t="s">
        <v>76</v>
      </c>
      <c r="AF5" s="104" t="s">
        <v>77</v>
      </c>
      <c r="AG5" s="104" t="s">
        <v>78</v>
      </c>
      <c r="AH5" s="103" t="s">
        <v>79</v>
      </c>
      <c r="AI5" s="103" t="s">
        <v>80</v>
      </c>
      <c r="AJ5" s="103" t="s">
        <v>81</v>
      </c>
      <c r="AK5" s="103" t="s">
        <v>82</v>
      </c>
      <c r="AL5" s="103" t="s">
        <v>83</v>
      </c>
      <c r="AM5" s="103" t="s">
        <v>84</v>
      </c>
      <c r="AN5" s="103" t="s">
        <v>72</v>
      </c>
      <c r="AO5" s="103" t="s">
        <v>85</v>
      </c>
      <c r="AP5" s="103" t="s">
        <v>86</v>
      </c>
      <c r="AQ5" s="103" t="s">
        <v>87</v>
      </c>
      <c r="AR5" s="103" t="s">
        <v>86</v>
      </c>
      <c r="AS5" s="103" t="s">
        <v>87</v>
      </c>
      <c r="AT5" s="103" t="s">
        <v>87</v>
      </c>
      <c r="AU5" s="103" t="s">
        <v>86</v>
      </c>
      <c r="AV5" s="103" t="s">
        <v>87</v>
      </c>
      <c r="AW5" s="103" t="s">
        <v>87</v>
      </c>
      <c r="AX5" s="127"/>
    </row>
    <row r="6" spans="1:50" ht="18.75" customHeight="1">
      <c r="A6" s="4">
        <v>1</v>
      </c>
      <c r="B6" s="5" t="s">
        <v>88</v>
      </c>
      <c r="C6" s="6"/>
      <c r="D6" s="6" t="s">
        <v>680</v>
      </c>
      <c r="E6" s="4"/>
      <c r="F6" s="6" t="s">
        <v>681</v>
      </c>
      <c r="G6" s="7"/>
      <c r="H6" s="9"/>
      <c r="I6" s="7"/>
      <c r="J6" s="4"/>
      <c r="K6" s="4"/>
      <c r="L6" s="4"/>
      <c r="M6" s="4"/>
      <c r="N6" s="4"/>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9"/>
    </row>
    <row r="7" spans="1:50" ht="18.75" customHeight="1">
      <c r="A7" s="4">
        <v>2</v>
      </c>
      <c r="B7" s="5" t="s">
        <v>88</v>
      </c>
      <c r="C7" s="6"/>
      <c r="D7" s="38" t="s">
        <v>682</v>
      </c>
      <c r="E7" s="58"/>
      <c r="F7" s="38" t="s">
        <v>683</v>
      </c>
      <c r="G7" s="60"/>
      <c r="H7" s="9"/>
      <c r="I7" s="7"/>
      <c r="J7" s="4"/>
      <c r="K7" s="4"/>
      <c r="L7" s="4"/>
      <c r="M7" s="4"/>
      <c r="N7" s="4"/>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9"/>
    </row>
    <row r="8" spans="1:50" ht="30.75" customHeight="1">
      <c r="A8" s="4">
        <v>3</v>
      </c>
      <c r="B8" s="21" t="s">
        <v>88</v>
      </c>
      <c r="C8" s="3"/>
      <c r="D8" s="1"/>
      <c r="E8" s="2"/>
      <c r="F8" s="1"/>
      <c r="G8" s="26" t="s">
        <v>684</v>
      </c>
      <c r="H8" s="1"/>
      <c r="I8" s="22"/>
      <c r="J8" s="2"/>
      <c r="K8" s="2"/>
      <c r="L8" s="2"/>
      <c r="M8" s="2"/>
      <c r="N8" s="2"/>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1"/>
    </row>
    <row r="9" spans="1:50" ht="30.75" customHeight="1">
      <c r="A9" s="4">
        <v>4</v>
      </c>
      <c r="B9" s="21" t="s">
        <v>88</v>
      </c>
      <c r="C9" s="3"/>
      <c r="D9" s="1"/>
      <c r="E9" s="2"/>
      <c r="F9" s="1"/>
      <c r="G9" s="26" t="s">
        <v>685</v>
      </c>
      <c r="H9" s="1"/>
      <c r="I9" s="22"/>
      <c r="J9" s="2"/>
      <c r="K9" s="2"/>
      <c r="L9" s="2"/>
      <c r="M9" s="2"/>
      <c r="N9" s="2"/>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1"/>
    </row>
    <row r="10" spans="1:50" ht="30.75" customHeight="1">
      <c r="A10" s="4">
        <v>5</v>
      </c>
      <c r="B10" s="21" t="s">
        <v>88</v>
      </c>
      <c r="C10" s="3"/>
      <c r="D10" s="1"/>
      <c r="E10" s="2"/>
      <c r="F10" s="1"/>
      <c r="G10" s="26" t="s">
        <v>686</v>
      </c>
      <c r="H10" s="1"/>
      <c r="I10" s="22"/>
      <c r="J10" s="2"/>
      <c r="K10" s="2"/>
      <c r="L10" s="2"/>
      <c r="M10" s="2"/>
      <c r="N10" s="2"/>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1"/>
    </row>
    <row r="11" spans="1:50" ht="18.75" customHeight="1">
      <c r="A11" s="4">
        <v>6</v>
      </c>
      <c r="B11" s="11" t="s">
        <v>88</v>
      </c>
      <c r="C11" s="12"/>
      <c r="D11" s="12" t="s">
        <v>687</v>
      </c>
      <c r="E11" s="13"/>
      <c r="F11" s="14"/>
      <c r="G11" s="18" t="s">
        <v>688</v>
      </c>
      <c r="H11" s="12" t="s">
        <v>689</v>
      </c>
      <c r="I11" s="18" t="s">
        <v>690</v>
      </c>
      <c r="J11" s="13" t="s">
        <v>691</v>
      </c>
      <c r="K11" s="13" t="s">
        <v>407</v>
      </c>
      <c r="L11" s="13" t="s">
        <v>692</v>
      </c>
      <c r="M11" s="13" t="s">
        <v>693</v>
      </c>
      <c r="N11" s="13" t="s">
        <v>109</v>
      </c>
      <c r="O11" s="17">
        <f t="shared" ref="O11:O21" si="0">SUM(P11:AW11)</f>
        <v>0</v>
      </c>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2"/>
    </row>
    <row r="12" spans="1:50" ht="18.75" customHeight="1">
      <c r="A12" s="4">
        <v>7</v>
      </c>
      <c r="B12" s="11" t="s">
        <v>88</v>
      </c>
      <c r="C12" s="12"/>
      <c r="D12" s="12" t="s">
        <v>694</v>
      </c>
      <c r="E12" s="13"/>
      <c r="F12" s="14"/>
      <c r="G12" s="18" t="s">
        <v>688</v>
      </c>
      <c r="H12" s="12" t="s">
        <v>695</v>
      </c>
      <c r="I12" s="18" t="s">
        <v>690</v>
      </c>
      <c r="J12" s="13" t="s">
        <v>691</v>
      </c>
      <c r="K12" s="13" t="s">
        <v>696</v>
      </c>
      <c r="L12" s="13" t="s">
        <v>692</v>
      </c>
      <c r="M12" s="13" t="s">
        <v>697</v>
      </c>
      <c r="N12" s="13" t="s">
        <v>109</v>
      </c>
      <c r="O12" s="17">
        <f t="shared" si="0"/>
        <v>0</v>
      </c>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2"/>
    </row>
    <row r="13" spans="1:50" ht="18.75" customHeight="1">
      <c r="A13" s="4">
        <v>8</v>
      </c>
      <c r="B13" s="11" t="s">
        <v>88</v>
      </c>
      <c r="C13" s="12"/>
      <c r="D13" s="12" t="s">
        <v>698</v>
      </c>
      <c r="E13" s="13"/>
      <c r="F13" s="14"/>
      <c r="G13" s="18" t="s">
        <v>688</v>
      </c>
      <c r="H13" s="12" t="s">
        <v>699</v>
      </c>
      <c r="I13" s="18" t="s">
        <v>690</v>
      </c>
      <c r="J13" s="13" t="s">
        <v>691</v>
      </c>
      <c r="K13" s="13" t="s">
        <v>700</v>
      </c>
      <c r="L13" s="13" t="s">
        <v>692</v>
      </c>
      <c r="M13" s="13" t="s">
        <v>701</v>
      </c>
      <c r="N13" s="13" t="s">
        <v>109</v>
      </c>
      <c r="O13" s="17">
        <f t="shared" si="0"/>
        <v>0</v>
      </c>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2"/>
    </row>
    <row r="14" spans="1:50" ht="18.75" customHeight="1">
      <c r="A14" s="4">
        <v>9</v>
      </c>
      <c r="B14" s="11" t="s">
        <v>88</v>
      </c>
      <c r="C14" s="12"/>
      <c r="D14" s="12" t="s">
        <v>702</v>
      </c>
      <c r="E14" s="13"/>
      <c r="F14" s="14"/>
      <c r="G14" s="18" t="s">
        <v>688</v>
      </c>
      <c r="H14" s="12" t="s">
        <v>703</v>
      </c>
      <c r="I14" s="18" t="s">
        <v>690</v>
      </c>
      <c r="J14" s="13" t="s">
        <v>691</v>
      </c>
      <c r="K14" s="13" t="s">
        <v>621</v>
      </c>
      <c r="L14" s="13" t="s">
        <v>692</v>
      </c>
      <c r="M14" s="13" t="s">
        <v>704</v>
      </c>
      <c r="N14" s="13" t="s">
        <v>109</v>
      </c>
      <c r="O14" s="17">
        <f t="shared" si="0"/>
        <v>0</v>
      </c>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2"/>
    </row>
    <row r="15" spans="1:50" ht="18.75" customHeight="1">
      <c r="A15" s="4">
        <v>10</v>
      </c>
      <c r="B15" s="11" t="s">
        <v>88</v>
      </c>
      <c r="C15" s="12"/>
      <c r="D15" s="12" t="s">
        <v>705</v>
      </c>
      <c r="E15" s="13"/>
      <c r="F15" s="14"/>
      <c r="G15" s="18" t="s">
        <v>688</v>
      </c>
      <c r="H15" s="12" t="s">
        <v>706</v>
      </c>
      <c r="I15" s="18" t="s">
        <v>690</v>
      </c>
      <c r="J15" s="13" t="s">
        <v>691</v>
      </c>
      <c r="K15" s="13" t="s">
        <v>707</v>
      </c>
      <c r="L15" s="13" t="s">
        <v>692</v>
      </c>
      <c r="M15" s="13" t="s">
        <v>708</v>
      </c>
      <c r="N15" s="13" t="s">
        <v>109</v>
      </c>
      <c r="O15" s="17">
        <f t="shared" si="0"/>
        <v>0</v>
      </c>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2"/>
    </row>
    <row r="16" spans="1:50" ht="18.75" customHeight="1">
      <c r="A16" s="4">
        <v>11</v>
      </c>
      <c r="B16" s="11" t="s">
        <v>88</v>
      </c>
      <c r="C16" s="12"/>
      <c r="D16" s="12" t="s">
        <v>709</v>
      </c>
      <c r="E16" s="13"/>
      <c r="F16" s="14"/>
      <c r="G16" s="18" t="s">
        <v>688</v>
      </c>
      <c r="H16" s="12" t="s">
        <v>710</v>
      </c>
      <c r="I16" s="18" t="s">
        <v>711</v>
      </c>
      <c r="J16" s="13" t="s">
        <v>691</v>
      </c>
      <c r="K16" s="13" t="s">
        <v>712</v>
      </c>
      <c r="L16" s="13" t="s">
        <v>692</v>
      </c>
      <c r="M16" s="13" t="s">
        <v>713</v>
      </c>
      <c r="N16" s="13" t="s">
        <v>109</v>
      </c>
      <c r="O16" s="17">
        <f t="shared" si="0"/>
        <v>0</v>
      </c>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2"/>
    </row>
    <row r="17" spans="1:50" ht="18.75" customHeight="1">
      <c r="A17" s="4">
        <v>12</v>
      </c>
      <c r="B17" s="11" t="s">
        <v>88</v>
      </c>
      <c r="C17" s="12"/>
      <c r="D17" s="12" t="s">
        <v>714</v>
      </c>
      <c r="E17" s="13"/>
      <c r="F17" s="14"/>
      <c r="G17" s="18" t="s">
        <v>688</v>
      </c>
      <c r="H17" s="12" t="s">
        <v>689</v>
      </c>
      <c r="I17" s="18" t="s">
        <v>711</v>
      </c>
      <c r="J17" s="13" t="s">
        <v>691</v>
      </c>
      <c r="K17" s="13" t="s">
        <v>407</v>
      </c>
      <c r="L17" s="13" t="s">
        <v>692</v>
      </c>
      <c r="M17" s="13" t="s">
        <v>715</v>
      </c>
      <c r="N17" s="13" t="s">
        <v>109</v>
      </c>
      <c r="O17" s="17">
        <f t="shared" si="0"/>
        <v>600</v>
      </c>
      <c r="P17" s="17"/>
      <c r="Q17" s="17">
        <v>300</v>
      </c>
      <c r="R17" s="17"/>
      <c r="S17" s="17"/>
      <c r="T17" s="17"/>
      <c r="U17" s="17">
        <v>300</v>
      </c>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2" t="s">
        <v>716</v>
      </c>
    </row>
    <row r="18" spans="1:50" ht="18.75" customHeight="1">
      <c r="A18" s="4">
        <v>13</v>
      </c>
      <c r="B18" s="11" t="s">
        <v>88</v>
      </c>
      <c r="C18" s="12"/>
      <c r="D18" s="12" t="s">
        <v>717</v>
      </c>
      <c r="E18" s="13"/>
      <c r="F18" s="14"/>
      <c r="G18" s="18" t="s">
        <v>688</v>
      </c>
      <c r="H18" s="12" t="s">
        <v>699</v>
      </c>
      <c r="I18" s="18" t="s">
        <v>711</v>
      </c>
      <c r="J18" s="13" t="s">
        <v>691</v>
      </c>
      <c r="K18" s="13" t="s">
        <v>700</v>
      </c>
      <c r="L18" s="13" t="s">
        <v>692</v>
      </c>
      <c r="M18" s="13" t="s">
        <v>718</v>
      </c>
      <c r="N18" s="13" t="s">
        <v>109</v>
      </c>
      <c r="O18" s="17">
        <f t="shared" si="0"/>
        <v>0</v>
      </c>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2"/>
    </row>
    <row r="19" spans="1:50" ht="18.75" customHeight="1">
      <c r="A19" s="4">
        <v>14</v>
      </c>
      <c r="B19" s="11" t="s">
        <v>88</v>
      </c>
      <c r="C19" s="12"/>
      <c r="D19" s="12" t="s">
        <v>719</v>
      </c>
      <c r="E19" s="13"/>
      <c r="F19" s="14"/>
      <c r="G19" s="18" t="s">
        <v>688</v>
      </c>
      <c r="H19" s="12" t="s">
        <v>720</v>
      </c>
      <c r="I19" s="18" t="s">
        <v>711</v>
      </c>
      <c r="J19" s="13" t="s">
        <v>691</v>
      </c>
      <c r="K19" s="13" t="s">
        <v>721</v>
      </c>
      <c r="L19" s="13" t="s">
        <v>692</v>
      </c>
      <c r="M19" s="13" t="s">
        <v>722</v>
      </c>
      <c r="N19" s="13" t="s">
        <v>109</v>
      </c>
      <c r="O19" s="17">
        <f t="shared" si="0"/>
        <v>0</v>
      </c>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2"/>
    </row>
    <row r="20" spans="1:50" ht="18.75" customHeight="1">
      <c r="A20" s="4">
        <v>15</v>
      </c>
      <c r="B20" s="11" t="s">
        <v>88</v>
      </c>
      <c r="C20" s="12"/>
      <c r="D20" s="12" t="s">
        <v>723</v>
      </c>
      <c r="E20" s="13"/>
      <c r="F20" s="14"/>
      <c r="G20" s="18" t="s">
        <v>688</v>
      </c>
      <c r="H20" s="12" t="s">
        <v>695</v>
      </c>
      <c r="I20" s="18" t="s">
        <v>711</v>
      </c>
      <c r="J20" s="13" t="s">
        <v>691</v>
      </c>
      <c r="K20" s="13" t="s">
        <v>696</v>
      </c>
      <c r="L20" s="13" t="s">
        <v>692</v>
      </c>
      <c r="M20" s="13" t="s">
        <v>724</v>
      </c>
      <c r="N20" s="13" t="s">
        <v>109</v>
      </c>
      <c r="O20" s="17">
        <f t="shared" si="0"/>
        <v>0</v>
      </c>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2"/>
    </row>
    <row r="21" spans="1:50" ht="18.75" customHeight="1">
      <c r="A21" s="4">
        <v>16</v>
      </c>
      <c r="B21" s="11" t="s">
        <v>88</v>
      </c>
      <c r="C21" s="12"/>
      <c r="D21" s="12" t="s">
        <v>725</v>
      </c>
      <c r="E21" s="13"/>
      <c r="F21" s="14"/>
      <c r="G21" s="18" t="s">
        <v>688</v>
      </c>
      <c r="H21" s="12" t="s">
        <v>706</v>
      </c>
      <c r="I21" s="18" t="s">
        <v>711</v>
      </c>
      <c r="J21" s="13" t="s">
        <v>691</v>
      </c>
      <c r="K21" s="13" t="s">
        <v>707</v>
      </c>
      <c r="L21" s="13" t="s">
        <v>692</v>
      </c>
      <c r="M21" s="13" t="s">
        <v>726</v>
      </c>
      <c r="N21" s="13" t="s">
        <v>109</v>
      </c>
      <c r="O21" s="17">
        <f t="shared" si="0"/>
        <v>0</v>
      </c>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2"/>
    </row>
    <row r="22" spans="1:50" ht="18.75" customHeight="1">
      <c r="A22" s="4">
        <v>17</v>
      </c>
      <c r="B22" s="5" t="s">
        <v>88</v>
      </c>
      <c r="C22" s="6"/>
      <c r="D22" s="38" t="s">
        <v>727</v>
      </c>
      <c r="E22" s="58"/>
      <c r="F22" s="38" t="s">
        <v>728</v>
      </c>
      <c r="G22" s="60"/>
      <c r="H22" s="9"/>
      <c r="I22" s="7"/>
      <c r="J22" s="4"/>
      <c r="K22" s="4"/>
      <c r="L22" s="4"/>
      <c r="M22" s="4"/>
      <c r="N22" s="4"/>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9"/>
    </row>
    <row r="23" spans="1:50" ht="18.75" customHeight="1">
      <c r="A23" s="4">
        <v>18</v>
      </c>
      <c r="B23" s="21" t="s">
        <v>88</v>
      </c>
      <c r="C23" s="3"/>
      <c r="D23" s="1"/>
      <c r="E23" s="2"/>
      <c r="F23" s="1"/>
      <c r="G23" s="26" t="s">
        <v>729</v>
      </c>
      <c r="H23" s="1"/>
      <c r="I23" s="22"/>
      <c r="J23" s="2"/>
      <c r="K23" s="2"/>
      <c r="L23" s="2"/>
      <c r="M23" s="2"/>
      <c r="N23" s="2"/>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1"/>
    </row>
    <row r="24" spans="1:50" ht="18.75" customHeight="1">
      <c r="A24" s="4">
        <v>19</v>
      </c>
      <c r="B24" s="21" t="s">
        <v>88</v>
      </c>
      <c r="C24" s="3"/>
      <c r="D24" s="1"/>
      <c r="E24" s="2"/>
      <c r="F24" s="1"/>
      <c r="G24" s="26" t="s">
        <v>730</v>
      </c>
      <c r="H24" s="1"/>
      <c r="I24" s="22"/>
      <c r="J24" s="2"/>
      <c r="K24" s="2"/>
      <c r="L24" s="2"/>
      <c r="M24" s="2"/>
      <c r="N24" s="2"/>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1"/>
    </row>
    <row r="25" spans="1:50" ht="18.75" customHeight="1">
      <c r="A25" s="4">
        <v>20</v>
      </c>
      <c r="B25" s="11" t="s">
        <v>88</v>
      </c>
      <c r="C25" s="12"/>
      <c r="D25" s="12" t="s">
        <v>731</v>
      </c>
      <c r="E25" s="13"/>
      <c r="F25" s="14"/>
      <c r="G25" s="18" t="s">
        <v>732</v>
      </c>
      <c r="H25" s="12" t="s">
        <v>689</v>
      </c>
      <c r="I25" s="18" t="s">
        <v>711</v>
      </c>
      <c r="J25" s="13" t="s">
        <v>733</v>
      </c>
      <c r="K25" s="13" t="s">
        <v>407</v>
      </c>
      <c r="L25" s="13" t="s">
        <v>692</v>
      </c>
      <c r="M25" s="13" t="s">
        <v>734</v>
      </c>
      <c r="N25" s="13" t="s">
        <v>109</v>
      </c>
      <c r="O25" s="17">
        <f t="shared" ref="O25:O31" si="1">SUM(P25:AW25)</f>
        <v>4000</v>
      </c>
      <c r="P25" s="17"/>
      <c r="Q25" s="17">
        <v>2000</v>
      </c>
      <c r="R25" s="17"/>
      <c r="S25" s="17"/>
      <c r="T25" s="17"/>
      <c r="U25" s="17">
        <v>2000</v>
      </c>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2" t="s">
        <v>735</v>
      </c>
    </row>
    <row r="26" spans="1:50" ht="18.75" customHeight="1">
      <c r="A26" s="4">
        <v>21</v>
      </c>
      <c r="B26" s="11" t="s">
        <v>88</v>
      </c>
      <c r="C26" s="12"/>
      <c r="D26" s="12" t="s">
        <v>736</v>
      </c>
      <c r="E26" s="13"/>
      <c r="F26" s="14"/>
      <c r="G26" s="18" t="s">
        <v>732</v>
      </c>
      <c r="H26" s="12" t="s">
        <v>695</v>
      </c>
      <c r="I26" s="18" t="s">
        <v>711</v>
      </c>
      <c r="J26" s="13" t="s">
        <v>733</v>
      </c>
      <c r="K26" s="13" t="s">
        <v>696</v>
      </c>
      <c r="L26" s="13" t="s">
        <v>692</v>
      </c>
      <c r="M26" s="13" t="s">
        <v>737</v>
      </c>
      <c r="N26" s="13" t="s">
        <v>109</v>
      </c>
      <c r="O26" s="17">
        <f t="shared" si="1"/>
        <v>0</v>
      </c>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2"/>
    </row>
    <row r="27" spans="1:50" ht="18.75" customHeight="1">
      <c r="A27" s="4">
        <v>22</v>
      </c>
      <c r="B27" s="11" t="s">
        <v>88</v>
      </c>
      <c r="C27" s="12"/>
      <c r="D27" s="12" t="s">
        <v>738</v>
      </c>
      <c r="E27" s="13"/>
      <c r="F27" s="14"/>
      <c r="G27" s="18" t="s">
        <v>732</v>
      </c>
      <c r="H27" s="12" t="s">
        <v>703</v>
      </c>
      <c r="I27" s="18" t="s">
        <v>711</v>
      </c>
      <c r="J27" s="13" t="s">
        <v>733</v>
      </c>
      <c r="K27" s="13" t="s">
        <v>621</v>
      </c>
      <c r="L27" s="13" t="s">
        <v>692</v>
      </c>
      <c r="M27" s="13" t="s">
        <v>739</v>
      </c>
      <c r="N27" s="13" t="s">
        <v>109</v>
      </c>
      <c r="O27" s="17">
        <f t="shared" si="1"/>
        <v>0</v>
      </c>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2"/>
    </row>
    <row r="28" spans="1:50" ht="18.75" customHeight="1">
      <c r="A28" s="4">
        <v>23</v>
      </c>
      <c r="B28" s="11" t="s">
        <v>88</v>
      </c>
      <c r="C28" s="12"/>
      <c r="D28" s="12" t="s">
        <v>740</v>
      </c>
      <c r="E28" s="13"/>
      <c r="F28" s="14"/>
      <c r="G28" s="18" t="s">
        <v>732</v>
      </c>
      <c r="H28" s="12" t="s">
        <v>706</v>
      </c>
      <c r="I28" s="18" t="s">
        <v>711</v>
      </c>
      <c r="J28" s="13" t="s">
        <v>733</v>
      </c>
      <c r="K28" s="13" t="s">
        <v>707</v>
      </c>
      <c r="L28" s="13" t="s">
        <v>692</v>
      </c>
      <c r="M28" s="13" t="s">
        <v>741</v>
      </c>
      <c r="N28" s="13" t="s">
        <v>109</v>
      </c>
      <c r="O28" s="17">
        <f t="shared" si="1"/>
        <v>0</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2"/>
    </row>
    <row r="29" spans="1:50" ht="18.75" customHeight="1">
      <c r="A29" s="4">
        <v>24</v>
      </c>
      <c r="B29" s="11" t="s">
        <v>88</v>
      </c>
      <c r="C29" s="12"/>
      <c r="D29" s="12" t="s">
        <v>742</v>
      </c>
      <c r="E29" s="13"/>
      <c r="F29" s="14"/>
      <c r="G29" s="18" t="s">
        <v>732</v>
      </c>
      <c r="H29" s="12" t="s">
        <v>743</v>
      </c>
      <c r="I29" s="18" t="s">
        <v>690</v>
      </c>
      <c r="J29" s="13" t="s">
        <v>733</v>
      </c>
      <c r="K29" s="13" t="s">
        <v>744</v>
      </c>
      <c r="L29" s="13" t="s">
        <v>692</v>
      </c>
      <c r="M29" s="13" t="s">
        <v>745</v>
      </c>
      <c r="N29" s="13" t="s">
        <v>109</v>
      </c>
      <c r="O29" s="17">
        <f t="shared" si="1"/>
        <v>0</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2"/>
    </row>
    <row r="30" spans="1:50" ht="18.75" customHeight="1">
      <c r="A30" s="4">
        <v>25</v>
      </c>
      <c r="B30" s="11" t="s">
        <v>88</v>
      </c>
      <c r="C30" s="12"/>
      <c r="D30" s="12" t="s">
        <v>746</v>
      </c>
      <c r="E30" s="13"/>
      <c r="F30" s="14"/>
      <c r="G30" s="18" t="s">
        <v>732</v>
      </c>
      <c r="H30" s="12" t="s">
        <v>699</v>
      </c>
      <c r="I30" s="18" t="s">
        <v>711</v>
      </c>
      <c r="J30" s="13" t="s">
        <v>733</v>
      </c>
      <c r="K30" s="13" t="s">
        <v>700</v>
      </c>
      <c r="L30" s="13" t="s">
        <v>692</v>
      </c>
      <c r="M30" s="13" t="s">
        <v>747</v>
      </c>
      <c r="N30" s="13" t="s">
        <v>109</v>
      </c>
      <c r="O30" s="17">
        <f t="shared" si="1"/>
        <v>0</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2"/>
    </row>
    <row r="31" spans="1:50" ht="18.75" customHeight="1">
      <c r="A31" s="4">
        <v>26</v>
      </c>
      <c r="B31" s="11" t="s">
        <v>88</v>
      </c>
      <c r="C31" s="12"/>
      <c r="D31" s="12" t="s">
        <v>748</v>
      </c>
      <c r="E31" s="13"/>
      <c r="F31" s="14"/>
      <c r="G31" s="18" t="s">
        <v>732</v>
      </c>
      <c r="H31" s="12" t="s">
        <v>706</v>
      </c>
      <c r="I31" s="18" t="s">
        <v>690</v>
      </c>
      <c r="J31" s="13" t="s">
        <v>733</v>
      </c>
      <c r="K31" s="13" t="s">
        <v>707</v>
      </c>
      <c r="L31" s="13" t="s">
        <v>692</v>
      </c>
      <c r="M31" s="13" t="s">
        <v>749</v>
      </c>
      <c r="N31" s="13" t="s">
        <v>109</v>
      </c>
      <c r="O31" s="17">
        <f t="shared" si="1"/>
        <v>0</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4"/>
    </row>
    <row r="32" spans="1:50" ht="18.75" customHeight="1">
      <c r="A32" s="4">
        <v>27</v>
      </c>
      <c r="B32" s="21" t="s">
        <v>88</v>
      </c>
      <c r="C32" s="3"/>
      <c r="D32" s="1"/>
      <c r="E32" s="2"/>
      <c r="F32" s="1"/>
      <c r="G32" s="26" t="s">
        <v>750</v>
      </c>
      <c r="H32" s="1"/>
      <c r="I32" s="22"/>
      <c r="J32" s="2"/>
      <c r="K32" s="2"/>
      <c r="L32" s="2"/>
      <c r="M32" s="2"/>
      <c r="N32" s="2"/>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1"/>
    </row>
    <row r="33" spans="1:50" ht="18.75" customHeight="1">
      <c r="A33" s="4">
        <v>28</v>
      </c>
      <c r="B33" s="21" t="s">
        <v>88</v>
      </c>
      <c r="C33" s="3"/>
      <c r="D33" s="1"/>
      <c r="E33" s="2"/>
      <c r="F33" s="1"/>
      <c r="G33" s="26" t="s">
        <v>751</v>
      </c>
      <c r="H33" s="1"/>
      <c r="I33" s="22"/>
      <c r="J33" s="2"/>
      <c r="K33" s="2"/>
      <c r="L33" s="2"/>
      <c r="M33" s="2"/>
      <c r="N33" s="2"/>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1"/>
    </row>
    <row r="34" spans="1:50" ht="18.75" customHeight="1">
      <c r="A34" s="4">
        <v>29</v>
      </c>
      <c r="B34" s="11" t="s">
        <v>88</v>
      </c>
      <c r="C34" s="12"/>
      <c r="D34" s="12" t="s">
        <v>752</v>
      </c>
      <c r="E34" s="13"/>
      <c r="F34" s="14"/>
      <c r="G34" s="18" t="s">
        <v>688</v>
      </c>
      <c r="H34" s="12" t="s">
        <v>703</v>
      </c>
      <c r="I34" s="18" t="s">
        <v>753</v>
      </c>
      <c r="J34" s="13" t="s">
        <v>733</v>
      </c>
      <c r="K34" s="13" t="s">
        <v>621</v>
      </c>
      <c r="L34" s="13" t="s">
        <v>692</v>
      </c>
      <c r="M34" s="13" t="s">
        <v>754</v>
      </c>
      <c r="N34" s="13" t="s">
        <v>109</v>
      </c>
      <c r="O34" s="17">
        <f>SUM(P34:AW34)</f>
        <v>0</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2"/>
    </row>
    <row r="35" spans="1:50" ht="18.75" customHeight="1">
      <c r="A35" s="4">
        <v>30</v>
      </c>
      <c r="B35" s="11" t="s">
        <v>88</v>
      </c>
      <c r="C35" s="12"/>
      <c r="D35" s="12" t="s">
        <v>755</v>
      </c>
      <c r="E35" s="13"/>
      <c r="F35" s="14"/>
      <c r="G35" s="18" t="s">
        <v>688</v>
      </c>
      <c r="H35" s="12" t="s">
        <v>756</v>
      </c>
      <c r="I35" s="18" t="s">
        <v>753</v>
      </c>
      <c r="J35" s="13" t="s">
        <v>733</v>
      </c>
      <c r="K35" s="13" t="s">
        <v>757</v>
      </c>
      <c r="L35" s="13" t="s">
        <v>692</v>
      </c>
      <c r="M35" s="13" t="s">
        <v>758</v>
      </c>
      <c r="N35" s="13" t="s">
        <v>109</v>
      </c>
      <c r="O35" s="17">
        <f>SUM(P35:AW35)</f>
        <v>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4"/>
    </row>
    <row r="36" spans="1:50" ht="18.75" customHeight="1">
      <c r="A36" s="4">
        <v>31</v>
      </c>
      <c r="B36" s="11" t="s">
        <v>88</v>
      </c>
      <c r="C36" s="12"/>
      <c r="D36" s="12" t="s">
        <v>759</v>
      </c>
      <c r="E36" s="13"/>
      <c r="F36" s="14"/>
      <c r="G36" s="18" t="s">
        <v>688</v>
      </c>
      <c r="H36" s="12" t="s">
        <v>689</v>
      </c>
      <c r="I36" s="18" t="s">
        <v>753</v>
      </c>
      <c r="J36" s="13" t="s">
        <v>733</v>
      </c>
      <c r="K36" s="13" t="s">
        <v>407</v>
      </c>
      <c r="L36" s="13" t="s">
        <v>692</v>
      </c>
      <c r="M36" s="13" t="s">
        <v>760</v>
      </c>
      <c r="N36" s="13" t="s">
        <v>109</v>
      </c>
      <c r="O36" s="17">
        <f>SUM(P36:AW36)</f>
        <v>0</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4"/>
    </row>
    <row r="37" spans="1:50" ht="18.75" customHeight="1">
      <c r="A37" s="4">
        <v>32</v>
      </c>
      <c r="B37" s="5" t="s">
        <v>88</v>
      </c>
      <c r="C37" s="6"/>
      <c r="D37" s="38" t="s">
        <v>761</v>
      </c>
      <c r="E37" s="58"/>
      <c r="F37" s="38" t="s">
        <v>762</v>
      </c>
      <c r="G37" s="60"/>
      <c r="H37" s="9"/>
      <c r="I37" s="7"/>
      <c r="J37" s="4"/>
      <c r="K37" s="4"/>
      <c r="L37" s="4"/>
      <c r="M37" s="4"/>
      <c r="N37" s="4"/>
      <c r="O37" s="8"/>
      <c r="P37" s="8"/>
      <c r="Q37" s="17"/>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9"/>
    </row>
    <row r="38" spans="1:50" ht="18.75" customHeight="1">
      <c r="A38" s="4">
        <v>33</v>
      </c>
      <c r="B38" s="21" t="s">
        <v>88</v>
      </c>
      <c r="C38" s="3"/>
      <c r="D38" s="1"/>
      <c r="E38" s="2"/>
      <c r="F38" s="1"/>
      <c r="G38" s="26" t="s">
        <v>763</v>
      </c>
      <c r="H38" s="1"/>
      <c r="I38" s="22"/>
      <c r="J38" s="2"/>
      <c r="K38" s="2"/>
      <c r="L38" s="2"/>
      <c r="M38" s="2"/>
      <c r="N38" s="2"/>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1"/>
    </row>
    <row r="39" spans="1:50" ht="18.75" customHeight="1">
      <c r="A39" s="4">
        <v>34</v>
      </c>
      <c r="B39" s="21" t="s">
        <v>88</v>
      </c>
      <c r="C39" s="3"/>
      <c r="D39" s="1"/>
      <c r="E39" s="2"/>
      <c r="F39" s="1"/>
      <c r="G39" s="26" t="s">
        <v>764</v>
      </c>
      <c r="H39" s="1"/>
      <c r="I39" s="22"/>
      <c r="J39" s="2"/>
      <c r="K39" s="2"/>
      <c r="L39" s="2"/>
      <c r="M39" s="2"/>
      <c r="N39" s="2"/>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1"/>
    </row>
    <row r="40" spans="1:50" ht="18.75" customHeight="1">
      <c r="A40" s="4">
        <v>35</v>
      </c>
      <c r="B40" s="11" t="s">
        <v>88</v>
      </c>
      <c r="C40" s="12"/>
      <c r="D40" s="12" t="s">
        <v>765</v>
      </c>
      <c r="E40" s="13"/>
      <c r="F40" s="14"/>
      <c r="G40" s="18" t="s">
        <v>732</v>
      </c>
      <c r="H40" s="12" t="s">
        <v>689</v>
      </c>
      <c r="I40" s="18" t="s">
        <v>711</v>
      </c>
      <c r="J40" s="13" t="s">
        <v>766</v>
      </c>
      <c r="K40" s="13" t="s">
        <v>407</v>
      </c>
      <c r="L40" s="13" t="s">
        <v>692</v>
      </c>
      <c r="M40" s="13" t="s">
        <v>767</v>
      </c>
      <c r="N40" s="13" t="s">
        <v>109</v>
      </c>
      <c r="O40" s="17">
        <f t="shared" ref="O40:O46" si="2">SUM(P40:AW40)</f>
        <v>750</v>
      </c>
      <c r="P40" s="17"/>
      <c r="Q40" s="17"/>
      <c r="R40" s="17"/>
      <c r="S40" s="17"/>
      <c r="T40" s="17"/>
      <c r="U40" s="17"/>
      <c r="V40" s="17"/>
      <c r="W40" s="17"/>
      <c r="X40" s="17"/>
      <c r="Y40" s="17"/>
      <c r="Z40" s="17"/>
      <c r="AA40" s="17"/>
      <c r="AB40" s="17"/>
      <c r="AC40" s="17"/>
      <c r="AD40" s="17"/>
      <c r="AE40" s="17"/>
      <c r="AF40" s="17">
        <f>170+45</f>
        <v>215</v>
      </c>
      <c r="AG40" s="17">
        <f>180+355</f>
        <v>535</v>
      </c>
      <c r="AH40" s="17"/>
      <c r="AI40" s="17"/>
      <c r="AJ40" s="17"/>
      <c r="AK40" s="17"/>
      <c r="AL40" s="17"/>
      <c r="AM40" s="17"/>
      <c r="AN40" s="17"/>
      <c r="AO40" s="17"/>
      <c r="AP40" s="17"/>
      <c r="AQ40" s="17"/>
      <c r="AR40" s="17"/>
      <c r="AS40" s="17"/>
      <c r="AT40" s="17"/>
      <c r="AU40" s="17"/>
      <c r="AV40" s="17"/>
      <c r="AW40" s="17"/>
      <c r="AX40" s="14" t="s">
        <v>768</v>
      </c>
    </row>
    <row r="41" spans="1:50" ht="18.75" customHeight="1">
      <c r="A41" s="4">
        <v>36</v>
      </c>
      <c r="B41" s="11" t="s">
        <v>88</v>
      </c>
      <c r="C41" s="12"/>
      <c r="D41" s="12" t="s">
        <v>769</v>
      </c>
      <c r="E41" s="13"/>
      <c r="F41" s="14"/>
      <c r="G41" s="18" t="s">
        <v>732</v>
      </c>
      <c r="H41" s="12" t="s">
        <v>695</v>
      </c>
      <c r="I41" s="18" t="s">
        <v>711</v>
      </c>
      <c r="J41" s="13" t="s">
        <v>766</v>
      </c>
      <c r="K41" s="13" t="s">
        <v>696</v>
      </c>
      <c r="L41" s="13" t="s">
        <v>692</v>
      </c>
      <c r="M41" s="13" t="s">
        <v>770</v>
      </c>
      <c r="N41" s="13" t="s">
        <v>109</v>
      </c>
      <c r="O41" s="17">
        <f t="shared" si="2"/>
        <v>0</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2"/>
    </row>
    <row r="42" spans="1:50" ht="18.75" customHeight="1">
      <c r="A42" s="4">
        <v>37</v>
      </c>
      <c r="B42" s="11" t="s">
        <v>88</v>
      </c>
      <c r="C42" s="12"/>
      <c r="D42" s="12" t="s">
        <v>771</v>
      </c>
      <c r="E42" s="13"/>
      <c r="F42" s="14"/>
      <c r="G42" s="18" t="s">
        <v>732</v>
      </c>
      <c r="H42" s="12" t="s">
        <v>699</v>
      </c>
      <c r="I42" s="18" t="s">
        <v>711</v>
      </c>
      <c r="J42" s="13" t="s">
        <v>766</v>
      </c>
      <c r="K42" s="13" t="s">
        <v>700</v>
      </c>
      <c r="L42" s="13" t="s">
        <v>692</v>
      </c>
      <c r="M42" s="13" t="s">
        <v>772</v>
      </c>
      <c r="N42" s="13" t="s">
        <v>109</v>
      </c>
      <c r="O42" s="17">
        <f t="shared" si="2"/>
        <v>0</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2"/>
    </row>
    <row r="43" spans="1:50" ht="18.75" customHeight="1">
      <c r="A43" s="4">
        <v>38</v>
      </c>
      <c r="B43" s="11" t="s">
        <v>88</v>
      </c>
      <c r="C43" s="12"/>
      <c r="D43" s="12" t="s">
        <v>773</v>
      </c>
      <c r="E43" s="13"/>
      <c r="F43" s="14"/>
      <c r="G43" s="18" t="s">
        <v>732</v>
      </c>
      <c r="H43" s="12" t="s">
        <v>703</v>
      </c>
      <c r="I43" s="18" t="s">
        <v>711</v>
      </c>
      <c r="J43" s="13" t="s">
        <v>766</v>
      </c>
      <c r="K43" s="13" t="s">
        <v>621</v>
      </c>
      <c r="L43" s="13" t="s">
        <v>692</v>
      </c>
      <c r="M43" s="13" t="s">
        <v>774</v>
      </c>
      <c r="N43" s="13" t="s">
        <v>109</v>
      </c>
      <c r="O43" s="17">
        <f t="shared" si="2"/>
        <v>20</v>
      </c>
      <c r="P43" s="17"/>
      <c r="Q43" s="17"/>
      <c r="R43" s="17"/>
      <c r="S43" s="17"/>
      <c r="T43" s="17"/>
      <c r="U43" s="17"/>
      <c r="V43" s="17"/>
      <c r="W43" s="17"/>
      <c r="X43" s="17"/>
      <c r="Y43" s="17"/>
      <c r="Z43" s="17"/>
      <c r="AA43" s="17"/>
      <c r="AB43" s="17"/>
      <c r="AC43" s="17"/>
      <c r="AD43" s="17"/>
      <c r="AE43" s="17"/>
      <c r="AF43" s="17">
        <v>20</v>
      </c>
      <c r="AG43" s="17"/>
      <c r="AH43" s="17"/>
      <c r="AI43" s="17"/>
      <c r="AJ43" s="17"/>
      <c r="AK43" s="17"/>
      <c r="AL43" s="17"/>
      <c r="AM43" s="17"/>
      <c r="AN43" s="17"/>
      <c r="AO43" s="17"/>
      <c r="AP43" s="17"/>
      <c r="AQ43" s="17"/>
      <c r="AR43" s="17"/>
      <c r="AS43" s="17"/>
      <c r="AT43" s="17"/>
      <c r="AU43" s="17"/>
      <c r="AV43" s="17"/>
      <c r="AW43" s="17"/>
      <c r="AX43" s="12" t="s">
        <v>775</v>
      </c>
    </row>
    <row r="44" spans="1:50" ht="18.75" customHeight="1">
      <c r="A44" s="4">
        <v>39</v>
      </c>
      <c r="B44" s="11" t="s">
        <v>88</v>
      </c>
      <c r="C44" s="12"/>
      <c r="D44" s="12" t="s">
        <v>776</v>
      </c>
      <c r="E44" s="13"/>
      <c r="F44" s="14"/>
      <c r="G44" s="18" t="s">
        <v>732</v>
      </c>
      <c r="H44" s="12" t="s">
        <v>720</v>
      </c>
      <c r="I44" s="18" t="s">
        <v>711</v>
      </c>
      <c r="J44" s="13" t="s">
        <v>766</v>
      </c>
      <c r="K44" s="13" t="s">
        <v>721</v>
      </c>
      <c r="L44" s="13" t="s">
        <v>692</v>
      </c>
      <c r="M44" s="13" t="s">
        <v>777</v>
      </c>
      <c r="N44" s="13" t="s">
        <v>109</v>
      </c>
      <c r="O44" s="17">
        <f t="shared" si="2"/>
        <v>0</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4"/>
    </row>
    <row r="45" spans="1:50" ht="18.75" customHeight="1">
      <c r="A45" s="4">
        <v>40</v>
      </c>
      <c r="B45" s="11" t="s">
        <v>88</v>
      </c>
      <c r="C45" s="12"/>
      <c r="D45" s="12" t="s">
        <v>778</v>
      </c>
      <c r="E45" s="13"/>
      <c r="F45" s="14"/>
      <c r="G45" s="18" t="s">
        <v>732</v>
      </c>
      <c r="H45" s="12" t="s">
        <v>779</v>
      </c>
      <c r="I45" s="18" t="s">
        <v>711</v>
      </c>
      <c r="J45" s="13" t="s">
        <v>766</v>
      </c>
      <c r="K45" s="13" t="s">
        <v>780</v>
      </c>
      <c r="L45" s="13" t="s">
        <v>692</v>
      </c>
      <c r="M45" s="13" t="s">
        <v>781</v>
      </c>
      <c r="N45" s="13" t="s">
        <v>109</v>
      </c>
      <c r="O45" s="17">
        <f t="shared" si="2"/>
        <v>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4"/>
    </row>
    <row r="46" spans="1:50" ht="18.75" customHeight="1">
      <c r="A46" s="4">
        <v>41</v>
      </c>
      <c r="B46" s="11" t="s">
        <v>88</v>
      </c>
      <c r="C46" s="12"/>
      <c r="D46" s="12" t="s">
        <v>782</v>
      </c>
      <c r="E46" s="13"/>
      <c r="F46" s="14"/>
      <c r="G46" s="18" t="s">
        <v>732</v>
      </c>
      <c r="H46" s="12" t="s">
        <v>710</v>
      </c>
      <c r="I46" s="18" t="s">
        <v>711</v>
      </c>
      <c r="J46" s="13" t="s">
        <v>766</v>
      </c>
      <c r="K46" s="13" t="s">
        <v>712</v>
      </c>
      <c r="L46" s="13" t="s">
        <v>692</v>
      </c>
      <c r="M46" s="13" t="s">
        <v>783</v>
      </c>
      <c r="N46" s="13" t="s">
        <v>109</v>
      </c>
      <c r="O46" s="17">
        <f t="shared" si="2"/>
        <v>0</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4"/>
    </row>
    <row r="47" spans="1:50" ht="18.75" customHeight="1">
      <c r="A47" s="4">
        <v>42</v>
      </c>
      <c r="B47" s="5" t="s">
        <v>88</v>
      </c>
      <c r="C47" s="6"/>
      <c r="D47" s="38" t="s">
        <v>784</v>
      </c>
      <c r="E47" s="58"/>
      <c r="F47" s="38" t="s">
        <v>785</v>
      </c>
      <c r="G47" s="60"/>
      <c r="H47" s="9"/>
      <c r="I47" s="7"/>
      <c r="J47" s="4"/>
      <c r="K47" s="4"/>
      <c r="L47" s="4"/>
      <c r="M47" s="4"/>
      <c r="N47" s="4"/>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9"/>
    </row>
    <row r="48" spans="1:50" ht="30.75" customHeight="1">
      <c r="A48" s="4">
        <v>43</v>
      </c>
      <c r="B48" s="21" t="s">
        <v>88</v>
      </c>
      <c r="C48" s="3"/>
      <c r="D48" s="1"/>
      <c r="E48" s="2"/>
      <c r="F48" s="1"/>
      <c r="G48" s="26" t="s">
        <v>786</v>
      </c>
      <c r="H48" s="1"/>
      <c r="I48" s="22"/>
      <c r="J48" s="2"/>
      <c r="K48" s="2"/>
      <c r="L48" s="2"/>
      <c r="M48" s="2"/>
      <c r="N48" s="2"/>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1"/>
    </row>
    <row r="49" spans="1:50" ht="42.75" customHeight="1">
      <c r="A49" s="4">
        <v>44</v>
      </c>
      <c r="B49" s="11" t="s">
        <v>88</v>
      </c>
      <c r="C49" s="12"/>
      <c r="D49" s="12" t="s">
        <v>787</v>
      </c>
      <c r="E49" s="13"/>
      <c r="F49" s="14"/>
      <c r="G49" s="18" t="s">
        <v>788</v>
      </c>
      <c r="H49" s="12" t="s">
        <v>706</v>
      </c>
      <c r="I49" s="18" t="s">
        <v>789</v>
      </c>
      <c r="J49" s="13" t="s">
        <v>790</v>
      </c>
      <c r="K49" s="13" t="s">
        <v>707</v>
      </c>
      <c r="L49" s="13" t="s">
        <v>692</v>
      </c>
      <c r="M49" s="13" t="s">
        <v>791</v>
      </c>
      <c r="N49" s="13" t="s">
        <v>109</v>
      </c>
      <c r="O49" s="17">
        <f>SUM(P49:AW49)</f>
        <v>0</v>
      </c>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2"/>
    </row>
    <row r="50" spans="1:50" ht="42.75" customHeight="1">
      <c r="A50" s="4">
        <v>45</v>
      </c>
      <c r="B50" s="11" t="s">
        <v>88</v>
      </c>
      <c r="C50" s="12"/>
      <c r="D50" s="12" t="s">
        <v>792</v>
      </c>
      <c r="E50" s="13"/>
      <c r="F50" s="14"/>
      <c r="G50" s="18" t="s">
        <v>793</v>
      </c>
      <c r="H50" s="12" t="s">
        <v>706</v>
      </c>
      <c r="I50" s="18" t="s">
        <v>794</v>
      </c>
      <c r="J50" s="13" t="s">
        <v>790</v>
      </c>
      <c r="K50" s="13" t="s">
        <v>707</v>
      </c>
      <c r="L50" s="13" t="s">
        <v>692</v>
      </c>
      <c r="M50" s="13" t="s">
        <v>795</v>
      </c>
      <c r="N50" s="13" t="s">
        <v>109</v>
      </c>
      <c r="O50" s="17">
        <f>SUM(P50:AW50)</f>
        <v>600</v>
      </c>
      <c r="P50" s="17"/>
      <c r="Q50" s="17"/>
      <c r="R50" s="17"/>
      <c r="S50" s="17"/>
      <c r="T50" s="17"/>
      <c r="U50" s="17"/>
      <c r="V50" s="17"/>
      <c r="W50" s="17"/>
      <c r="X50" s="17"/>
      <c r="Y50" s="17"/>
      <c r="Z50" s="17"/>
      <c r="AA50" s="17"/>
      <c r="AB50" s="17"/>
      <c r="AC50" s="17">
        <v>300</v>
      </c>
      <c r="AD50" s="17">
        <v>300</v>
      </c>
      <c r="AE50" s="17"/>
      <c r="AF50" s="17"/>
      <c r="AG50" s="17"/>
      <c r="AH50" s="17"/>
      <c r="AI50" s="17"/>
      <c r="AJ50" s="17"/>
      <c r="AK50" s="17"/>
      <c r="AL50" s="17"/>
      <c r="AM50" s="17"/>
      <c r="AN50" s="17"/>
      <c r="AO50" s="17"/>
      <c r="AP50" s="17"/>
      <c r="AQ50" s="17"/>
      <c r="AR50" s="17"/>
      <c r="AS50" s="17"/>
      <c r="AT50" s="17"/>
      <c r="AU50" s="17"/>
      <c r="AV50" s="17"/>
      <c r="AW50" s="17"/>
      <c r="AX50" s="12" t="s">
        <v>796</v>
      </c>
    </row>
    <row r="51" spans="1:50" ht="42.75" customHeight="1">
      <c r="A51" s="4">
        <v>46</v>
      </c>
      <c r="B51" s="11" t="s">
        <v>88</v>
      </c>
      <c r="C51" s="12"/>
      <c r="D51" s="12" t="s">
        <v>797</v>
      </c>
      <c r="E51" s="13"/>
      <c r="F51" s="14"/>
      <c r="G51" s="18" t="s">
        <v>798</v>
      </c>
      <c r="H51" s="12" t="s">
        <v>706</v>
      </c>
      <c r="I51" s="18" t="s">
        <v>799</v>
      </c>
      <c r="J51" s="13" t="s">
        <v>790</v>
      </c>
      <c r="K51" s="13" t="s">
        <v>707</v>
      </c>
      <c r="L51" s="13" t="s">
        <v>692</v>
      </c>
      <c r="M51" s="13" t="s">
        <v>800</v>
      </c>
      <c r="N51" s="13" t="s">
        <v>109</v>
      </c>
      <c r="O51" s="17">
        <f>SUM(P51:AW51)</f>
        <v>0</v>
      </c>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2"/>
    </row>
    <row r="52" spans="1:50" ht="18.75" customHeight="1">
      <c r="A52" s="4">
        <v>47</v>
      </c>
      <c r="B52" s="11" t="s">
        <v>88</v>
      </c>
      <c r="C52" s="12"/>
      <c r="D52" s="12" t="s">
        <v>801</v>
      </c>
      <c r="E52" s="13"/>
      <c r="F52" s="14"/>
      <c r="G52" s="18" t="s">
        <v>802</v>
      </c>
      <c r="H52" s="12" t="s">
        <v>706</v>
      </c>
      <c r="I52" s="18" t="s">
        <v>802</v>
      </c>
      <c r="J52" s="13" t="s">
        <v>790</v>
      </c>
      <c r="K52" s="13" t="s">
        <v>707</v>
      </c>
      <c r="L52" s="13" t="s">
        <v>692</v>
      </c>
      <c r="M52" s="13" t="s">
        <v>803</v>
      </c>
      <c r="N52" s="13" t="s">
        <v>109</v>
      </c>
      <c r="O52" s="17">
        <f>SUM(P52:AW52)</f>
        <v>0</v>
      </c>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2"/>
    </row>
    <row r="53" spans="1:50" ht="18.75" customHeight="1">
      <c r="A53" s="4">
        <v>48</v>
      </c>
      <c r="B53" s="11" t="s">
        <v>88</v>
      </c>
      <c r="C53" s="12"/>
      <c r="D53" s="12" t="s">
        <v>804</v>
      </c>
      <c r="E53" s="13"/>
      <c r="F53" s="14"/>
      <c r="G53" s="18" t="s">
        <v>802</v>
      </c>
      <c r="H53" s="12" t="s">
        <v>805</v>
      </c>
      <c r="I53" s="18" t="s">
        <v>802</v>
      </c>
      <c r="J53" s="13" t="s">
        <v>790</v>
      </c>
      <c r="K53" s="13" t="s">
        <v>806</v>
      </c>
      <c r="L53" s="13" t="s">
        <v>807</v>
      </c>
      <c r="M53" s="13" t="s">
        <v>808</v>
      </c>
      <c r="N53" s="13" t="s">
        <v>109</v>
      </c>
      <c r="O53" s="17">
        <f>SUM(P53:AW53)</f>
        <v>0</v>
      </c>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4"/>
    </row>
    <row r="54" spans="1:50" ht="18.75" customHeight="1">
      <c r="A54" s="4">
        <v>49</v>
      </c>
      <c r="B54" s="5" t="s">
        <v>88</v>
      </c>
      <c r="C54" s="6"/>
      <c r="D54" s="38" t="s">
        <v>809</v>
      </c>
      <c r="E54" s="58"/>
      <c r="F54" s="38" t="s">
        <v>810</v>
      </c>
      <c r="G54" s="60"/>
      <c r="H54" s="9"/>
      <c r="I54" s="7"/>
      <c r="J54" s="4"/>
      <c r="K54" s="4"/>
      <c r="L54" s="4"/>
      <c r="M54" s="4"/>
      <c r="N54" s="4"/>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9"/>
    </row>
    <row r="55" spans="1:50" ht="42.75" customHeight="1">
      <c r="A55" s="4">
        <v>50</v>
      </c>
      <c r="B55" s="21" t="s">
        <v>88</v>
      </c>
      <c r="C55" s="3"/>
      <c r="D55" s="1"/>
      <c r="E55" s="2"/>
      <c r="F55" s="1"/>
      <c r="G55" s="26" t="s">
        <v>811</v>
      </c>
      <c r="H55" s="1"/>
      <c r="I55" s="22"/>
      <c r="J55" s="2"/>
      <c r="K55" s="2"/>
      <c r="L55" s="2"/>
      <c r="M55" s="2"/>
      <c r="N55" s="2"/>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1"/>
    </row>
    <row r="56" spans="1:50" ht="18.75" customHeight="1">
      <c r="A56" s="4">
        <v>51</v>
      </c>
      <c r="B56" s="21" t="s">
        <v>88</v>
      </c>
      <c r="C56" s="3"/>
      <c r="D56" s="1"/>
      <c r="E56" s="2"/>
      <c r="F56" s="1"/>
      <c r="G56" s="26" t="s">
        <v>812</v>
      </c>
      <c r="H56" s="1"/>
      <c r="I56" s="22"/>
      <c r="J56" s="2"/>
      <c r="K56" s="2"/>
      <c r="L56" s="2"/>
      <c r="M56" s="2"/>
      <c r="N56" s="2"/>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1"/>
    </row>
    <row r="57" spans="1:50" ht="18.75" customHeight="1">
      <c r="A57" s="4">
        <v>52</v>
      </c>
      <c r="B57" s="11" t="s">
        <v>88</v>
      </c>
      <c r="C57" s="12"/>
      <c r="D57" s="12" t="s">
        <v>813</v>
      </c>
      <c r="E57" s="13"/>
      <c r="F57" s="14"/>
      <c r="G57" s="15"/>
      <c r="H57" s="12" t="s">
        <v>689</v>
      </c>
      <c r="I57" s="18" t="s">
        <v>814</v>
      </c>
      <c r="J57" s="13" t="s">
        <v>815</v>
      </c>
      <c r="K57" s="13" t="s">
        <v>407</v>
      </c>
      <c r="L57" s="13" t="s">
        <v>692</v>
      </c>
      <c r="M57" s="13" t="s">
        <v>816</v>
      </c>
      <c r="N57" s="13" t="s">
        <v>109</v>
      </c>
      <c r="O57" s="17">
        <f t="shared" ref="O57:O65" si="3">SUM(P57:AW57)</f>
        <v>0</v>
      </c>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2"/>
    </row>
    <row r="58" spans="1:50" ht="18.75" customHeight="1">
      <c r="A58" s="4">
        <v>53</v>
      </c>
      <c r="B58" s="11" t="s">
        <v>88</v>
      </c>
      <c r="C58" s="12"/>
      <c r="D58" s="12" t="s">
        <v>817</v>
      </c>
      <c r="E58" s="13"/>
      <c r="F58" s="14"/>
      <c r="G58" s="15"/>
      <c r="H58" s="12" t="s">
        <v>699</v>
      </c>
      <c r="I58" s="18" t="s">
        <v>814</v>
      </c>
      <c r="J58" s="13" t="s">
        <v>815</v>
      </c>
      <c r="K58" s="13" t="s">
        <v>700</v>
      </c>
      <c r="L58" s="13" t="s">
        <v>692</v>
      </c>
      <c r="M58" s="13" t="s">
        <v>818</v>
      </c>
      <c r="N58" s="13" t="s">
        <v>109</v>
      </c>
      <c r="O58" s="17">
        <f t="shared" si="3"/>
        <v>0</v>
      </c>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2"/>
    </row>
    <row r="59" spans="1:50" ht="18.75" customHeight="1">
      <c r="A59" s="4">
        <v>54</v>
      </c>
      <c r="B59" s="11" t="s">
        <v>88</v>
      </c>
      <c r="C59" s="12"/>
      <c r="D59" s="12" t="s">
        <v>819</v>
      </c>
      <c r="E59" s="13"/>
      <c r="F59" s="14"/>
      <c r="G59" s="15"/>
      <c r="H59" s="12" t="s">
        <v>703</v>
      </c>
      <c r="I59" s="18" t="s">
        <v>814</v>
      </c>
      <c r="J59" s="13" t="s">
        <v>815</v>
      </c>
      <c r="K59" s="13" t="s">
        <v>621</v>
      </c>
      <c r="L59" s="13" t="s">
        <v>692</v>
      </c>
      <c r="M59" s="13" t="s">
        <v>820</v>
      </c>
      <c r="N59" s="13" t="s">
        <v>109</v>
      </c>
      <c r="O59" s="17">
        <f t="shared" si="3"/>
        <v>0</v>
      </c>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2"/>
    </row>
    <row r="60" spans="1:50" ht="18.75" customHeight="1">
      <c r="A60" s="4">
        <v>55</v>
      </c>
      <c r="B60" s="11" t="s">
        <v>88</v>
      </c>
      <c r="C60" s="12"/>
      <c r="D60" s="12" t="s">
        <v>821</v>
      </c>
      <c r="E60" s="13"/>
      <c r="F60" s="14"/>
      <c r="G60" s="15"/>
      <c r="H60" s="12" t="s">
        <v>720</v>
      </c>
      <c r="I60" s="18" t="s">
        <v>814</v>
      </c>
      <c r="J60" s="13" t="s">
        <v>815</v>
      </c>
      <c r="K60" s="13" t="s">
        <v>721</v>
      </c>
      <c r="L60" s="13" t="s">
        <v>692</v>
      </c>
      <c r="M60" s="13" t="s">
        <v>822</v>
      </c>
      <c r="N60" s="13" t="s">
        <v>109</v>
      </c>
      <c r="O60" s="17">
        <f t="shared" si="3"/>
        <v>0</v>
      </c>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2"/>
    </row>
    <row r="61" spans="1:50" ht="18.75" customHeight="1">
      <c r="A61" s="4">
        <v>56</v>
      </c>
      <c r="B61" s="11" t="s">
        <v>88</v>
      </c>
      <c r="C61" s="12"/>
      <c r="D61" s="12" t="s">
        <v>823</v>
      </c>
      <c r="E61" s="13"/>
      <c r="F61" s="14"/>
      <c r="G61" s="15"/>
      <c r="H61" s="12" t="s">
        <v>689</v>
      </c>
      <c r="I61" s="18" t="s">
        <v>824</v>
      </c>
      <c r="J61" s="13" t="s">
        <v>815</v>
      </c>
      <c r="K61" s="13" t="s">
        <v>407</v>
      </c>
      <c r="L61" s="13" t="s">
        <v>692</v>
      </c>
      <c r="M61" s="13" t="s">
        <v>825</v>
      </c>
      <c r="N61" s="13" t="s">
        <v>109</v>
      </c>
      <c r="O61" s="17">
        <f t="shared" si="3"/>
        <v>0</v>
      </c>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2"/>
    </row>
    <row r="62" spans="1:50" ht="18.75" customHeight="1">
      <c r="A62" s="4">
        <v>57</v>
      </c>
      <c r="B62" s="11" t="s">
        <v>88</v>
      </c>
      <c r="C62" s="12"/>
      <c r="D62" s="12" t="s">
        <v>826</v>
      </c>
      <c r="E62" s="13"/>
      <c r="F62" s="14"/>
      <c r="G62" s="15"/>
      <c r="H62" s="12" t="s">
        <v>710</v>
      </c>
      <c r="I62" s="18" t="s">
        <v>824</v>
      </c>
      <c r="J62" s="13" t="s">
        <v>815</v>
      </c>
      <c r="K62" s="13" t="s">
        <v>827</v>
      </c>
      <c r="L62" s="13" t="s">
        <v>692</v>
      </c>
      <c r="M62" s="13" t="s">
        <v>828</v>
      </c>
      <c r="N62" s="13" t="s">
        <v>428</v>
      </c>
      <c r="O62" s="17">
        <f t="shared" si="3"/>
        <v>0</v>
      </c>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2"/>
    </row>
    <row r="63" spans="1:50" ht="18.75" customHeight="1">
      <c r="A63" s="4">
        <v>58</v>
      </c>
      <c r="B63" s="11" t="s">
        <v>88</v>
      </c>
      <c r="C63" s="12"/>
      <c r="D63" s="12" t="s">
        <v>829</v>
      </c>
      <c r="E63" s="13"/>
      <c r="F63" s="14"/>
      <c r="G63" s="15"/>
      <c r="H63" s="12" t="s">
        <v>779</v>
      </c>
      <c r="I63" s="18" t="s">
        <v>824</v>
      </c>
      <c r="J63" s="13" t="s">
        <v>815</v>
      </c>
      <c r="K63" s="13" t="s">
        <v>780</v>
      </c>
      <c r="L63" s="13" t="s">
        <v>692</v>
      </c>
      <c r="M63" s="13" t="s">
        <v>830</v>
      </c>
      <c r="N63" s="13" t="s">
        <v>109</v>
      </c>
      <c r="O63" s="17">
        <f t="shared" si="3"/>
        <v>0</v>
      </c>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4"/>
    </row>
    <row r="64" spans="1:50" ht="18.75" customHeight="1">
      <c r="A64" s="4">
        <v>59</v>
      </c>
      <c r="B64" s="11" t="s">
        <v>88</v>
      </c>
      <c r="C64" s="12"/>
      <c r="D64" s="12" t="s">
        <v>831</v>
      </c>
      <c r="E64" s="13"/>
      <c r="F64" s="14"/>
      <c r="G64" s="15"/>
      <c r="H64" s="12" t="s">
        <v>695</v>
      </c>
      <c r="I64" s="18" t="s">
        <v>824</v>
      </c>
      <c r="J64" s="13" t="s">
        <v>815</v>
      </c>
      <c r="K64" s="13" t="s">
        <v>696</v>
      </c>
      <c r="L64" s="13" t="s">
        <v>692</v>
      </c>
      <c r="M64" s="13" t="s">
        <v>832</v>
      </c>
      <c r="N64" s="13" t="s">
        <v>109</v>
      </c>
      <c r="O64" s="17">
        <f t="shared" si="3"/>
        <v>0</v>
      </c>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4"/>
    </row>
    <row r="65" spans="1:50" ht="18.75" customHeight="1">
      <c r="A65" s="4">
        <v>60</v>
      </c>
      <c r="B65" s="11" t="s">
        <v>88</v>
      </c>
      <c r="C65" s="12"/>
      <c r="D65" s="12" t="s">
        <v>833</v>
      </c>
      <c r="E65" s="13"/>
      <c r="F65" s="14"/>
      <c r="G65" s="15"/>
      <c r="H65" s="12" t="s">
        <v>699</v>
      </c>
      <c r="I65" s="18" t="s">
        <v>824</v>
      </c>
      <c r="J65" s="13" t="s">
        <v>815</v>
      </c>
      <c r="K65" s="13" t="s">
        <v>700</v>
      </c>
      <c r="L65" s="13" t="s">
        <v>692</v>
      </c>
      <c r="M65" s="13" t="s">
        <v>834</v>
      </c>
      <c r="N65" s="13" t="s">
        <v>109</v>
      </c>
      <c r="O65" s="17">
        <f t="shared" si="3"/>
        <v>0</v>
      </c>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4"/>
    </row>
    <row r="66" spans="1:50" ht="18.75" customHeight="1">
      <c r="A66" s="4">
        <v>61</v>
      </c>
      <c r="B66" s="5" t="s">
        <v>88</v>
      </c>
      <c r="C66" s="6"/>
      <c r="D66" s="38" t="s">
        <v>835</v>
      </c>
      <c r="E66" s="58"/>
      <c r="F66" s="38" t="s">
        <v>836</v>
      </c>
      <c r="G66" s="60"/>
      <c r="H66" s="9"/>
      <c r="I66" s="7"/>
      <c r="J66" s="4"/>
      <c r="K66" s="4"/>
      <c r="L66" s="4"/>
      <c r="M66" s="4"/>
      <c r="N66" s="4"/>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9"/>
    </row>
    <row r="67" spans="1:50" ht="18.75" customHeight="1">
      <c r="A67" s="4">
        <v>62</v>
      </c>
      <c r="B67" s="21" t="s">
        <v>88</v>
      </c>
      <c r="C67" s="3"/>
      <c r="D67" s="1"/>
      <c r="E67" s="2"/>
      <c r="F67" s="1"/>
      <c r="G67" s="26" t="s">
        <v>837</v>
      </c>
      <c r="H67" s="1"/>
      <c r="I67" s="22"/>
      <c r="J67" s="2"/>
      <c r="K67" s="2"/>
      <c r="L67" s="2"/>
      <c r="M67" s="2"/>
      <c r="N67" s="2"/>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1"/>
    </row>
    <row r="68" spans="1:50" ht="18.75" customHeight="1">
      <c r="A68" s="4">
        <v>63</v>
      </c>
      <c r="B68" s="11" t="s">
        <v>88</v>
      </c>
      <c r="C68" s="12"/>
      <c r="D68" s="12" t="s">
        <v>838</v>
      </c>
      <c r="E68" s="13"/>
      <c r="F68" s="14"/>
      <c r="G68" s="15"/>
      <c r="H68" s="12" t="s">
        <v>710</v>
      </c>
      <c r="I68" s="18" t="s">
        <v>839</v>
      </c>
      <c r="J68" s="13" t="s">
        <v>815</v>
      </c>
      <c r="K68" s="13" t="s">
        <v>712</v>
      </c>
      <c r="L68" s="13" t="s">
        <v>692</v>
      </c>
      <c r="M68" s="13" t="s">
        <v>840</v>
      </c>
      <c r="N68" s="13" t="s">
        <v>109</v>
      </c>
      <c r="O68" s="17">
        <f>SUM(P68:AW68)</f>
        <v>0</v>
      </c>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4"/>
    </row>
    <row r="69" spans="1:50" ht="18.75" customHeight="1">
      <c r="A69" s="4">
        <v>64</v>
      </c>
      <c r="B69" s="11" t="s">
        <v>88</v>
      </c>
      <c r="C69" s="12"/>
      <c r="D69" s="12" t="s">
        <v>841</v>
      </c>
      <c r="E69" s="13"/>
      <c r="F69" s="14"/>
      <c r="G69" s="15"/>
      <c r="H69" s="12" t="s">
        <v>689</v>
      </c>
      <c r="I69" s="18" t="s">
        <v>842</v>
      </c>
      <c r="J69" s="13" t="s">
        <v>815</v>
      </c>
      <c r="K69" s="13" t="s">
        <v>407</v>
      </c>
      <c r="L69" s="13" t="s">
        <v>692</v>
      </c>
      <c r="M69" s="13" t="s">
        <v>843</v>
      </c>
      <c r="N69" s="13" t="s">
        <v>109</v>
      </c>
      <c r="O69" s="17">
        <f>SUM(P69:AW69)</f>
        <v>0</v>
      </c>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4"/>
    </row>
    <row r="70" spans="1:50" ht="18.75" customHeight="1">
      <c r="A70" s="4">
        <v>65</v>
      </c>
      <c r="B70" s="11" t="s">
        <v>88</v>
      </c>
      <c r="C70" s="12"/>
      <c r="D70" s="12" t="s">
        <v>844</v>
      </c>
      <c r="E70" s="13"/>
      <c r="F70" s="14"/>
      <c r="G70" s="15"/>
      <c r="H70" s="12" t="s">
        <v>699</v>
      </c>
      <c r="I70" s="18" t="s">
        <v>845</v>
      </c>
      <c r="J70" s="13" t="s">
        <v>815</v>
      </c>
      <c r="K70" s="13" t="s">
        <v>700</v>
      </c>
      <c r="L70" s="13" t="s">
        <v>692</v>
      </c>
      <c r="M70" s="13" t="s">
        <v>846</v>
      </c>
      <c r="N70" s="13" t="s">
        <v>109</v>
      </c>
      <c r="O70" s="17">
        <f>SUM(P70:AW70)</f>
        <v>0</v>
      </c>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4"/>
    </row>
    <row r="71" spans="1:50" ht="18.75" customHeight="1">
      <c r="A71" s="4">
        <v>66</v>
      </c>
      <c r="B71" s="5" t="s">
        <v>88</v>
      </c>
      <c r="C71" s="6"/>
      <c r="D71" s="38" t="s">
        <v>847</v>
      </c>
      <c r="E71" s="58"/>
      <c r="F71" s="38" t="s">
        <v>848</v>
      </c>
      <c r="G71" s="60"/>
      <c r="H71" s="9"/>
      <c r="I71" s="7"/>
      <c r="J71" s="4"/>
      <c r="K71" s="4"/>
      <c r="L71" s="4"/>
      <c r="M71" s="4"/>
      <c r="N71" s="4"/>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9"/>
    </row>
    <row r="72" spans="1:50" ht="18.75" customHeight="1">
      <c r="A72" s="4">
        <v>67</v>
      </c>
      <c r="B72" s="21" t="s">
        <v>88</v>
      </c>
      <c r="C72" s="3"/>
      <c r="D72" s="1"/>
      <c r="E72" s="2"/>
      <c r="F72" s="1"/>
      <c r="G72" s="26" t="s">
        <v>837</v>
      </c>
      <c r="H72" s="1"/>
      <c r="I72" s="22"/>
      <c r="J72" s="2"/>
      <c r="K72" s="2"/>
      <c r="L72" s="2"/>
      <c r="M72" s="2"/>
      <c r="N72" s="2"/>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1"/>
    </row>
    <row r="73" spans="1:50" ht="18.75" customHeight="1">
      <c r="A73" s="4">
        <v>68</v>
      </c>
      <c r="B73" s="11" t="s">
        <v>88</v>
      </c>
      <c r="C73" s="12"/>
      <c r="D73" s="12" t="s">
        <v>849</v>
      </c>
      <c r="E73" s="13"/>
      <c r="F73" s="12" t="s">
        <v>848</v>
      </c>
      <c r="G73" s="15"/>
      <c r="H73" s="12" t="s">
        <v>689</v>
      </c>
      <c r="I73" s="18" t="s">
        <v>850</v>
      </c>
      <c r="J73" s="13" t="s">
        <v>851</v>
      </c>
      <c r="K73" s="13" t="s">
        <v>407</v>
      </c>
      <c r="L73" s="13" t="s">
        <v>692</v>
      </c>
      <c r="M73" s="13" t="s">
        <v>852</v>
      </c>
      <c r="N73" s="13" t="s">
        <v>109</v>
      </c>
      <c r="O73" s="17">
        <f>SUM(P73:AW73)</f>
        <v>6000</v>
      </c>
      <c r="P73" s="17"/>
      <c r="Q73" s="17">
        <f>(9000+2000+1000)/4</f>
        <v>3000</v>
      </c>
      <c r="R73" s="17"/>
      <c r="S73" s="17"/>
      <c r="T73" s="17"/>
      <c r="U73" s="17">
        <f>(9000+2000+1000)/4</f>
        <v>3000</v>
      </c>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4"/>
    </row>
    <row r="74" spans="1:50" ht="18.75" customHeight="1">
      <c r="A74" s="4">
        <v>69</v>
      </c>
      <c r="B74" s="11" t="s">
        <v>88</v>
      </c>
      <c r="C74" s="12"/>
      <c r="D74" s="12" t="s">
        <v>853</v>
      </c>
      <c r="E74" s="13"/>
      <c r="F74" s="12" t="s">
        <v>848</v>
      </c>
      <c r="G74" s="15"/>
      <c r="H74" s="12" t="s">
        <v>689</v>
      </c>
      <c r="I74" s="18" t="s">
        <v>854</v>
      </c>
      <c r="J74" s="13" t="s">
        <v>851</v>
      </c>
      <c r="K74" s="13" t="s">
        <v>407</v>
      </c>
      <c r="L74" s="13" t="s">
        <v>692</v>
      </c>
      <c r="M74" s="13" t="s">
        <v>855</v>
      </c>
      <c r="N74" s="13" t="s">
        <v>109</v>
      </c>
      <c r="O74" s="17">
        <f>SUM(P74:AW74)</f>
        <v>6000</v>
      </c>
      <c r="P74" s="17"/>
      <c r="Q74" s="17">
        <f>(9000+2000+1000)/4</f>
        <v>3000</v>
      </c>
      <c r="R74" s="17"/>
      <c r="S74" s="17"/>
      <c r="T74" s="17"/>
      <c r="U74" s="17">
        <f>(9000+2000+1000)/4</f>
        <v>3000</v>
      </c>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4"/>
    </row>
    <row r="75" spans="1:50" ht="18.75" customHeight="1">
      <c r="A75" s="4">
        <v>70</v>
      </c>
      <c r="B75" s="11" t="s">
        <v>88</v>
      </c>
      <c r="C75" s="12"/>
      <c r="D75" s="12" t="s">
        <v>856</v>
      </c>
      <c r="E75" s="13"/>
      <c r="F75" s="12" t="s">
        <v>848</v>
      </c>
      <c r="G75" s="15"/>
      <c r="H75" s="12" t="s">
        <v>689</v>
      </c>
      <c r="I75" s="18" t="s">
        <v>857</v>
      </c>
      <c r="J75" s="13" t="s">
        <v>851</v>
      </c>
      <c r="K75" s="13" t="s">
        <v>407</v>
      </c>
      <c r="L75" s="13" t="s">
        <v>692</v>
      </c>
      <c r="M75" s="13" t="s">
        <v>858</v>
      </c>
      <c r="N75" s="13" t="s">
        <v>109</v>
      </c>
      <c r="O75" s="17">
        <f>SUM(P75:AW75)</f>
        <v>6000</v>
      </c>
      <c r="P75" s="17"/>
      <c r="Q75" s="17">
        <f>(9000+2000+1000)/4</f>
        <v>3000</v>
      </c>
      <c r="R75" s="17"/>
      <c r="S75" s="17"/>
      <c r="T75" s="17"/>
      <c r="U75" s="17">
        <f>(9000+2000+1000)/4</f>
        <v>3000</v>
      </c>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4"/>
    </row>
    <row r="76" spans="1:50" ht="18.75" customHeight="1">
      <c r="A76" s="4">
        <v>71</v>
      </c>
      <c r="B76" s="11" t="s">
        <v>88</v>
      </c>
      <c r="C76" s="12"/>
      <c r="D76" s="12" t="s">
        <v>859</v>
      </c>
      <c r="E76" s="13"/>
      <c r="F76" s="12" t="s">
        <v>848</v>
      </c>
      <c r="G76" s="15"/>
      <c r="H76" s="12" t="s">
        <v>689</v>
      </c>
      <c r="I76" s="18" t="s">
        <v>860</v>
      </c>
      <c r="J76" s="13" t="s">
        <v>851</v>
      </c>
      <c r="K76" s="13" t="s">
        <v>407</v>
      </c>
      <c r="L76" s="13" t="s">
        <v>692</v>
      </c>
      <c r="M76" s="13" t="s">
        <v>861</v>
      </c>
      <c r="N76" s="13" t="s">
        <v>109</v>
      </c>
      <c r="O76" s="17">
        <f>SUM(P76:AW76)</f>
        <v>6000</v>
      </c>
      <c r="P76" s="17"/>
      <c r="Q76" s="17">
        <f>(9000+2000+1000)/4</f>
        <v>3000</v>
      </c>
      <c r="R76" s="17"/>
      <c r="S76" s="17"/>
      <c r="T76" s="17"/>
      <c r="U76" s="17">
        <f>(9000+2000+1000)/4</f>
        <v>3000</v>
      </c>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4"/>
    </row>
    <row r="77" spans="1:50">
      <c r="AD77" s="46"/>
    </row>
  </sheetData>
  <autoFilter ref="A5:AW76" xr:uid="{00000000-0009-0000-0000-000003000000}"/>
  <mergeCells count="7">
    <mergeCell ref="AC3:AW3"/>
    <mergeCell ref="AX3:AX5"/>
    <mergeCell ref="P3:AB3"/>
    <mergeCell ref="A1:AX1"/>
    <mergeCell ref="O3:O5"/>
    <mergeCell ref="N3:N5"/>
    <mergeCell ref="A2:AX2"/>
  </mergeCells>
  <pageMargins left="1" right="1" top="1" bottom="1" header="0.3" footer="0.3"/>
  <pageSetup paperSize="0" orientation="portrait"/>
  <headerFooter>
    <oddHeader>&amp;L&amp;"Calibri"&amp;8&amp;K000000 대외비(Restricted)&amp;1#_x000D_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W80"/>
  <sheetViews>
    <sheetView zoomScale="70" zoomScaleNormal="70" workbookViewId="0">
      <pane xSplit="12" ySplit="5" topLeftCell="M6" activePane="bottomRight" state="frozen"/>
      <selection pane="bottomRight" activeCell="O5" sqref="O5:Q5"/>
      <selection pane="bottomLeft" activeCell="A6" sqref="A6"/>
      <selection pane="topRight" activeCell="M1" sqref="M1"/>
    </sheetView>
  </sheetViews>
  <sheetFormatPr defaultRowHeight="14.45" outlineLevelCol="1"/>
  <cols>
    <col min="1" max="1" width="5.7109375" customWidth="1"/>
    <col min="2" max="2" width="11.28515625" customWidth="1"/>
    <col min="3" max="3" width="21.28515625" customWidth="1"/>
    <col min="4" max="4" width="8.7109375" customWidth="1"/>
    <col min="5" max="5" width="14.28515625" customWidth="1" outlineLevel="1"/>
    <col min="6" max="6" width="14.28515625" customWidth="1"/>
    <col min="7" max="7" width="35.7109375" customWidth="1"/>
    <col min="8" max="8" width="14.28515625" customWidth="1"/>
    <col min="9" max="9" width="28.7109375" customWidth="1"/>
    <col min="10" max="12" width="14.28515625" hidden="1" customWidth="1" outlineLevel="1"/>
    <col min="13" max="13" width="8.7109375" customWidth="1" collapsed="1"/>
    <col min="14" max="14" width="11.28515625" customWidth="1"/>
    <col min="15" max="32" width="13" customWidth="1"/>
    <col min="33" max="33" width="13" customWidth="1" collapsed="1"/>
    <col min="34" max="48" width="13" customWidth="1"/>
    <col min="49" max="49" width="21.28515625" customWidth="1"/>
  </cols>
  <sheetData>
    <row r="1" spans="1:49" ht="18.75" customHeight="1">
      <c r="A1" s="115" t="s">
        <v>7</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row>
    <row r="2" spans="1:49" ht="13.5" customHeight="1">
      <c r="A2" s="116" t="s">
        <v>8</v>
      </c>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row>
    <row r="3" spans="1:49" ht="23.25" customHeight="1">
      <c r="A3" s="104" t="s">
        <v>9</v>
      </c>
      <c r="B3" s="104" t="s">
        <v>10</v>
      </c>
      <c r="C3" s="104" t="s">
        <v>11</v>
      </c>
      <c r="D3" s="104" t="s">
        <v>12</v>
      </c>
      <c r="E3" s="104" t="s">
        <v>13</v>
      </c>
      <c r="F3" s="104" t="s">
        <v>14</v>
      </c>
      <c r="G3" s="104" t="s">
        <v>15</v>
      </c>
      <c r="I3" s="104" t="s">
        <v>16</v>
      </c>
      <c r="J3" s="104" t="s">
        <v>17</v>
      </c>
      <c r="K3" s="104" t="s">
        <v>862</v>
      </c>
      <c r="L3" s="104" t="s">
        <v>23</v>
      </c>
      <c r="M3" s="114" t="s">
        <v>24</v>
      </c>
      <c r="N3" s="114" t="s">
        <v>25</v>
      </c>
      <c r="O3" s="113" t="s">
        <v>26</v>
      </c>
      <c r="P3" s="124"/>
      <c r="Q3" s="124"/>
      <c r="R3" s="124"/>
      <c r="S3" s="124"/>
      <c r="T3" s="124"/>
      <c r="U3" s="124"/>
      <c r="V3" s="124"/>
      <c r="W3" s="124"/>
      <c r="X3" s="124"/>
      <c r="Y3" s="124"/>
      <c r="Z3" s="124"/>
      <c r="AA3" s="125"/>
      <c r="AB3" s="113" t="s">
        <v>27</v>
      </c>
      <c r="AC3" s="124"/>
      <c r="AD3" s="124"/>
      <c r="AE3" s="124"/>
      <c r="AF3" s="124"/>
      <c r="AG3" s="124"/>
      <c r="AH3" s="124"/>
      <c r="AI3" s="124"/>
      <c r="AJ3" s="124"/>
      <c r="AK3" s="124"/>
      <c r="AL3" s="124"/>
      <c r="AM3" s="124"/>
      <c r="AN3" s="124"/>
      <c r="AO3" s="124"/>
      <c r="AP3" s="124"/>
      <c r="AQ3" s="124"/>
      <c r="AR3" s="124"/>
      <c r="AS3" s="124"/>
      <c r="AT3" s="124"/>
      <c r="AU3" s="124"/>
      <c r="AV3" s="125"/>
      <c r="AW3" s="114" t="s">
        <v>28</v>
      </c>
    </row>
    <row r="4" spans="1:49" ht="23.25" customHeight="1">
      <c r="G4" s="104" t="s">
        <v>29</v>
      </c>
      <c r="H4" s="104" t="s">
        <v>30</v>
      </c>
      <c r="M4" s="126"/>
      <c r="N4" s="126"/>
      <c r="O4" s="103" t="s">
        <v>31</v>
      </c>
      <c r="P4" s="103" t="s">
        <v>32</v>
      </c>
      <c r="Q4" s="103" t="s">
        <v>33</v>
      </c>
      <c r="R4" s="103" t="s">
        <v>34</v>
      </c>
      <c r="S4" s="103" t="s">
        <v>35</v>
      </c>
      <c r="T4" s="103" t="s">
        <v>36</v>
      </c>
      <c r="U4" s="104" t="s">
        <v>37</v>
      </c>
      <c r="V4" s="104" t="s">
        <v>38</v>
      </c>
      <c r="W4" s="103" t="s">
        <v>39</v>
      </c>
      <c r="X4" s="103" t="s">
        <v>40</v>
      </c>
      <c r="Y4" s="104" t="s">
        <v>41</v>
      </c>
      <c r="Z4" s="103" t="s">
        <v>42</v>
      </c>
      <c r="AA4" s="103" t="s">
        <v>43</v>
      </c>
      <c r="AB4" s="104" t="s">
        <v>44</v>
      </c>
      <c r="AC4" s="104" t="s">
        <v>45</v>
      </c>
      <c r="AD4" s="103" t="s">
        <v>46</v>
      </c>
      <c r="AE4" s="104" t="s">
        <v>47</v>
      </c>
      <c r="AF4" s="104" t="s">
        <v>48</v>
      </c>
      <c r="AG4" s="103" t="s">
        <v>49</v>
      </c>
      <c r="AH4" s="103" t="s">
        <v>50</v>
      </c>
      <c r="AI4" s="103" t="s">
        <v>51</v>
      </c>
      <c r="AJ4" s="103" t="s">
        <v>52</v>
      </c>
      <c r="AK4" s="103" t="s">
        <v>53</v>
      </c>
      <c r="AL4" s="103" t="s">
        <v>54</v>
      </c>
      <c r="AM4" s="103" t="s">
        <v>55</v>
      </c>
      <c r="AN4" s="103" t="s">
        <v>56</v>
      </c>
      <c r="AO4" s="103" t="s">
        <v>57</v>
      </c>
      <c r="AP4" s="103" t="s">
        <v>58</v>
      </c>
      <c r="AQ4" s="103" t="s">
        <v>59</v>
      </c>
      <c r="AR4" s="103" t="s">
        <v>60</v>
      </c>
      <c r="AS4" s="103" t="s">
        <v>61</v>
      </c>
      <c r="AT4" s="103" t="s">
        <v>62</v>
      </c>
      <c r="AU4" s="103" t="s">
        <v>63</v>
      </c>
      <c r="AV4" s="105" t="s">
        <v>64</v>
      </c>
      <c r="AW4" s="126"/>
    </row>
    <row r="5" spans="1:49" ht="23.25" customHeight="1">
      <c r="M5" s="127"/>
      <c r="N5" s="127"/>
      <c r="O5" s="104" t="s">
        <v>65</v>
      </c>
      <c r="P5" s="104" t="s">
        <v>65</v>
      </c>
      <c r="Q5" s="104" t="s">
        <v>66</v>
      </c>
      <c r="R5" s="103" t="s">
        <v>66</v>
      </c>
      <c r="S5" s="103" t="s">
        <v>66</v>
      </c>
      <c r="T5" s="103" t="s">
        <v>66</v>
      </c>
      <c r="U5" s="103" t="s">
        <v>67</v>
      </c>
      <c r="V5" s="104" t="s">
        <v>68</v>
      </c>
      <c r="W5" s="103" t="s">
        <v>69</v>
      </c>
      <c r="X5" s="103" t="s">
        <v>70</v>
      </c>
      <c r="Y5" s="103" t="s">
        <v>71</v>
      </c>
      <c r="Z5" s="103" t="s">
        <v>72</v>
      </c>
      <c r="AA5" s="103" t="s">
        <v>73</v>
      </c>
      <c r="AB5" s="104" t="s">
        <v>74</v>
      </c>
      <c r="AC5" s="104" t="s">
        <v>75</v>
      </c>
      <c r="AD5" s="103" t="s">
        <v>76</v>
      </c>
      <c r="AE5" s="104" t="s">
        <v>77</v>
      </c>
      <c r="AF5" s="104" t="s">
        <v>78</v>
      </c>
      <c r="AG5" s="103" t="s">
        <v>79</v>
      </c>
      <c r="AH5" s="103" t="s">
        <v>80</v>
      </c>
      <c r="AI5" s="103" t="s">
        <v>81</v>
      </c>
      <c r="AJ5" s="103" t="s">
        <v>82</v>
      </c>
      <c r="AK5" s="103" t="s">
        <v>83</v>
      </c>
      <c r="AL5" s="103" t="s">
        <v>84</v>
      </c>
      <c r="AM5" s="103" t="s">
        <v>72</v>
      </c>
      <c r="AN5" s="103" t="s">
        <v>85</v>
      </c>
      <c r="AO5" s="103" t="s">
        <v>86</v>
      </c>
      <c r="AP5" s="103" t="s">
        <v>87</v>
      </c>
      <c r="AQ5" s="103" t="s">
        <v>86</v>
      </c>
      <c r="AR5" s="103" t="s">
        <v>87</v>
      </c>
      <c r="AS5" s="103" t="s">
        <v>87</v>
      </c>
      <c r="AT5" s="103" t="s">
        <v>86</v>
      </c>
      <c r="AU5" s="103" t="s">
        <v>87</v>
      </c>
      <c r="AV5" s="103" t="s">
        <v>87</v>
      </c>
      <c r="AW5" s="127"/>
    </row>
    <row r="6" spans="1:49" ht="18.75" customHeight="1">
      <c r="A6" s="4">
        <v>1</v>
      </c>
      <c r="B6" s="5" t="s">
        <v>88</v>
      </c>
      <c r="C6" s="6"/>
      <c r="D6" s="6" t="s">
        <v>863</v>
      </c>
      <c r="E6" s="4"/>
      <c r="F6" s="6" t="s">
        <v>864</v>
      </c>
      <c r="G6" s="7"/>
      <c r="H6" s="9"/>
      <c r="I6" s="7"/>
      <c r="J6" s="4"/>
      <c r="K6" s="4"/>
      <c r="L6" s="4"/>
      <c r="M6" s="4"/>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9"/>
    </row>
    <row r="7" spans="1:49" ht="18.75" customHeight="1">
      <c r="A7" s="4">
        <v>2</v>
      </c>
      <c r="B7" s="5" t="s">
        <v>88</v>
      </c>
      <c r="C7" s="6"/>
      <c r="D7" s="38" t="s">
        <v>865</v>
      </c>
      <c r="E7" s="58"/>
      <c r="F7" s="38" t="s">
        <v>866</v>
      </c>
      <c r="G7" s="60"/>
      <c r="H7" s="9"/>
      <c r="I7" s="7"/>
      <c r="J7" s="4"/>
      <c r="K7" s="4"/>
      <c r="L7" s="4"/>
      <c r="M7" s="4"/>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9"/>
    </row>
    <row r="8" spans="1:49" ht="18.75" customHeight="1">
      <c r="A8" s="4">
        <v>3</v>
      </c>
      <c r="B8" s="21" t="s">
        <v>88</v>
      </c>
      <c r="C8" s="3"/>
      <c r="D8" s="1"/>
      <c r="E8" s="2"/>
      <c r="F8" s="1"/>
      <c r="G8" s="26" t="s">
        <v>867</v>
      </c>
      <c r="H8" s="1"/>
      <c r="I8" s="22"/>
      <c r="J8" s="2"/>
      <c r="K8" s="2"/>
      <c r="L8" s="2"/>
      <c r="M8" s="2"/>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1"/>
    </row>
    <row r="9" spans="1:49" ht="18.75" customHeight="1">
      <c r="A9" s="4">
        <v>4</v>
      </c>
      <c r="B9" s="21" t="s">
        <v>88</v>
      </c>
      <c r="C9" s="3"/>
      <c r="D9" s="1"/>
      <c r="E9" s="2"/>
      <c r="F9" s="1"/>
      <c r="G9" s="26" t="s">
        <v>868</v>
      </c>
      <c r="H9" s="1"/>
      <c r="I9" s="22"/>
      <c r="J9" s="2"/>
      <c r="K9" s="2"/>
      <c r="L9" s="2"/>
      <c r="M9" s="2"/>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1"/>
    </row>
    <row r="10" spans="1:49" ht="30.75" customHeight="1">
      <c r="A10" s="4">
        <v>5</v>
      </c>
      <c r="B10" s="21" t="s">
        <v>88</v>
      </c>
      <c r="C10" s="3"/>
      <c r="D10" s="1"/>
      <c r="E10" s="2"/>
      <c r="F10" s="1"/>
      <c r="G10" s="26" t="s">
        <v>869</v>
      </c>
      <c r="H10" s="1"/>
      <c r="I10" s="22"/>
      <c r="J10" s="2"/>
      <c r="K10" s="2"/>
      <c r="L10" s="2"/>
      <c r="M10" s="2"/>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1"/>
    </row>
    <row r="11" spans="1:49" ht="18.75" customHeight="1">
      <c r="A11" s="4">
        <v>6</v>
      </c>
      <c r="B11" s="21" t="s">
        <v>88</v>
      </c>
      <c r="C11" s="3"/>
      <c r="D11" s="1"/>
      <c r="E11" s="2"/>
      <c r="F11" s="1"/>
      <c r="G11" s="26" t="s">
        <v>870</v>
      </c>
      <c r="H11" s="1"/>
      <c r="I11" s="22"/>
      <c r="J11" s="2"/>
      <c r="K11" s="2"/>
      <c r="L11" s="2"/>
      <c r="M11" s="2"/>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1"/>
    </row>
    <row r="12" spans="1:49" ht="30.75" customHeight="1">
      <c r="A12" s="4">
        <v>7</v>
      </c>
      <c r="B12" s="21" t="s">
        <v>88</v>
      </c>
      <c r="C12" s="3"/>
      <c r="D12" s="1"/>
      <c r="E12" s="2"/>
      <c r="F12" s="1"/>
      <c r="G12" s="26" t="s">
        <v>871</v>
      </c>
      <c r="H12" s="1"/>
      <c r="I12" s="22"/>
      <c r="J12" s="2"/>
      <c r="K12" s="2"/>
      <c r="L12" s="2"/>
      <c r="M12" s="2"/>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1"/>
    </row>
    <row r="13" spans="1:49" ht="18.75" customHeight="1">
      <c r="A13" s="4">
        <v>8</v>
      </c>
      <c r="B13" s="21" t="s">
        <v>88</v>
      </c>
      <c r="C13" s="3"/>
      <c r="D13" s="1"/>
      <c r="E13" s="2"/>
      <c r="F13" s="1"/>
      <c r="G13" s="26" t="s">
        <v>872</v>
      </c>
      <c r="H13" s="1"/>
      <c r="I13" s="22"/>
      <c r="J13" s="2"/>
      <c r="K13" s="2"/>
      <c r="L13" s="2"/>
      <c r="M13" s="2"/>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1"/>
    </row>
    <row r="14" spans="1:49" ht="18.75" customHeight="1">
      <c r="A14" s="4">
        <v>9</v>
      </c>
      <c r="B14" s="11" t="s">
        <v>88</v>
      </c>
      <c r="C14" s="12"/>
      <c r="D14" s="12" t="s">
        <v>873</v>
      </c>
      <c r="E14" s="13"/>
      <c r="F14" s="14"/>
      <c r="G14" s="15"/>
      <c r="H14" s="12" t="s">
        <v>874</v>
      </c>
      <c r="I14" s="18" t="s">
        <v>875</v>
      </c>
      <c r="J14" s="13" t="s">
        <v>876</v>
      </c>
      <c r="K14" s="13" t="s">
        <v>877</v>
      </c>
      <c r="L14" s="13" t="s">
        <v>878</v>
      </c>
      <c r="M14" s="13" t="s">
        <v>428</v>
      </c>
      <c r="N14" s="17">
        <f t="shared" ref="N14:N23" si="0">SUM(O14:AV14)</f>
        <v>0</v>
      </c>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2"/>
    </row>
    <row r="15" spans="1:49" ht="18.75" customHeight="1">
      <c r="A15" s="4">
        <v>10</v>
      </c>
      <c r="B15" s="11" t="s">
        <v>88</v>
      </c>
      <c r="C15" s="12"/>
      <c r="D15" s="12" t="s">
        <v>879</v>
      </c>
      <c r="E15" s="13"/>
      <c r="F15" s="14"/>
      <c r="G15" s="15"/>
      <c r="H15" s="12" t="s">
        <v>880</v>
      </c>
      <c r="I15" s="18" t="s">
        <v>881</v>
      </c>
      <c r="J15" s="13" t="s">
        <v>876</v>
      </c>
      <c r="K15" s="13" t="s">
        <v>882</v>
      </c>
      <c r="L15" s="13" t="s">
        <v>883</v>
      </c>
      <c r="M15" s="13" t="s">
        <v>428</v>
      </c>
      <c r="N15" s="17">
        <f t="shared" si="0"/>
        <v>0</v>
      </c>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2"/>
    </row>
    <row r="16" spans="1:49" ht="18.75" customHeight="1">
      <c r="A16" s="4">
        <v>11</v>
      </c>
      <c r="B16" s="11" t="s">
        <v>88</v>
      </c>
      <c r="C16" s="12"/>
      <c r="D16" s="12" t="s">
        <v>884</v>
      </c>
      <c r="E16" s="13"/>
      <c r="F16" s="14"/>
      <c r="G16" s="15"/>
      <c r="H16" s="12" t="s">
        <v>885</v>
      </c>
      <c r="I16" s="18" t="s">
        <v>886</v>
      </c>
      <c r="J16" s="13" t="s">
        <v>876</v>
      </c>
      <c r="K16" s="13" t="s">
        <v>887</v>
      </c>
      <c r="L16" s="13" t="s">
        <v>888</v>
      </c>
      <c r="M16" s="13" t="s">
        <v>428</v>
      </c>
      <c r="N16" s="17">
        <f t="shared" si="0"/>
        <v>0</v>
      </c>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2"/>
    </row>
    <row r="17" spans="1:49" ht="18.75" customHeight="1">
      <c r="A17" s="4">
        <v>12</v>
      </c>
      <c r="B17" s="11" t="s">
        <v>88</v>
      </c>
      <c r="C17" s="12"/>
      <c r="D17" s="12" t="s">
        <v>889</v>
      </c>
      <c r="E17" s="13"/>
      <c r="F17" s="14"/>
      <c r="G17" s="15"/>
      <c r="H17" s="12" t="s">
        <v>890</v>
      </c>
      <c r="I17" s="18" t="s">
        <v>891</v>
      </c>
      <c r="J17" s="13" t="s">
        <v>876</v>
      </c>
      <c r="K17" s="13" t="s">
        <v>892</v>
      </c>
      <c r="L17" s="13" t="s">
        <v>893</v>
      </c>
      <c r="M17" s="13" t="s">
        <v>428</v>
      </c>
      <c r="N17" s="17">
        <f t="shared" si="0"/>
        <v>0</v>
      </c>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2"/>
    </row>
    <row r="18" spans="1:49" ht="18.75" customHeight="1">
      <c r="A18" s="4">
        <v>13</v>
      </c>
      <c r="B18" s="11" t="s">
        <v>88</v>
      </c>
      <c r="C18" s="12"/>
      <c r="D18" s="12" t="s">
        <v>894</v>
      </c>
      <c r="E18" s="13"/>
      <c r="F18" s="14"/>
      <c r="G18" s="15"/>
      <c r="H18" s="12" t="s">
        <v>874</v>
      </c>
      <c r="I18" s="18" t="s">
        <v>895</v>
      </c>
      <c r="J18" s="13" t="s">
        <v>876</v>
      </c>
      <c r="K18" s="13" t="s">
        <v>877</v>
      </c>
      <c r="L18" s="13" t="s">
        <v>896</v>
      </c>
      <c r="M18" s="13" t="s">
        <v>428</v>
      </c>
      <c r="N18" s="17">
        <f t="shared" si="0"/>
        <v>0</v>
      </c>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2" t="s">
        <v>897</v>
      </c>
    </row>
    <row r="19" spans="1:49" ht="18.75" customHeight="1">
      <c r="A19" s="4">
        <v>14</v>
      </c>
      <c r="B19" s="11" t="s">
        <v>88</v>
      </c>
      <c r="C19" s="12"/>
      <c r="D19" s="12" t="s">
        <v>898</v>
      </c>
      <c r="E19" s="13"/>
      <c r="F19" s="14"/>
      <c r="G19" s="15"/>
      <c r="H19" s="12" t="s">
        <v>880</v>
      </c>
      <c r="I19" s="18" t="s">
        <v>899</v>
      </c>
      <c r="J19" s="13" t="s">
        <v>876</v>
      </c>
      <c r="K19" s="13" t="s">
        <v>882</v>
      </c>
      <c r="L19" s="13" t="s">
        <v>900</v>
      </c>
      <c r="M19" s="13" t="s">
        <v>428</v>
      </c>
      <c r="N19" s="17">
        <f t="shared" si="0"/>
        <v>1995</v>
      </c>
      <c r="O19" s="17"/>
      <c r="P19" s="17"/>
      <c r="Q19" s="17">
        <f>198*5+34*5+16*5+9*5</f>
        <v>1285</v>
      </c>
      <c r="R19" s="17"/>
      <c r="S19" s="17"/>
      <c r="T19" s="17"/>
      <c r="U19" s="17">
        <f>12*5+4*5</f>
        <v>80</v>
      </c>
      <c r="V19" s="17">
        <f>11*5+4*5</f>
        <v>75</v>
      </c>
      <c r="W19" s="17"/>
      <c r="X19" s="17"/>
      <c r="Y19" s="17"/>
      <c r="Z19" s="17"/>
      <c r="AA19" s="17"/>
      <c r="AB19" s="17">
        <f>32*5+4*5+6*5+3*5</f>
        <v>225</v>
      </c>
      <c r="AC19" s="17">
        <f>18*5+3*5+6*5+3*5</f>
        <v>150</v>
      </c>
      <c r="AD19" s="17"/>
      <c r="AE19" s="17">
        <f>10*5+4*5</f>
        <v>70</v>
      </c>
      <c r="AF19" s="17">
        <f>8*5+4*5</f>
        <v>60</v>
      </c>
      <c r="AG19" s="17"/>
      <c r="AH19" s="17"/>
      <c r="AI19" s="17"/>
      <c r="AJ19" s="17"/>
      <c r="AK19" s="17"/>
      <c r="AL19" s="17"/>
      <c r="AM19" s="17"/>
      <c r="AN19" s="17"/>
      <c r="AO19" s="17"/>
      <c r="AP19" s="17"/>
      <c r="AQ19" s="17"/>
      <c r="AR19" s="17"/>
      <c r="AS19" s="17"/>
      <c r="AT19" s="17"/>
      <c r="AU19" s="17"/>
      <c r="AV19" s="17">
        <f>6*5+4*5</f>
        <v>50</v>
      </c>
      <c r="AW19" s="12" t="s">
        <v>901</v>
      </c>
    </row>
    <row r="20" spans="1:49" ht="18.75" customHeight="1">
      <c r="A20" s="4">
        <v>15</v>
      </c>
      <c r="B20" s="11" t="s">
        <v>88</v>
      </c>
      <c r="C20" s="12"/>
      <c r="D20" s="12" t="s">
        <v>902</v>
      </c>
      <c r="E20" s="13"/>
      <c r="F20" s="14"/>
      <c r="G20" s="15"/>
      <c r="H20" s="12" t="s">
        <v>885</v>
      </c>
      <c r="I20" s="18" t="s">
        <v>903</v>
      </c>
      <c r="J20" s="13" t="s">
        <v>876</v>
      </c>
      <c r="K20" s="13" t="s">
        <v>887</v>
      </c>
      <c r="L20" s="13" t="s">
        <v>904</v>
      </c>
      <c r="M20" s="13" t="s">
        <v>428</v>
      </c>
      <c r="N20" s="17">
        <f t="shared" si="0"/>
        <v>0</v>
      </c>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2" t="s">
        <v>905</v>
      </c>
    </row>
    <row r="21" spans="1:49" ht="18.75" customHeight="1">
      <c r="A21" s="4">
        <v>16</v>
      </c>
      <c r="B21" s="11" t="s">
        <v>88</v>
      </c>
      <c r="C21" s="12"/>
      <c r="D21" s="12" t="s">
        <v>906</v>
      </c>
      <c r="E21" s="13"/>
      <c r="F21" s="14"/>
      <c r="G21" s="15"/>
      <c r="H21" s="12" t="s">
        <v>890</v>
      </c>
      <c r="I21" s="18" t="s">
        <v>907</v>
      </c>
      <c r="J21" s="13" t="s">
        <v>876</v>
      </c>
      <c r="K21" s="13" t="s">
        <v>892</v>
      </c>
      <c r="L21" s="13" t="s">
        <v>908</v>
      </c>
      <c r="M21" s="13" t="s">
        <v>428</v>
      </c>
      <c r="N21" s="17">
        <f t="shared" si="0"/>
        <v>0</v>
      </c>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4"/>
    </row>
    <row r="22" spans="1:49" ht="18.75" customHeight="1">
      <c r="A22" s="4">
        <v>17</v>
      </c>
      <c r="B22" s="11" t="s">
        <v>88</v>
      </c>
      <c r="C22" s="12"/>
      <c r="D22" s="12" t="s">
        <v>909</v>
      </c>
      <c r="E22" s="13"/>
      <c r="F22" s="14"/>
      <c r="G22" s="15"/>
      <c r="H22" s="12" t="s">
        <v>910</v>
      </c>
      <c r="I22" s="18" t="s">
        <v>911</v>
      </c>
      <c r="J22" s="13" t="s">
        <v>876</v>
      </c>
      <c r="K22" s="13" t="s">
        <v>912</v>
      </c>
      <c r="L22" s="13" t="s">
        <v>913</v>
      </c>
      <c r="M22" s="13" t="s">
        <v>428</v>
      </c>
      <c r="N22" s="17">
        <f t="shared" si="0"/>
        <v>0</v>
      </c>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4"/>
    </row>
    <row r="23" spans="1:49" ht="18.75" customHeight="1">
      <c r="A23" s="4">
        <v>18</v>
      </c>
      <c r="B23" s="11" t="s">
        <v>88</v>
      </c>
      <c r="C23" s="12"/>
      <c r="D23" s="12" t="s">
        <v>914</v>
      </c>
      <c r="E23" s="13"/>
      <c r="F23" s="14"/>
      <c r="G23" s="15"/>
      <c r="H23" s="12" t="s">
        <v>874</v>
      </c>
      <c r="I23" s="18" t="s">
        <v>915</v>
      </c>
      <c r="J23" s="13" t="s">
        <v>876</v>
      </c>
      <c r="K23" s="13" t="s">
        <v>877</v>
      </c>
      <c r="L23" s="13" t="s">
        <v>916</v>
      </c>
      <c r="M23" s="13" t="s">
        <v>428</v>
      </c>
      <c r="N23" s="17">
        <f t="shared" si="0"/>
        <v>0</v>
      </c>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4"/>
    </row>
    <row r="24" spans="1:49" ht="18.75" customHeight="1">
      <c r="A24" s="4">
        <v>19</v>
      </c>
      <c r="B24" s="5" t="s">
        <v>88</v>
      </c>
      <c r="C24" s="6"/>
      <c r="D24" s="38" t="s">
        <v>917</v>
      </c>
      <c r="E24" s="58"/>
      <c r="F24" s="38" t="s">
        <v>918</v>
      </c>
      <c r="G24" s="60"/>
      <c r="H24" s="9"/>
      <c r="I24" s="7"/>
      <c r="J24" s="4"/>
      <c r="K24" s="4"/>
      <c r="L24" s="4"/>
      <c r="M24" s="4"/>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9"/>
    </row>
    <row r="25" spans="1:49" ht="18.75" customHeight="1">
      <c r="A25" s="4">
        <v>20</v>
      </c>
      <c r="B25" s="21" t="s">
        <v>88</v>
      </c>
      <c r="C25" s="3"/>
      <c r="D25" s="1"/>
      <c r="E25" s="2"/>
      <c r="F25" s="1"/>
      <c r="G25" s="26" t="s">
        <v>867</v>
      </c>
      <c r="H25" s="1"/>
      <c r="I25" s="22"/>
      <c r="J25" s="2"/>
      <c r="K25" s="2"/>
      <c r="L25" s="2"/>
      <c r="M25" s="2"/>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1"/>
    </row>
    <row r="26" spans="1:49" ht="18.75" customHeight="1">
      <c r="A26" s="4">
        <v>21</v>
      </c>
      <c r="B26" s="21" t="s">
        <v>88</v>
      </c>
      <c r="C26" s="3"/>
      <c r="D26" s="1"/>
      <c r="E26" s="2"/>
      <c r="F26" s="1"/>
      <c r="G26" s="26" t="s">
        <v>868</v>
      </c>
      <c r="H26" s="1"/>
      <c r="I26" s="22"/>
      <c r="J26" s="2"/>
      <c r="K26" s="2"/>
      <c r="L26" s="2"/>
      <c r="M26" s="2"/>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1"/>
    </row>
    <row r="27" spans="1:49" ht="30.75" customHeight="1">
      <c r="A27" s="4">
        <v>22</v>
      </c>
      <c r="B27" s="21" t="s">
        <v>88</v>
      </c>
      <c r="C27" s="3"/>
      <c r="D27" s="1"/>
      <c r="E27" s="2"/>
      <c r="F27" s="1"/>
      <c r="G27" s="26" t="s">
        <v>869</v>
      </c>
      <c r="H27" s="1"/>
      <c r="I27" s="22"/>
      <c r="J27" s="2"/>
      <c r="K27" s="2"/>
      <c r="L27" s="2"/>
      <c r="M27" s="2"/>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1"/>
    </row>
    <row r="28" spans="1:49" ht="18.75" customHeight="1">
      <c r="A28" s="4">
        <v>23</v>
      </c>
      <c r="B28" s="21" t="s">
        <v>88</v>
      </c>
      <c r="C28" s="3"/>
      <c r="D28" s="1"/>
      <c r="E28" s="2"/>
      <c r="F28" s="1"/>
      <c r="G28" s="26" t="s">
        <v>870</v>
      </c>
      <c r="H28" s="1"/>
      <c r="I28" s="22"/>
      <c r="J28" s="2"/>
      <c r="K28" s="2"/>
      <c r="L28" s="2"/>
      <c r="M28" s="2"/>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1"/>
    </row>
    <row r="29" spans="1:49" ht="30.75" customHeight="1">
      <c r="A29" s="4">
        <v>24</v>
      </c>
      <c r="B29" s="21" t="s">
        <v>88</v>
      </c>
      <c r="C29" s="3"/>
      <c r="D29" s="1"/>
      <c r="E29" s="2"/>
      <c r="F29" s="1"/>
      <c r="G29" s="26" t="s">
        <v>919</v>
      </c>
      <c r="H29" s="1"/>
      <c r="I29" s="22"/>
      <c r="J29" s="2"/>
      <c r="K29" s="2"/>
      <c r="L29" s="2"/>
      <c r="M29" s="2"/>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1"/>
    </row>
    <row r="30" spans="1:49" ht="30.75" customHeight="1">
      <c r="A30" s="4">
        <v>25</v>
      </c>
      <c r="B30" s="11" t="s">
        <v>88</v>
      </c>
      <c r="C30" s="12"/>
      <c r="D30" s="12" t="s">
        <v>920</v>
      </c>
      <c r="E30" s="13"/>
      <c r="F30" s="14"/>
      <c r="G30" s="15"/>
      <c r="H30" s="12" t="s">
        <v>874</v>
      </c>
      <c r="I30" s="18" t="s">
        <v>921</v>
      </c>
      <c r="J30" s="13" t="s">
        <v>922</v>
      </c>
      <c r="K30" s="13" t="s">
        <v>877</v>
      </c>
      <c r="L30" s="13" t="s">
        <v>923</v>
      </c>
      <c r="M30" s="13" t="s">
        <v>428</v>
      </c>
      <c r="N30" s="17">
        <f t="shared" ref="N30:N42" si="1">SUM(O30:AV30)</f>
        <v>0</v>
      </c>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2"/>
    </row>
    <row r="31" spans="1:49" ht="30.75" customHeight="1">
      <c r="A31" s="4">
        <v>26</v>
      </c>
      <c r="B31" s="11" t="s">
        <v>88</v>
      </c>
      <c r="C31" s="12"/>
      <c r="D31" s="12" t="s">
        <v>924</v>
      </c>
      <c r="E31" s="13"/>
      <c r="F31" s="14"/>
      <c r="G31" s="15"/>
      <c r="H31" s="12" t="s">
        <v>880</v>
      </c>
      <c r="I31" s="18" t="s">
        <v>925</v>
      </c>
      <c r="J31" s="13" t="s">
        <v>922</v>
      </c>
      <c r="K31" s="13" t="s">
        <v>882</v>
      </c>
      <c r="L31" s="13" t="s">
        <v>926</v>
      </c>
      <c r="M31" s="13" t="s">
        <v>428</v>
      </c>
      <c r="N31" s="17">
        <f t="shared" si="1"/>
        <v>0</v>
      </c>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2"/>
    </row>
    <row r="32" spans="1:49" ht="30.75" customHeight="1">
      <c r="A32" s="4">
        <v>27</v>
      </c>
      <c r="B32" s="11" t="s">
        <v>88</v>
      </c>
      <c r="C32" s="12"/>
      <c r="D32" s="12" t="s">
        <v>927</v>
      </c>
      <c r="E32" s="13"/>
      <c r="F32" s="14"/>
      <c r="G32" s="15"/>
      <c r="H32" s="12" t="s">
        <v>885</v>
      </c>
      <c r="I32" s="18" t="s">
        <v>928</v>
      </c>
      <c r="J32" s="13" t="s">
        <v>922</v>
      </c>
      <c r="K32" s="13" t="s">
        <v>887</v>
      </c>
      <c r="L32" s="13" t="s">
        <v>929</v>
      </c>
      <c r="M32" s="13" t="s">
        <v>428</v>
      </c>
      <c r="N32" s="17">
        <f t="shared" si="1"/>
        <v>0</v>
      </c>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2"/>
    </row>
    <row r="33" spans="1:49" ht="30.75" customHeight="1">
      <c r="A33" s="4">
        <v>28</v>
      </c>
      <c r="B33" s="11" t="s">
        <v>88</v>
      </c>
      <c r="C33" s="12"/>
      <c r="D33" s="12" t="s">
        <v>930</v>
      </c>
      <c r="E33" s="13"/>
      <c r="F33" s="14"/>
      <c r="G33" s="15"/>
      <c r="H33" s="12" t="s">
        <v>890</v>
      </c>
      <c r="I33" s="18" t="s">
        <v>931</v>
      </c>
      <c r="J33" s="13" t="s">
        <v>922</v>
      </c>
      <c r="K33" s="13" t="s">
        <v>892</v>
      </c>
      <c r="L33" s="13" t="s">
        <v>932</v>
      </c>
      <c r="M33" s="13" t="s">
        <v>428</v>
      </c>
      <c r="N33" s="17">
        <f t="shared" si="1"/>
        <v>0</v>
      </c>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2"/>
    </row>
    <row r="34" spans="1:49" ht="30.75" customHeight="1">
      <c r="A34" s="4">
        <v>29</v>
      </c>
      <c r="B34" s="11" t="s">
        <v>88</v>
      </c>
      <c r="C34" s="12"/>
      <c r="D34" s="12" t="s">
        <v>933</v>
      </c>
      <c r="E34" s="13"/>
      <c r="F34" s="14"/>
      <c r="G34" s="15"/>
      <c r="H34" s="12" t="s">
        <v>910</v>
      </c>
      <c r="I34" s="18" t="s">
        <v>934</v>
      </c>
      <c r="J34" s="13" t="s">
        <v>922</v>
      </c>
      <c r="K34" s="13" t="s">
        <v>912</v>
      </c>
      <c r="L34" s="13" t="s">
        <v>935</v>
      </c>
      <c r="M34" s="13" t="s">
        <v>428</v>
      </c>
      <c r="N34" s="17">
        <f t="shared" si="1"/>
        <v>0</v>
      </c>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2"/>
    </row>
    <row r="35" spans="1:49" ht="30.75" customHeight="1">
      <c r="A35" s="4">
        <v>30</v>
      </c>
      <c r="B35" s="11" t="s">
        <v>88</v>
      </c>
      <c r="C35" s="12"/>
      <c r="D35" s="12" t="s">
        <v>936</v>
      </c>
      <c r="E35" s="13"/>
      <c r="F35" s="14"/>
      <c r="G35" s="15"/>
      <c r="H35" s="12" t="s">
        <v>937</v>
      </c>
      <c r="I35" s="18" t="s">
        <v>938</v>
      </c>
      <c r="J35" s="13" t="s">
        <v>922</v>
      </c>
      <c r="K35" s="13" t="s">
        <v>939</v>
      </c>
      <c r="L35" s="13" t="s">
        <v>940</v>
      </c>
      <c r="M35" s="13" t="s">
        <v>428</v>
      </c>
      <c r="N35" s="17">
        <f t="shared" si="1"/>
        <v>0</v>
      </c>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2"/>
    </row>
    <row r="36" spans="1:49" ht="30.75" customHeight="1">
      <c r="A36" s="4">
        <v>31</v>
      </c>
      <c r="B36" s="11" t="s">
        <v>88</v>
      </c>
      <c r="C36" s="12"/>
      <c r="D36" s="12" t="s">
        <v>941</v>
      </c>
      <c r="E36" s="13"/>
      <c r="F36" s="14"/>
      <c r="G36" s="15"/>
      <c r="H36" s="12" t="s">
        <v>890</v>
      </c>
      <c r="I36" s="18" t="s">
        <v>942</v>
      </c>
      <c r="J36" s="13" t="s">
        <v>922</v>
      </c>
      <c r="K36" s="13" t="s">
        <v>892</v>
      </c>
      <c r="L36" s="13" t="s">
        <v>943</v>
      </c>
      <c r="M36" s="13" t="s">
        <v>428</v>
      </c>
      <c r="N36" s="17">
        <f t="shared" si="1"/>
        <v>0</v>
      </c>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4"/>
    </row>
    <row r="37" spans="1:49" ht="30.75" customHeight="1">
      <c r="A37" s="4">
        <v>32</v>
      </c>
      <c r="B37" s="11" t="s">
        <v>88</v>
      </c>
      <c r="C37" s="12"/>
      <c r="D37" s="12" t="s">
        <v>944</v>
      </c>
      <c r="E37" s="13"/>
      <c r="F37" s="14"/>
      <c r="G37" s="15"/>
      <c r="H37" s="12" t="s">
        <v>910</v>
      </c>
      <c r="I37" s="18" t="s">
        <v>945</v>
      </c>
      <c r="J37" s="13" t="s">
        <v>922</v>
      </c>
      <c r="K37" s="13" t="s">
        <v>912</v>
      </c>
      <c r="L37" s="13" t="s">
        <v>946</v>
      </c>
      <c r="M37" s="13" t="s">
        <v>428</v>
      </c>
      <c r="N37" s="17">
        <f t="shared" si="1"/>
        <v>0</v>
      </c>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4"/>
    </row>
    <row r="38" spans="1:49" ht="30.75" customHeight="1">
      <c r="A38" s="4">
        <v>33</v>
      </c>
      <c r="B38" s="11" t="s">
        <v>88</v>
      </c>
      <c r="C38" s="12"/>
      <c r="D38" s="12" t="s">
        <v>947</v>
      </c>
      <c r="E38" s="13"/>
      <c r="F38" s="14"/>
      <c r="G38" s="15"/>
      <c r="H38" s="12" t="s">
        <v>937</v>
      </c>
      <c r="I38" s="18" t="s">
        <v>948</v>
      </c>
      <c r="J38" s="13" t="s">
        <v>922</v>
      </c>
      <c r="K38" s="13" t="s">
        <v>939</v>
      </c>
      <c r="L38" s="13" t="s">
        <v>949</v>
      </c>
      <c r="M38" s="13" t="s">
        <v>428</v>
      </c>
      <c r="N38" s="17">
        <f t="shared" si="1"/>
        <v>0</v>
      </c>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4"/>
    </row>
    <row r="39" spans="1:49" ht="30.75" customHeight="1">
      <c r="A39" s="4">
        <v>34</v>
      </c>
      <c r="B39" s="11" t="s">
        <v>88</v>
      </c>
      <c r="C39" s="12"/>
      <c r="D39" s="12" t="s">
        <v>950</v>
      </c>
      <c r="E39" s="13"/>
      <c r="F39" s="14"/>
      <c r="G39" s="15"/>
      <c r="H39" s="12" t="s">
        <v>779</v>
      </c>
      <c r="I39" s="18" t="s">
        <v>951</v>
      </c>
      <c r="J39" s="13" t="s">
        <v>922</v>
      </c>
      <c r="K39" s="13" t="s">
        <v>952</v>
      </c>
      <c r="L39" s="13" t="s">
        <v>953</v>
      </c>
      <c r="M39" s="13" t="s">
        <v>428</v>
      </c>
      <c r="N39" s="17">
        <f t="shared" si="1"/>
        <v>0</v>
      </c>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4"/>
    </row>
    <row r="40" spans="1:49" ht="30.75" customHeight="1">
      <c r="A40" s="4">
        <v>35</v>
      </c>
      <c r="B40" s="11" t="s">
        <v>88</v>
      </c>
      <c r="C40" s="12"/>
      <c r="D40" s="12" t="s">
        <v>954</v>
      </c>
      <c r="E40" s="13"/>
      <c r="F40" s="14"/>
      <c r="G40" s="15"/>
      <c r="H40" s="12" t="s">
        <v>710</v>
      </c>
      <c r="I40" s="18" t="s">
        <v>955</v>
      </c>
      <c r="J40" s="13" t="s">
        <v>922</v>
      </c>
      <c r="K40" s="13" t="s">
        <v>712</v>
      </c>
      <c r="L40" s="13" t="s">
        <v>956</v>
      </c>
      <c r="M40" s="13" t="s">
        <v>428</v>
      </c>
      <c r="N40" s="17">
        <f t="shared" si="1"/>
        <v>0</v>
      </c>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4"/>
    </row>
    <row r="41" spans="1:49" ht="30.75" customHeight="1">
      <c r="A41" s="4">
        <v>36</v>
      </c>
      <c r="B41" s="11" t="s">
        <v>88</v>
      </c>
      <c r="C41" s="12"/>
      <c r="D41" s="12" t="s">
        <v>957</v>
      </c>
      <c r="E41" s="13"/>
      <c r="F41" s="14"/>
      <c r="G41" s="15"/>
      <c r="H41" s="12" t="s">
        <v>874</v>
      </c>
      <c r="I41" s="18" t="s">
        <v>958</v>
      </c>
      <c r="J41" s="13" t="s">
        <v>922</v>
      </c>
      <c r="K41" s="13" t="s">
        <v>877</v>
      </c>
      <c r="L41" s="13" t="s">
        <v>959</v>
      </c>
      <c r="M41" s="13" t="s">
        <v>428</v>
      </c>
      <c r="N41" s="17">
        <f t="shared" si="1"/>
        <v>52</v>
      </c>
      <c r="O41" s="17"/>
      <c r="P41" s="17"/>
      <c r="Q41" s="17"/>
      <c r="R41" s="17"/>
      <c r="S41" s="17"/>
      <c r="T41" s="17"/>
      <c r="U41" s="17">
        <v>8</v>
      </c>
      <c r="V41" s="17">
        <v>8</v>
      </c>
      <c r="W41" s="17"/>
      <c r="X41" s="17"/>
      <c r="Y41" s="17"/>
      <c r="Z41" s="17"/>
      <c r="AA41" s="17"/>
      <c r="AB41" s="17"/>
      <c r="AC41" s="17"/>
      <c r="AD41" s="17"/>
      <c r="AE41" s="17">
        <v>20</v>
      </c>
      <c r="AF41" s="17">
        <v>16</v>
      </c>
      <c r="AG41" s="17"/>
      <c r="AH41" s="17"/>
      <c r="AI41" s="17"/>
      <c r="AJ41" s="17"/>
      <c r="AK41" s="17"/>
      <c r="AL41" s="17"/>
      <c r="AM41" s="17"/>
      <c r="AN41" s="17"/>
      <c r="AO41" s="17"/>
      <c r="AP41" s="17"/>
      <c r="AQ41" s="17"/>
      <c r="AR41" s="17"/>
      <c r="AS41" s="17"/>
      <c r="AT41" s="17"/>
      <c r="AU41" s="17"/>
      <c r="AV41" s="17"/>
      <c r="AW41" s="12" t="s">
        <v>960</v>
      </c>
    </row>
    <row r="42" spans="1:49" ht="30.75" customHeight="1">
      <c r="A42" s="4">
        <v>37</v>
      </c>
      <c r="B42" s="11" t="s">
        <v>88</v>
      </c>
      <c r="C42" s="12"/>
      <c r="D42" s="12" t="s">
        <v>961</v>
      </c>
      <c r="E42" s="13"/>
      <c r="F42" s="14"/>
      <c r="G42" s="15"/>
      <c r="H42" s="12" t="s">
        <v>880</v>
      </c>
      <c r="I42" s="18" t="s">
        <v>962</v>
      </c>
      <c r="J42" s="13" t="s">
        <v>922</v>
      </c>
      <c r="K42" s="13" t="s">
        <v>882</v>
      </c>
      <c r="L42" s="13" t="s">
        <v>963</v>
      </c>
      <c r="M42" s="13" t="s">
        <v>428</v>
      </c>
      <c r="N42" s="17">
        <f t="shared" si="1"/>
        <v>52</v>
      </c>
      <c r="O42" s="17"/>
      <c r="P42" s="17"/>
      <c r="Q42" s="17"/>
      <c r="R42" s="17"/>
      <c r="S42" s="17"/>
      <c r="T42" s="17"/>
      <c r="U42" s="17">
        <v>8</v>
      </c>
      <c r="V42" s="17">
        <v>8</v>
      </c>
      <c r="W42" s="17"/>
      <c r="X42" s="17"/>
      <c r="Y42" s="17"/>
      <c r="Z42" s="17"/>
      <c r="AA42" s="17"/>
      <c r="AB42" s="17"/>
      <c r="AC42" s="17"/>
      <c r="AD42" s="17"/>
      <c r="AE42" s="17">
        <v>20</v>
      </c>
      <c r="AF42" s="17">
        <v>16</v>
      </c>
      <c r="AG42" s="17"/>
      <c r="AH42" s="17"/>
      <c r="AI42" s="17"/>
      <c r="AJ42" s="17"/>
      <c r="AK42" s="17"/>
      <c r="AL42" s="17"/>
      <c r="AM42" s="17"/>
      <c r="AN42" s="17"/>
      <c r="AO42" s="17"/>
      <c r="AP42" s="17"/>
      <c r="AQ42" s="17"/>
      <c r="AR42" s="17"/>
      <c r="AS42" s="17"/>
      <c r="AT42" s="17"/>
      <c r="AU42" s="17"/>
      <c r="AV42" s="17"/>
      <c r="AW42" s="12" t="s">
        <v>964</v>
      </c>
    </row>
    <row r="43" spans="1:49" ht="18.75" customHeight="1">
      <c r="A43" s="4">
        <v>38</v>
      </c>
      <c r="B43" s="5" t="s">
        <v>88</v>
      </c>
      <c r="C43" s="6"/>
      <c r="D43" s="38" t="s">
        <v>965</v>
      </c>
      <c r="E43" s="58"/>
      <c r="F43" s="38" t="s">
        <v>966</v>
      </c>
      <c r="G43" s="60"/>
      <c r="H43" s="9"/>
      <c r="I43" s="7"/>
      <c r="J43" s="4"/>
      <c r="K43" s="4"/>
      <c r="L43" s="4"/>
      <c r="M43" s="4"/>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12"/>
    </row>
    <row r="44" spans="1:49" ht="18.75" customHeight="1">
      <c r="A44" s="4">
        <v>39</v>
      </c>
      <c r="B44" s="21" t="s">
        <v>88</v>
      </c>
      <c r="C44" s="3"/>
      <c r="D44" s="1"/>
      <c r="E44" s="2"/>
      <c r="F44" s="1"/>
      <c r="G44" s="26" t="s">
        <v>867</v>
      </c>
      <c r="H44" s="1"/>
      <c r="I44" s="22"/>
      <c r="J44" s="2"/>
      <c r="K44" s="2"/>
      <c r="L44" s="2"/>
      <c r="M44" s="2"/>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1"/>
    </row>
    <row r="45" spans="1:49" ht="30.75" customHeight="1">
      <c r="A45" s="4">
        <v>40</v>
      </c>
      <c r="B45" s="21" t="s">
        <v>88</v>
      </c>
      <c r="C45" s="3"/>
      <c r="D45" s="1"/>
      <c r="E45" s="2"/>
      <c r="F45" s="1"/>
      <c r="G45" s="26" t="s">
        <v>967</v>
      </c>
      <c r="H45" s="1"/>
      <c r="I45" s="22"/>
      <c r="J45" s="2"/>
      <c r="K45" s="2"/>
      <c r="L45" s="2"/>
      <c r="M45" s="2"/>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1"/>
    </row>
    <row r="46" spans="1:49" ht="18.75" customHeight="1">
      <c r="A46" s="4">
        <v>41</v>
      </c>
      <c r="B46" s="11" t="s">
        <v>88</v>
      </c>
      <c r="C46" s="12"/>
      <c r="D46" s="12" t="s">
        <v>968</v>
      </c>
      <c r="E46" s="13"/>
      <c r="F46" s="14"/>
      <c r="G46" s="15"/>
      <c r="H46" s="12" t="s">
        <v>880</v>
      </c>
      <c r="I46" s="18" t="s">
        <v>969</v>
      </c>
      <c r="J46" s="13" t="s">
        <v>922</v>
      </c>
      <c r="K46" s="13" t="s">
        <v>882</v>
      </c>
      <c r="L46" s="13" t="s">
        <v>970</v>
      </c>
      <c r="M46" s="13" t="s">
        <v>428</v>
      </c>
      <c r="N46" s="17">
        <f t="shared" ref="N46:N60" si="2">SUM(O46:AV46)</f>
        <v>0</v>
      </c>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2"/>
    </row>
    <row r="47" spans="1:49" ht="18.75" customHeight="1">
      <c r="A47" s="4">
        <v>42</v>
      </c>
      <c r="B47" s="11" t="s">
        <v>88</v>
      </c>
      <c r="C47" s="12"/>
      <c r="D47" s="12" t="s">
        <v>971</v>
      </c>
      <c r="E47" s="13"/>
      <c r="F47" s="14"/>
      <c r="G47" s="15"/>
      <c r="H47" s="12" t="s">
        <v>885</v>
      </c>
      <c r="I47" s="18" t="s">
        <v>972</v>
      </c>
      <c r="J47" s="13" t="s">
        <v>922</v>
      </c>
      <c r="K47" s="13" t="s">
        <v>887</v>
      </c>
      <c r="L47" s="13" t="s">
        <v>973</v>
      </c>
      <c r="M47" s="13" t="s">
        <v>428</v>
      </c>
      <c r="N47" s="17">
        <f t="shared" si="2"/>
        <v>0</v>
      </c>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2"/>
    </row>
    <row r="48" spans="1:49" ht="18.75" customHeight="1">
      <c r="A48" s="4">
        <v>43</v>
      </c>
      <c r="B48" s="11" t="s">
        <v>88</v>
      </c>
      <c r="C48" s="12"/>
      <c r="D48" s="12" t="s">
        <v>974</v>
      </c>
      <c r="E48" s="13"/>
      <c r="F48" s="14"/>
      <c r="G48" s="15"/>
      <c r="H48" s="12" t="s">
        <v>885</v>
      </c>
      <c r="I48" s="18" t="s">
        <v>975</v>
      </c>
      <c r="J48" s="13" t="s">
        <v>922</v>
      </c>
      <c r="K48" s="13" t="s">
        <v>887</v>
      </c>
      <c r="L48" s="13" t="s">
        <v>976</v>
      </c>
      <c r="M48" s="13" t="s">
        <v>428</v>
      </c>
      <c r="N48" s="17">
        <f t="shared" si="2"/>
        <v>0</v>
      </c>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2"/>
    </row>
    <row r="49" spans="1:49" ht="18.75" customHeight="1">
      <c r="A49" s="4">
        <v>44</v>
      </c>
      <c r="B49" s="11" t="s">
        <v>88</v>
      </c>
      <c r="C49" s="12"/>
      <c r="D49" s="12" t="s">
        <v>977</v>
      </c>
      <c r="E49" s="13"/>
      <c r="F49" s="14"/>
      <c r="G49" s="15"/>
      <c r="H49" s="12" t="s">
        <v>890</v>
      </c>
      <c r="I49" s="18" t="s">
        <v>978</v>
      </c>
      <c r="J49" s="13" t="s">
        <v>922</v>
      </c>
      <c r="K49" s="13" t="s">
        <v>892</v>
      </c>
      <c r="L49" s="13" t="s">
        <v>979</v>
      </c>
      <c r="M49" s="13" t="s">
        <v>428</v>
      </c>
      <c r="N49" s="17">
        <f t="shared" si="2"/>
        <v>0</v>
      </c>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2"/>
    </row>
    <row r="50" spans="1:49" ht="18.75" customHeight="1">
      <c r="A50" s="4">
        <v>45</v>
      </c>
      <c r="B50" s="11" t="s">
        <v>88</v>
      </c>
      <c r="C50" s="12"/>
      <c r="D50" s="12" t="s">
        <v>980</v>
      </c>
      <c r="E50" s="13"/>
      <c r="F50" s="14"/>
      <c r="G50" s="15"/>
      <c r="H50" s="12" t="s">
        <v>890</v>
      </c>
      <c r="I50" s="18" t="s">
        <v>981</v>
      </c>
      <c r="J50" s="13" t="s">
        <v>922</v>
      </c>
      <c r="K50" s="13" t="s">
        <v>892</v>
      </c>
      <c r="L50" s="13" t="s">
        <v>982</v>
      </c>
      <c r="M50" s="13" t="s">
        <v>428</v>
      </c>
      <c r="N50" s="17">
        <f t="shared" si="2"/>
        <v>0</v>
      </c>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2"/>
    </row>
    <row r="51" spans="1:49" ht="18.75" customHeight="1">
      <c r="A51" s="4">
        <v>46</v>
      </c>
      <c r="B51" s="11" t="s">
        <v>88</v>
      </c>
      <c r="C51" s="12"/>
      <c r="D51" s="12" t="s">
        <v>983</v>
      </c>
      <c r="E51" s="13"/>
      <c r="F51" s="14"/>
      <c r="G51" s="15"/>
      <c r="H51" s="12" t="s">
        <v>910</v>
      </c>
      <c r="I51" s="18" t="s">
        <v>984</v>
      </c>
      <c r="J51" s="13" t="s">
        <v>922</v>
      </c>
      <c r="K51" s="13" t="s">
        <v>912</v>
      </c>
      <c r="L51" s="13" t="s">
        <v>985</v>
      </c>
      <c r="M51" s="13" t="s">
        <v>428</v>
      </c>
      <c r="N51" s="17">
        <f t="shared" si="2"/>
        <v>0</v>
      </c>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2"/>
    </row>
    <row r="52" spans="1:49" ht="18.75" customHeight="1">
      <c r="A52" s="4">
        <v>47</v>
      </c>
      <c r="B52" s="11" t="s">
        <v>88</v>
      </c>
      <c r="C52" s="12"/>
      <c r="D52" s="12" t="s">
        <v>986</v>
      </c>
      <c r="E52" s="13"/>
      <c r="F52" s="14"/>
      <c r="G52" s="15"/>
      <c r="H52" s="12" t="s">
        <v>910</v>
      </c>
      <c r="I52" s="18" t="s">
        <v>987</v>
      </c>
      <c r="J52" s="13" t="s">
        <v>922</v>
      </c>
      <c r="K52" s="13" t="s">
        <v>912</v>
      </c>
      <c r="L52" s="13" t="s">
        <v>988</v>
      </c>
      <c r="M52" s="13" t="s">
        <v>428</v>
      </c>
      <c r="N52" s="17">
        <f t="shared" si="2"/>
        <v>0</v>
      </c>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2"/>
    </row>
    <row r="53" spans="1:49" ht="18.75" customHeight="1">
      <c r="A53" s="4">
        <v>48</v>
      </c>
      <c r="B53" s="11" t="s">
        <v>88</v>
      </c>
      <c r="C53" s="12"/>
      <c r="D53" s="12" t="s">
        <v>989</v>
      </c>
      <c r="E53" s="13"/>
      <c r="F53" s="14"/>
      <c r="G53" s="15"/>
      <c r="H53" s="12" t="s">
        <v>937</v>
      </c>
      <c r="I53" s="18" t="s">
        <v>990</v>
      </c>
      <c r="J53" s="13" t="s">
        <v>922</v>
      </c>
      <c r="K53" s="13" t="s">
        <v>939</v>
      </c>
      <c r="L53" s="13" t="s">
        <v>991</v>
      </c>
      <c r="M53" s="13" t="s">
        <v>428</v>
      </c>
      <c r="N53" s="17">
        <f t="shared" si="2"/>
        <v>0</v>
      </c>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2"/>
    </row>
    <row r="54" spans="1:49" ht="18.75" customHeight="1">
      <c r="A54" s="4">
        <v>49</v>
      </c>
      <c r="B54" s="11" t="s">
        <v>88</v>
      </c>
      <c r="C54" s="12"/>
      <c r="D54" s="12" t="s">
        <v>992</v>
      </c>
      <c r="E54" s="13"/>
      <c r="F54" s="14"/>
      <c r="G54" s="15"/>
      <c r="H54" s="12" t="s">
        <v>937</v>
      </c>
      <c r="I54" s="18" t="s">
        <v>993</v>
      </c>
      <c r="J54" s="13" t="s">
        <v>922</v>
      </c>
      <c r="K54" s="13" t="s">
        <v>939</v>
      </c>
      <c r="L54" s="13" t="s">
        <v>994</v>
      </c>
      <c r="M54" s="13" t="s">
        <v>428</v>
      </c>
      <c r="N54" s="17">
        <f t="shared" si="2"/>
        <v>0</v>
      </c>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2"/>
    </row>
    <row r="55" spans="1:49" ht="18.75" customHeight="1">
      <c r="A55" s="4">
        <v>50</v>
      </c>
      <c r="B55" s="11" t="s">
        <v>88</v>
      </c>
      <c r="C55" s="12"/>
      <c r="D55" s="12" t="s">
        <v>995</v>
      </c>
      <c r="E55" s="13"/>
      <c r="F55" s="14"/>
      <c r="G55" s="15"/>
      <c r="H55" s="12" t="s">
        <v>779</v>
      </c>
      <c r="I55" s="18" t="s">
        <v>996</v>
      </c>
      <c r="J55" s="13" t="s">
        <v>922</v>
      </c>
      <c r="K55" s="13" t="s">
        <v>952</v>
      </c>
      <c r="L55" s="13" t="s">
        <v>997</v>
      </c>
      <c r="M55" s="13" t="s">
        <v>428</v>
      </c>
      <c r="N55" s="17">
        <f t="shared" si="2"/>
        <v>0</v>
      </c>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4"/>
    </row>
    <row r="56" spans="1:49" ht="18.75" customHeight="1">
      <c r="A56" s="4">
        <v>51</v>
      </c>
      <c r="B56" s="11" t="s">
        <v>88</v>
      </c>
      <c r="C56" s="12"/>
      <c r="D56" s="12" t="s">
        <v>998</v>
      </c>
      <c r="E56" s="13"/>
      <c r="F56" s="14"/>
      <c r="G56" s="15"/>
      <c r="H56" s="12" t="s">
        <v>710</v>
      </c>
      <c r="I56" s="18" t="s">
        <v>999</v>
      </c>
      <c r="J56" s="13" t="s">
        <v>922</v>
      </c>
      <c r="K56" s="13" t="s">
        <v>827</v>
      </c>
      <c r="L56" s="13" t="s">
        <v>1000</v>
      </c>
      <c r="M56" s="13" t="s">
        <v>428</v>
      </c>
      <c r="N56" s="17">
        <f t="shared" si="2"/>
        <v>0</v>
      </c>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4"/>
    </row>
    <row r="57" spans="1:49" ht="18.75" customHeight="1">
      <c r="A57" s="4">
        <v>52</v>
      </c>
      <c r="B57" s="11" t="s">
        <v>88</v>
      </c>
      <c r="C57" s="12"/>
      <c r="D57" s="12" t="s">
        <v>1001</v>
      </c>
      <c r="E57" s="13"/>
      <c r="F57" s="14"/>
      <c r="G57" s="15"/>
      <c r="H57" s="12" t="s">
        <v>689</v>
      </c>
      <c r="I57" s="18" t="s">
        <v>1002</v>
      </c>
      <c r="J57" s="13" t="s">
        <v>922</v>
      </c>
      <c r="K57" s="13" t="s">
        <v>407</v>
      </c>
      <c r="L57" s="13" t="s">
        <v>1003</v>
      </c>
      <c r="M57" s="13" t="s">
        <v>428</v>
      </c>
      <c r="N57" s="17">
        <f t="shared" si="2"/>
        <v>0</v>
      </c>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4"/>
    </row>
    <row r="58" spans="1:49" ht="18.75" customHeight="1">
      <c r="A58" s="4">
        <v>53</v>
      </c>
      <c r="B58" s="11" t="s">
        <v>88</v>
      </c>
      <c r="C58" s="12"/>
      <c r="D58" s="12" t="s">
        <v>1004</v>
      </c>
      <c r="E58" s="13"/>
      <c r="F58" s="14"/>
      <c r="G58" s="15"/>
      <c r="H58" s="12" t="s">
        <v>699</v>
      </c>
      <c r="I58" s="18" t="s">
        <v>1005</v>
      </c>
      <c r="J58" s="13" t="s">
        <v>922</v>
      </c>
      <c r="K58" s="13" t="s">
        <v>700</v>
      </c>
      <c r="L58" s="13" t="s">
        <v>1006</v>
      </c>
      <c r="M58" s="13" t="s">
        <v>428</v>
      </c>
      <c r="N58" s="17">
        <f t="shared" si="2"/>
        <v>0</v>
      </c>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4"/>
    </row>
    <row r="59" spans="1:49" ht="18.75" customHeight="1">
      <c r="A59" s="4">
        <v>54</v>
      </c>
      <c r="B59" s="11" t="s">
        <v>88</v>
      </c>
      <c r="C59" s="12"/>
      <c r="D59" s="12" t="s">
        <v>1007</v>
      </c>
      <c r="E59" s="13"/>
      <c r="F59" s="14"/>
      <c r="G59" s="15"/>
      <c r="H59" s="12" t="s">
        <v>874</v>
      </c>
      <c r="I59" s="18" t="s">
        <v>969</v>
      </c>
      <c r="J59" s="13" t="s">
        <v>922</v>
      </c>
      <c r="K59" s="13" t="s">
        <v>877</v>
      </c>
      <c r="L59" s="13" t="s">
        <v>1008</v>
      </c>
      <c r="M59" s="13" t="s">
        <v>428</v>
      </c>
      <c r="N59" s="17">
        <f t="shared" si="2"/>
        <v>0</v>
      </c>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4"/>
    </row>
    <row r="60" spans="1:49" ht="18.75" customHeight="1">
      <c r="A60" s="4">
        <v>55</v>
      </c>
      <c r="B60" s="11" t="s">
        <v>88</v>
      </c>
      <c r="C60" s="12"/>
      <c r="D60" s="12" t="s">
        <v>1009</v>
      </c>
      <c r="E60" s="13"/>
      <c r="F60" s="14"/>
      <c r="G60" s="15"/>
      <c r="H60" s="12" t="s">
        <v>937</v>
      </c>
      <c r="I60" s="18" t="s">
        <v>1010</v>
      </c>
      <c r="J60" s="13" t="s">
        <v>922</v>
      </c>
      <c r="K60" s="13" t="s">
        <v>939</v>
      </c>
      <c r="L60" s="13" t="s">
        <v>1011</v>
      </c>
      <c r="M60" s="13" t="s">
        <v>428</v>
      </c>
      <c r="N60" s="17">
        <f t="shared" si="2"/>
        <v>0</v>
      </c>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4"/>
    </row>
    <row r="61" spans="1:49" ht="18.75" customHeight="1">
      <c r="A61" s="4">
        <v>56</v>
      </c>
      <c r="B61" s="5" t="s">
        <v>88</v>
      </c>
      <c r="C61" s="6"/>
      <c r="D61" s="38" t="s">
        <v>1012</v>
      </c>
      <c r="E61" s="58"/>
      <c r="F61" s="38" t="s">
        <v>1013</v>
      </c>
      <c r="G61" s="60"/>
      <c r="H61" s="9"/>
      <c r="I61" s="7"/>
      <c r="J61" s="4"/>
      <c r="K61" s="4"/>
      <c r="L61" s="4"/>
      <c r="M61" s="4"/>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9"/>
    </row>
    <row r="62" spans="1:49" ht="18.75" customHeight="1">
      <c r="A62" s="4">
        <v>57</v>
      </c>
      <c r="B62" s="21" t="s">
        <v>88</v>
      </c>
      <c r="C62" s="3"/>
      <c r="D62" s="1"/>
      <c r="E62" s="2"/>
      <c r="F62" s="1"/>
      <c r="G62" s="26" t="s">
        <v>867</v>
      </c>
      <c r="H62" s="1"/>
      <c r="I62" s="22"/>
      <c r="J62" s="2"/>
      <c r="K62" s="2"/>
      <c r="L62" s="2"/>
      <c r="M62" s="2"/>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1"/>
    </row>
    <row r="63" spans="1:49" ht="30.75" customHeight="1">
      <c r="A63" s="4">
        <v>58</v>
      </c>
      <c r="B63" s="21" t="s">
        <v>88</v>
      </c>
      <c r="C63" s="3"/>
      <c r="D63" s="1"/>
      <c r="E63" s="2"/>
      <c r="F63" s="1"/>
      <c r="G63" s="26" t="s">
        <v>967</v>
      </c>
      <c r="H63" s="1"/>
      <c r="I63" s="22"/>
      <c r="J63" s="2"/>
      <c r="K63" s="2"/>
      <c r="L63" s="2"/>
      <c r="M63" s="2"/>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1"/>
    </row>
    <row r="64" spans="1:49" ht="18.75" customHeight="1">
      <c r="A64" s="4">
        <v>59</v>
      </c>
      <c r="B64" s="11" t="s">
        <v>88</v>
      </c>
      <c r="C64" s="12"/>
      <c r="D64" s="12" t="s">
        <v>1014</v>
      </c>
      <c r="E64" s="13"/>
      <c r="F64" s="14"/>
      <c r="G64" s="15"/>
      <c r="H64" s="12" t="s">
        <v>874</v>
      </c>
      <c r="I64" s="18" t="s">
        <v>1015</v>
      </c>
      <c r="J64" s="13" t="s">
        <v>922</v>
      </c>
      <c r="K64" s="13" t="s">
        <v>877</v>
      </c>
      <c r="L64" s="13" t="s">
        <v>1016</v>
      </c>
      <c r="M64" s="13" t="s">
        <v>428</v>
      </c>
      <c r="N64" s="17">
        <f t="shared" ref="N64:N72" si="3">SUM(O64:AV64)</f>
        <v>0</v>
      </c>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2"/>
    </row>
    <row r="65" spans="1:49" ht="18.75" customHeight="1">
      <c r="A65" s="4">
        <v>60</v>
      </c>
      <c r="B65" s="11" t="s">
        <v>88</v>
      </c>
      <c r="C65" s="12"/>
      <c r="D65" s="12" t="s">
        <v>1017</v>
      </c>
      <c r="E65" s="13"/>
      <c r="F65" s="14"/>
      <c r="G65" s="15"/>
      <c r="H65" s="12" t="s">
        <v>874</v>
      </c>
      <c r="I65" s="18" t="s">
        <v>1018</v>
      </c>
      <c r="J65" s="13" t="s">
        <v>922</v>
      </c>
      <c r="K65" s="13" t="s">
        <v>877</v>
      </c>
      <c r="L65" s="13" t="s">
        <v>1019</v>
      </c>
      <c r="M65" s="13" t="s">
        <v>428</v>
      </c>
      <c r="N65" s="17">
        <f t="shared" si="3"/>
        <v>0</v>
      </c>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2"/>
    </row>
    <row r="66" spans="1:49" ht="18.75" customHeight="1">
      <c r="A66" s="4">
        <v>61</v>
      </c>
      <c r="B66" s="11" t="s">
        <v>88</v>
      </c>
      <c r="C66" s="12"/>
      <c r="D66" s="12" t="s">
        <v>1020</v>
      </c>
      <c r="E66" s="13"/>
      <c r="F66" s="14"/>
      <c r="G66" s="15"/>
      <c r="H66" s="12" t="s">
        <v>880</v>
      </c>
      <c r="I66" s="18" t="s">
        <v>1021</v>
      </c>
      <c r="J66" s="13" t="s">
        <v>922</v>
      </c>
      <c r="K66" s="13" t="s">
        <v>882</v>
      </c>
      <c r="L66" s="13" t="s">
        <v>1022</v>
      </c>
      <c r="M66" s="13" t="s">
        <v>428</v>
      </c>
      <c r="N66" s="17">
        <f t="shared" si="3"/>
        <v>0</v>
      </c>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2"/>
    </row>
    <row r="67" spans="1:49" ht="18.75" customHeight="1">
      <c r="A67" s="4">
        <v>62</v>
      </c>
      <c r="B67" s="11" t="s">
        <v>88</v>
      </c>
      <c r="C67" s="12"/>
      <c r="D67" s="12" t="s">
        <v>1023</v>
      </c>
      <c r="E67" s="13"/>
      <c r="F67" s="14"/>
      <c r="G67" s="15"/>
      <c r="H67" s="12" t="s">
        <v>880</v>
      </c>
      <c r="I67" s="18" t="s">
        <v>1024</v>
      </c>
      <c r="J67" s="13" t="s">
        <v>922</v>
      </c>
      <c r="K67" s="13" t="s">
        <v>882</v>
      </c>
      <c r="L67" s="13" t="s">
        <v>1025</v>
      </c>
      <c r="M67" s="13" t="s">
        <v>428</v>
      </c>
      <c r="N67" s="17">
        <f t="shared" si="3"/>
        <v>0</v>
      </c>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2"/>
    </row>
    <row r="68" spans="1:49" ht="18.75" customHeight="1">
      <c r="A68" s="4">
        <v>63</v>
      </c>
      <c r="B68" s="11" t="s">
        <v>88</v>
      </c>
      <c r="C68" s="12"/>
      <c r="D68" s="12" t="s">
        <v>1026</v>
      </c>
      <c r="E68" s="13"/>
      <c r="F68" s="14"/>
      <c r="G68" s="15"/>
      <c r="H68" s="12" t="s">
        <v>885</v>
      </c>
      <c r="I68" s="18" t="s">
        <v>1027</v>
      </c>
      <c r="J68" s="13" t="s">
        <v>922</v>
      </c>
      <c r="K68" s="13" t="s">
        <v>887</v>
      </c>
      <c r="L68" s="13" t="s">
        <v>1028</v>
      </c>
      <c r="M68" s="13" t="s">
        <v>428</v>
      </c>
      <c r="N68" s="17">
        <f t="shared" si="3"/>
        <v>0</v>
      </c>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2"/>
    </row>
    <row r="69" spans="1:49" ht="18.75" customHeight="1">
      <c r="A69" s="4">
        <v>64</v>
      </c>
      <c r="B69" s="11" t="s">
        <v>88</v>
      </c>
      <c r="C69" s="12"/>
      <c r="D69" s="12" t="s">
        <v>1029</v>
      </c>
      <c r="E69" s="13"/>
      <c r="F69" s="14"/>
      <c r="G69" s="15"/>
      <c r="H69" s="12" t="s">
        <v>885</v>
      </c>
      <c r="I69" s="18" t="s">
        <v>1030</v>
      </c>
      <c r="J69" s="13" t="s">
        <v>922</v>
      </c>
      <c r="K69" s="13" t="s">
        <v>887</v>
      </c>
      <c r="L69" s="13" t="s">
        <v>1031</v>
      </c>
      <c r="M69" s="13" t="s">
        <v>428</v>
      </c>
      <c r="N69" s="17">
        <f t="shared" si="3"/>
        <v>0</v>
      </c>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2"/>
    </row>
    <row r="70" spans="1:49" ht="18.75" customHeight="1">
      <c r="A70" s="4">
        <v>65</v>
      </c>
      <c r="B70" s="11" t="s">
        <v>88</v>
      </c>
      <c r="C70" s="12"/>
      <c r="D70" s="12" t="s">
        <v>1032</v>
      </c>
      <c r="E70" s="13"/>
      <c r="F70" s="14"/>
      <c r="G70" s="15"/>
      <c r="H70" s="12" t="s">
        <v>890</v>
      </c>
      <c r="I70" s="18" t="s">
        <v>1033</v>
      </c>
      <c r="J70" s="13" t="s">
        <v>922</v>
      </c>
      <c r="K70" s="13" t="s">
        <v>892</v>
      </c>
      <c r="L70" s="13" t="s">
        <v>1034</v>
      </c>
      <c r="M70" s="13" t="s">
        <v>428</v>
      </c>
      <c r="N70" s="17">
        <f t="shared" si="3"/>
        <v>0</v>
      </c>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2"/>
    </row>
    <row r="71" spans="1:49" ht="18.75" customHeight="1">
      <c r="A71" s="4">
        <v>66</v>
      </c>
      <c r="B71" s="11" t="s">
        <v>88</v>
      </c>
      <c r="C71" s="12"/>
      <c r="D71" s="12" t="s">
        <v>1035</v>
      </c>
      <c r="E71" s="13"/>
      <c r="F71" s="14"/>
      <c r="G71" s="15"/>
      <c r="H71" s="12" t="s">
        <v>890</v>
      </c>
      <c r="I71" s="18" t="s">
        <v>1036</v>
      </c>
      <c r="J71" s="13" t="s">
        <v>922</v>
      </c>
      <c r="K71" s="13" t="s">
        <v>892</v>
      </c>
      <c r="L71" s="13" t="s">
        <v>1037</v>
      </c>
      <c r="M71" s="13" t="s">
        <v>428</v>
      </c>
      <c r="N71" s="17">
        <f t="shared" si="3"/>
        <v>0</v>
      </c>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2"/>
    </row>
    <row r="72" spans="1:49" ht="18.75" customHeight="1">
      <c r="A72" s="4">
        <v>67</v>
      </c>
      <c r="B72" s="11" t="s">
        <v>88</v>
      </c>
      <c r="C72" s="12"/>
      <c r="D72" s="12" t="s">
        <v>1038</v>
      </c>
      <c r="E72" s="13"/>
      <c r="F72" s="14"/>
      <c r="G72" s="15"/>
      <c r="H72" s="12" t="s">
        <v>910</v>
      </c>
      <c r="I72" s="18" t="s">
        <v>1010</v>
      </c>
      <c r="J72" s="13" t="s">
        <v>922</v>
      </c>
      <c r="K72" s="13" t="s">
        <v>912</v>
      </c>
      <c r="L72" s="13" t="s">
        <v>1039</v>
      </c>
      <c r="M72" s="13" t="s">
        <v>428</v>
      </c>
      <c r="N72" s="17">
        <f t="shared" si="3"/>
        <v>0</v>
      </c>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2"/>
    </row>
    <row r="73" spans="1:49" ht="18.75" customHeight="1">
      <c r="A73" s="4">
        <v>68</v>
      </c>
      <c r="B73" s="5" t="s">
        <v>88</v>
      </c>
      <c r="C73" s="6"/>
      <c r="D73" s="38" t="s">
        <v>1040</v>
      </c>
      <c r="E73" s="58"/>
      <c r="F73" s="38" t="s">
        <v>1041</v>
      </c>
      <c r="G73" s="60"/>
      <c r="H73" s="9"/>
      <c r="I73" s="7"/>
      <c r="J73" s="4"/>
      <c r="K73" s="4"/>
      <c r="L73" s="4"/>
      <c r="M73" s="4"/>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9"/>
    </row>
    <row r="74" spans="1:49" ht="18.75" customHeight="1">
      <c r="A74" s="4">
        <v>69</v>
      </c>
      <c r="B74" s="21" t="s">
        <v>88</v>
      </c>
      <c r="C74" s="3"/>
      <c r="D74" s="1"/>
      <c r="E74" s="2"/>
      <c r="F74" s="1"/>
      <c r="G74" s="26" t="s">
        <v>867</v>
      </c>
      <c r="H74" s="1"/>
      <c r="I74" s="22"/>
      <c r="J74" s="2"/>
      <c r="K74" s="2"/>
      <c r="L74" s="2"/>
      <c r="M74" s="2"/>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1"/>
    </row>
    <row r="75" spans="1:49" ht="18.75" customHeight="1">
      <c r="A75" s="4">
        <v>70</v>
      </c>
      <c r="B75" s="21" t="s">
        <v>88</v>
      </c>
      <c r="C75" s="3"/>
      <c r="D75" s="1"/>
      <c r="E75" s="2"/>
      <c r="F75" s="1"/>
      <c r="G75" s="26" t="s">
        <v>1042</v>
      </c>
      <c r="H75" s="1"/>
      <c r="I75" s="22"/>
      <c r="J75" s="2"/>
      <c r="K75" s="2"/>
      <c r="L75" s="2"/>
      <c r="M75" s="2"/>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1"/>
    </row>
    <row r="76" spans="1:49" ht="18.75" customHeight="1">
      <c r="A76" s="4">
        <v>71</v>
      </c>
      <c r="B76" s="11" t="s">
        <v>88</v>
      </c>
      <c r="C76" s="12"/>
      <c r="D76" s="12" t="s">
        <v>1043</v>
      </c>
      <c r="E76" s="13"/>
      <c r="F76" s="14"/>
      <c r="G76" s="15"/>
      <c r="H76" s="12" t="s">
        <v>874</v>
      </c>
      <c r="I76" s="18" t="s">
        <v>1044</v>
      </c>
      <c r="J76" s="13" t="s">
        <v>922</v>
      </c>
      <c r="K76" s="13" t="s">
        <v>877</v>
      </c>
      <c r="L76" s="13" t="s">
        <v>1045</v>
      </c>
      <c r="M76" s="13" t="s">
        <v>428</v>
      </c>
      <c r="N76" s="17">
        <f>SUM(O76:AV76)</f>
        <v>0</v>
      </c>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2"/>
    </row>
    <row r="77" spans="1:49" ht="18.75" customHeight="1">
      <c r="A77" s="4">
        <v>72</v>
      </c>
      <c r="B77" s="11" t="s">
        <v>88</v>
      </c>
      <c r="C77" s="12"/>
      <c r="D77" s="12" t="s">
        <v>1046</v>
      </c>
      <c r="E77" s="13"/>
      <c r="F77" s="14"/>
      <c r="G77" s="15"/>
      <c r="H77" s="12" t="s">
        <v>880</v>
      </c>
      <c r="I77" s="18" t="s">
        <v>1047</v>
      </c>
      <c r="J77" s="13" t="s">
        <v>922</v>
      </c>
      <c r="K77" s="13" t="s">
        <v>882</v>
      </c>
      <c r="L77" s="13" t="s">
        <v>1048</v>
      </c>
      <c r="M77" s="13" t="s">
        <v>428</v>
      </c>
      <c r="N77" s="17">
        <f>SUM(O77:AV77)</f>
        <v>40</v>
      </c>
      <c r="O77" s="17"/>
      <c r="P77" s="17"/>
      <c r="Q77" s="17">
        <v>20</v>
      </c>
      <c r="R77" s="17"/>
      <c r="S77" s="17"/>
      <c r="T77" s="17"/>
      <c r="U77" s="17"/>
      <c r="V77" s="17"/>
      <c r="W77" s="17"/>
      <c r="X77" s="17"/>
      <c r="Y77" s="17"/>
      <c r="Z77" s="17"/>
      <c r="AA77" s="17"/>
      <c r="AB77" s="17">
        <v>10</v>
      </c>
      <c r="AC77" s="17">
        <v>10</v>
      </c>
      <c r="AD77" s="17"/>
      <c r="AE77" s="17"/>
      <c r="AF77" s="17"/>
      <c r="AG77" s="17"/>
      <c r="AH77" s="17"/>
      <c r="AI77" s="17"/>
      <c r="AJ77" s="17"/>
      <c r="AK77" s="17"/>
      <c r="AL77" s="17"/>
      <c r="AM77" s="17"/>
      <c r="AN77" s="17"/>
      <c r="AO77" s="17"/>
      <c r="AP77" s="17"/>
      <c r="AQ77" s="17"/>
      <c r="AR77" s="17"/>
      <c r="AS77" s="17"/>
      <c r="AT77" s="17"/>
      <c r="AU77" s="17"/>
      <c r="AV77" s="17"/>
      <c r="AW77" s="12"/>
    </row>
    <row r="78" spans="1:49" ht="18.75" customHeight="1">
      <c r="A78" s="4">
        <v>73</v>
      </c>
      <c r="B78" s="11" t="s">
        <v>88</v>
      </c>
      <c r="C78" s="12"/>
      <c r="D78" s="12" t="s">
        <v>1049</v>
      </c>
      <c r="E78" s="13"/>
      <c r="F78" s="14"/>
      <c r="G78" s="15"/>
      <c r="H78" s="12" t="s">
        <v>885</v>
      </c>
      <c r="I78" s="18" t="s">
        <v>1050</v>
      </c>
      <c r="J78" s="13" t="s">
        <v>922</v>
      </c>
      <c r="K78" s="13" t="s">
        <v>887</v>
      </c>
      <c r="L78" s="13" t="s">
        <v>1051</v>
      </c>
      <c r="M78" s="13" t="s">
        <v>428</v>
      </c>
      <c r="N78" s="17">
        <f>SUM(O78:AV78)</f>
        <v>40</v>
      </c>
      <c r="O78" s="17"/>
      <c r="P78" s="17"/>
      <c r="Q78" s="17">
        <v>20</v>
      </c>
      <c r="R78" s="17"/>
      <c r="S78" s="17"/>
      <c r="T78" s="17"/>
      <c r="U78" s="17"/>
      <c r="V78" s="17"/>
      <c r="W78" s="17"/>
      <c r="X78" s="17"/>
      <c r="Y78" s="17"/>
      <c r="Z78" s="17"/>
      <c r="AA78" s="17"/>
      <c r="AB78" s="17">
        <v>10</v>
      </c>
      <c r="AC78" s="17">
        <v>10</v>
      </c>
      <c r="AD78" s="17"/>
      <c r="AE78" s="17"/>
      <c r="AF78" s="17"/>
      <c r="AG78" s="17"/>
      <c r="AH78" s="17"/>
      <c r="AI78" s="17"/>
      <c r="AJ78" s="17"/>
      <c r="AK78" s="17"/>
      <c r="AL78" s="17"/>
      <c r="AM78" s="17"/>
      <c r="AN78" s="17"/>
      <c r="AO78" s="17"/>
      <c r="AP78" s="17"/>
      <c r="AQ78" s="17"/>
      <c r="AR78" s="17"/>
      <c r="AS78" s="17"/>
      <c r="AT78" s="17"/>
      <c r="AU78" s="17"/>
      <c r="AV78" s="17"/>
      <c r="AW78" s="12"/>
    </row>
    <row r="79" spans="1:49" ht="18.75" customHeight="1">
      <c r="A79" s="4">
        <v>74</v>
      </c>
      <c r="B79" s="11" t="s">
        <v>88</v>
      </c>
      <c r="C79" s="12"/>
      <c r="D79" s="12" t="s">
        <v>1052</v>
      </c>
      <c r="E79" s="13"/>
      <c r="F79" s="14"/>
      <c r="G79" s="15"/>
      <c r="H79" s="12" t="s">
        <v>890</v>
      </c>
      <c r="I79" s="18" t="s">
        <v>1053</v>
      </c>
      <c r="J79" s="13" t="s">
        <v>922</v>
      </c>
      <c r="K79" s="13" t="s">
        <v>892</v>
      </c>
      <c r="L79" s="13" t="s">
        <v>1054</v>
      </c>
      <c r="M79" s="13" t="s">
        <v>428</v>
      </c>
      <c r="N79" s="17">
        <f>SUM(O79:AV79)</f>
        <v>0</v>
      </c>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2"/>
    </row>
    <row r="80" spans="1:49" ht="18.75" customHeight="1">
      <c r="A80" s="4">
        <v>75</v>
      </c>
      <c r="B80" s="11" t="s">
        <v>88</v>
      </c>
      <c r="C80" s="12"/>
      <c r="D80" s="12" t="s">
        <v>1055</v>
      </c>
      <c r="E80" s="13"/>
      <c r="F80" s="14"/>
      <c r="G80" s="15"/>
      <c r="H80" s="12" t="s">
        <v>910</v>
      </c>
      <c r="I80" s="18" t="s">
        <v>1056</v>
      </c>
      <c r="J80" s="13" t="s">
        <v>922</v>
      </c>
      <c r="K80" s="13" t="s">
        <v>912</v>
      </c>
      <c r="L80" s="13" t="s">
        <v>1057</v>
      </c>
      <c r="M80" s="13" t="s">
        <v>428</v>
      </c>
      <c r="N80" s="17">
        <f>SUM(O80:AV80)</f>
        <v>0</v>
      </c>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2"/>
    </row>
  </sheetData>
  <autoFilter ref="A5:AV80" xr:uid="{00000000-0009-0000-0000-000004000000}"/>
  <mergeCells count="7">
    <mergeCell ref="M3:M5"/>
    <mergeCell ref="A2:AW2"/>
    <mergeCell ref="O3:AA3"/>
    <mergeCell ref="N3:N5"/>
    <mergeCell ref="A1:AW1"/>
    <mergeCell ref="AB3:AV3"/>
    <mergeCell ref="AW3:AW5"/>
  </mergeCells>
  <pageMargins left="1" right="1" top="1" bottom="1" header="0.3" footer="0.3"/>
  <pageSetup paperSize="0" orientation="portrait"/>
  <headerFooter>
    <oddHeader>&amp;L&amp;"Calibri"&amp;8&amp;K000000 대외비(Restricted)&amp;1#_x000D_</oddHead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AY154"/>
  <sheetViews>
    <sheetView zoomScale="70" zoomScaleNormal="70" workbookViewId="0">
      <pane xSplit="14" ySplit="5" topLeftCell="O6" activePane="bottomRight" state="frozen"/>
      <selection pane="bottomRight" activeCell="Q5" sqref="Q5:S5"/>
      <selection pane="bottomLeft" activeCell="A6" sqref="A6"/>
      <selection pane="topRight" activeCell="O1" sqref="O1"/>
    </sheetView>
  </sheetViews>
  <sheetFormatPr defaultRowHeight="14.45" outlineLevelCol="1"/>
  <cols>
    <col min="1" max="1" width="5.7109375" customWidth="1"/>
    <col min="2" max="2" width="11.28515625" customWidth="1"/>
    <col min="3" max="3" width="21.28515625" customWidth="1"/>
    <col min="4" max="4" width="8.7109375" customWidth="1"/>
    <col min="5" max="5" width="14.28515625" customWidth="1" outlineLevel="1"/>
    <col min="6" max="6" width="14.28515625" customWidth="1"/>
    <col min="7" max="7" width="40" customWidth="1"/>
    <col min="8" max="8" width="14.28515625" customWidth="1"/>
    <col min="9" max="9" width="28.7109375" customWidth="1"/>
    <col min="10" max="14" width="14.28515625" hidden="1" customWidth="1" outlineLevel="1"/>
    <col min="15" max="15" width="8.7109375" customWidth="1" collapsed="1"/>
    <col min="16" max="16" width="11.28515625" customWidth="1"/>
    <col min="17" max="34" width="13" customWidth="1"/>
    <col min="35" max="35" width="13" customWidth="1" collapsed="1"/>
    <col min="36" max="50" width="13" customWidth="1"/>
    <col min="51" max="51" width="21.28515625" customWidth="1"/>
  </cols>
  <sheetData>
    <row r="1" spans="1:51" ht="18.75" customHeight="1">
      <c r="A1" s="115" t="s">
        <v>7</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row>
    <row r="2" spans="1:51" ht="13.5" customHeight="1">
      <c r="A2" s="116" t="s">
        <v>8</v>
      </c>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row>
    <row r="3" spans="1:51" ht="23.25" customHeight="1">
      <c r="A3" s="104" t="s">
        <v>9</v>
      </c>
      <c r="B3" s="104" t="s">
        <v>10</v>
      </c>
      <c r="C3" s="104" t="s">
        <v>11</v>
      </c>
      <c r="D3" s="104" t="s">
        <v>12</v>
      </c>
      <c r="E3" s="104" t="s">
        <v>13</v>
      </c>
      <c r="F3" s="104" t="s">
        <v>14</v>
      </c>
      <c r="G3" s="104" t="s">
        <v>15</v>
      </c>
      <c r="I3" s="104" t="s">
        <v>16</v>
      </c>
      <c r="J3" s="104" t="s">
        <v>17</v>
      </c>
      <c r="K3" s="104" t="s">
        <v>1058</v>
      </c>
      <c r="L3" s="104" t="s">
        <v>1059</v>
      </c>
      <c r="M3" s="104" t="s">
        <v>1060</v>
      </c>
      <c r="N3" s="104" t="s">
        <v>23</v>
      </c>
      <c r="O3" s="114" t="s">
        <v>24</v>
      </c>
      <c r="P3" s="114" t="s">
        <v>25</v>
      </c>
      <c r="Q3" s="113" t="s">
        <v>26</v>
      </c>
      <c r="R3" s="124"/>
      <c r="S3" s="124"/>
      <c r="T3" s="124"/>
      <c r="U3" s="124"/>
      <c r="V3" s="124"/>
      <c r="W3" s="124"/>
      <c r="X3" s="124"/>
      <c r="Y3" s="124"/>
      <c r="Z3" s="124"/>
      <c r="AA3" s="124"/>
      <c r="AB3" s="124"/>
      <c r="AC3" s="125"/>
      <c r="AD3" s="113" t="s">
        <v>27</v>
      </c>
      <c r="AE3" s="124"/>
      <c r="AF3" s="124"/>
      <c r="AG3" s="124"/>
      <c r="AH3" s="124"/>
      <c r="AI3" s="124"/>
      <c r="AJ3" s="124"/>
      <c r="AK3" s="124"/>
      <c r="AL3" s="124"/>
      <c r="AM3" s="124"/>
      <c r="AN3" s="124"/>
      <c r="AO3" s="124"/>
      <c r="AP3" s="124"/>
      <c r="AQ3" s="124"/>
      <c r="AR3" s="124"/>
      <c r="AS3" s="124"/>
      <c r="AT3" s="124"/>
      <c r="AU3" s="124"/>
      <c r="AV3" s="124"/>
      <c r="AW3" s="124"/>
      <c r="AX3" s="125"/>
      <c r="AY3" s="114" t="s">
        <v>28</v>
      </c>
    </row>
    <row r="4" spans="1:51" ht="23.25" customHeight="1">
      <c r="G4" s="104" t="s">
        <v>29</v>
      </c>
      <c r="H4" s="104" t="s">
        <v>30</v>
      </c>
      <c r="O4" s="126"/>
      <c r="P4" s="126"/>
      <c r="Q4" s="103" t="s">
        <v>31</v>
      </c>
      <c r="R4" s="103" t="s">
        <v>32</v>
      </c>
      <c r="S4" s="103" t="s">
        <v>33</v>
      </c>
      <c r="T4" s="103" t="s">
        <v>34</v>
      </c>
      <c r="U4" s="103" t="s">
        <v>35</v>
      </c>
      <c r="V4" s="103" t="s">
        <v>36</v>
      </c>
      <c r="W4" s="104" t="s">
        <v>37</v>
      </c>
      <c r="X4" s="104" t="s">
        <v>38</v>
      </c>
      <c r="Y4" s="103" t="s">
        <v>39</v>
      </c>
      <c r="Z4" s="103" t="s">
        <v>40</v>
      </c>
      <c r="AA4" s="104" t="s">
        <v>41</v>
      </c>
      <c r="AB4" s="103" t="s">
        <v>42</v>
      </c>
      <c r="AC4" s="103" t="s">
        <v>43</v>
      </c>
      <c r="AD4" s="104" t="s">
        <v>44</v>
      </c>
      <c r="AE4" s="104" t="s">
        <v>45</v>
      </c>
      <c r="AF4" s="103" t="s">
        <v>46</v>
      </c>
      <c r="AG4" s="104" t="s">
        <v>47</v>
      </c>
      <c r="AH4" s="104" t="s">
        <v>48</v>
      </c>
      <c r="AI4" s="103" t="s">
        <v>49</v>
      </c>
      <c r="AJ4" s="103" t="s">
        <v>50</v>
      </c>
      <c r="AK4" s="103" t="s">
        <v>51</v>
      </c>
      <c r="AL4" s="103" t="s">
        <v>52</v>
      </c>
      <c r="AM4" s="103" t="s">
        <v>53</v>
      </c>
      <c r="AN4" s="103" t="s">
        <v>54</v>
      </c>
      <c r="AO4" s="103" t="s">
        <v>55</v>
      </c>
      <c r="AP4" s="103" t="s">
        <v>56</v>
      </c>
      <c r="AQ4" s="103" t="s">
        <v>57</v>
      </c>
      <c r="AR4" s="103" t="s">
        <v>58</v>
      </c>
      <c r="AS4" s="103" t="s">
        <v>59</v>
      </c>
      <c r="AT4" s="103" t="s">
        <v>60</v>
      </c>
      <c r="AU4" s="103" t="s">
        <v>61</v>
      </c>
      <c r="AV4" s="103" t="s">
        <v>62</v>
      </c>
      <c r="AW4" s="103" t="s">
        <v>63</v>
      </c>
      <c r="AX4" s="105" t="s">
        <v>64</v>
      </c>
      <c r="AY4" s="126"/>
    </row>
    <row r="5" spans="1:51" ht="23.25" customHeight="1">
      <c r="O5" s="127"/>
      <c r="P5" s="127"/>
      <c r="Q5" s="104" t="s">
        <v>65</v>
      </c>
      <c r="R5" s="104" t="s">
        <v>65</v>
      </c>
      <c r="S5" s="104" t="s">
        <v>66</v>
      </c>
      <c r="T5" s="103" t="s">
        <v>66</v>
      </c>
      <c r="U5" s="103" t="s">
        <v>66</v>
      </c>
      <c r="V5" s="103" t="s">
        <v>66</v>
      </c>
      <c r="W5" s="103" t="s">
        <v>67</v>
      </c>
      <c r="X5" s="104" t="s">
        <v>68</v>
      </c>
      <c r="Y5" s="103" t="s">
        <v>69</v>
      </c>
      <c r="Z5" s="103" t="s">
        <v>70</v>
      </c>
      <c r="AA5" s="103" t="s">
        <v>71</v>
      </c>
      <c r="AB5" s="103" t="s">
        <v>72</v>
      </c>
      <c r="AC5" s="103" t="s">
        <v>73</v>
      </c>
      <c r="AD5" s="104" t="s">
        <v>74</v>
      </c>
      <c r="AE5" s="104" t="s">
        <v>75</v>
      </c>
      <c r="AF5" s="103" t="s">
        <v>76</v>
      </c>
      <c r="AG5" s="104" t="s">
        <v>77</v>
      </c>
      <c r="AH5" s="104" t="s">
        <v>78</v>
      </c>
      <c r="AI5" s="103" t="s">
        <v>79</v>
      </c>
      <c r="AJ5" s="103" t="s">
        <v>80</v>
      </c>
      <c r="AK5" s="103" t="s">
        <v>81</v>
      </c>
      <c r="AL5" s="103" t="s">
        <v>82</v>
      </c>
      <c r="AM5" s="103" t="s">
        <v>83</v>
      </c>
      <c r="AN5" s="103" t="s">
        <v>84</v>
      </c>
      <c r="AO5" s="103" t="s">
        <v>72</v>
      </c>
      <c r="AP5" s="103" t="s">
        <v>85</v>
      </c>
      <c r="AQ5" s="103" t="s">
        <v>86</v>
      </c>
      <c r="AR5" s="103" t="s">
        <v>87</v>
      </c>
      <c r="AS5" s="103" t="s">
        <v>86</v>
      </c>
      <c r="AT5" s="103" t="s">
        <v>87</v>
      </c>
      <c r="AU5" s="103" t="s">
        <v>87</v>
      </c>
      <c r="AV5" s="103" t="s">
        <v>86</v>
      </c>
      <c r="AW5" s="103" t="s">
        <v>87</v>
      </c>
      <c r="AX5" s="103" t="s">
        <v>87</v>
      </c>
      <c r="AY5" s="127"/>
    </row>
    <row r="6" spans="1:51" ht="18.75" customHeight="1">
      <c r="A6" s="4">
        <v>1</v>
      </c>
      <c r="B6" s="5" t="s">
        <v>88</v>
      </c>
      <c r="C6" s="6"/>
      <c r="D6" s="6" t="s">
        <v>1061</v>
      </c>
      <c r="E6" s="4"/>
      <c r="F6" s="6" t="s">
        <v>1062</v>
      </c>
      <c r="G6" s="7"/>
      <c r="H6" s="9"/>
      <c r="I6" s="7"/>
      <c r="J6" s="4"/>
      <c r="K6" s="31"/>
      <c r="L6" s="31"/>
      <c r="M6" s="31"/>
      <c r="N6" s="4"/>
      <c r="O6" s="4"/>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9"/>
    </row>
    <row r="7" spans="1:51" ht="18.75" customHeight="1">
      <c r="A7" s="4">
        <v>2</v>
      </c>
      <c r="B7" s="5" t="s">
        <v>88</v>
      </c>
      <c r="C7" s="6"/>
      <c r="D7" s="38" t="s">
        <v>1063</v>
      </c>
      <c r="E7" s="58"/>
      <c r="F7" s="38" t="s">
        <v>1064</v>
      </c>
      <c r="G7" s="60"/>
      <c r="H7" s="9"/>
      <c r="I7" s="7"/>
      <c r="J7" s="4"/>
      <c r="K7" s="31"/>
      <c r="L7" s="31"/>
      <c r="M7" s="31"/>
      <c r="N7" s="4"/>
      <c r="O7" s="4"/>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9"/>
    </row>
    <row r="8" spans="1:51" ht="30.75" customHeight="1">
      <c r="A8" s="4">
        <v>3</v>
      </c>
      <c r="B8" s="11" t="s">
        <v>88</v>
      </c>
      <c r="C8" s="12"/>
      <c r="D8" s="12" t="s">
        <v>1065</v>
      </c>
      <c r="E8" s="13"/>
      <c r="F8" s="14"/>
      <c r="G8" s="18" t="s">
        <v>1066</v>
      </c>
      <c r="H8" s="12" t="s">
        <v>1067</v>
      </c>
      <c r="I8" s="18" t="s">
        <v>1068</v>
      </c>
      <c r="J8" s="13" t="s">
        <v>1069</v>
      </c>
      <c r="K8" s="33">
        <v>41</v>
      </c>
      <c r="L8" s="33">
        <v>41</v>
      </c>
      <c r="M8" s="33">
        <v>2.5</v>
      </c>
      <c r="N8" s="13" t="s">
        <v>1070</v>
      </c>
      <c r="O8" s="13" t="s">
        <v>109</v>
      </c>
      <c r="P8" s="17">
        <f t="shared" ref="P8:P14" si="0">SUM(Q8:AX8)</f>
        <v>0</v>
      </c>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2"/>
    </row>
    <row r="9" spans="1:51" ht="18.75" customHeight="1">
      <c r="A9" s="4">
        <v>4</v>
      </c>
      <c r="B9" s="11" t="s">
        <v>88</v>
      </c>
      <c r="C9" s="12"/>
      <c r="D9" s="12" t="s">
        <v>1071</v>
      </c>
      <c r="E9" s="13"/>
      <c r="F9" s="14"/>
      <c r="G9" s="18" t="s">
        <v>1072</v>
      </c>
      <c r="H9" s="12" t="s">
        <v>1067</v>
      </c>
      <c r="I9" s="15"/>
      <c r="J9" s="13" t="s">
        <v>1069</v>
      </c>
      <c r="K9" s="33">
        <v>41</v>
      </c>
      <c r="L9" s="33">
        <v>41</v>
      </c>
      <c r="M9" s="33">
        <v>2.5</v>
      </c>
      <c r="N9" s="13" t="s">
        <v>1073</v>
      </c>
      <c r="O9" s="13" t="s">
        <v>109</v>
      </c>
      <c r="P9" s="17">
        <f t="shared" si="0"/>
        <v>0</v>
      </c>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2"/>
    </row>
    <row r="10" spans="1:51" ht="30.75" customHeight="1">
      <c r="A10" s="4">
        <v>5</v>
      </c>
      <c r="B10" s="11" t="s">
        <v>88</v>
      </c>
      <c r="C10" s="12"/>
      <c r="D10" s="12" t="s">
        <v>1074</v>
      </c>
      <c r="E10" s="13"/>
      <c r="F10" s="14"/>
      <c r="G10" s="18" t="s">
        <v>1075</v>
      </c>
      <c r="H10" s="12" t="s">
        <v>1067</v>
      </c>
      <c r="I10" s="18" t="s">
        <v>1076</v>
      </c>
      <c r="J10" s="13" t="s">
        <v>1069</v>
      </c>
      <c r="K10" s="33">
        <v>41</v>
      </c>
      <c r="L10" s="33">
        <v>41</v>
      </c>
      <c r="M10" s="33">
        <v>2.5</v>
      </c>
      <c r="N10" s="13" t="s">
        <v>1077</v>
      </c>
      <c r="O10" s="13" t="s">
        <v>109</v>
      </c>
      <c r="P10" s="17">
        <f t="shared" si="0"/>
        <v>0</v>
      </c>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2"/>
    </row>
    <row r="11" spans="1:51" ht="30.75" customHeight="1">
      <c r="A11" s="4">
        <v>6</v>
      </c>
      <c r="B11" s="11" t="s">
        <v>88</v>
      </c>
      <c r="C11" s="12"/>
      <c r="D11" s="12" t="s">
        <v>1078</v>
      </c>
      <c r="E11" s="13"/>
      <c r="F11" s="14"/>
      <c r="G11" s="18" t="s">
        <v>1066</v>
      </c>
      <c r="H11" s="12" t="s">
        <v>1067</v>
      </c>
      <c r="I11" s="18" t="s">
        <v>1079</v>
      </c>
      <c r="J11" s="13" t="s">
        <v>1069</v>
      </c>
      <c r="K11" s="33">
        <v>41</v>
      </c>
      <c r="L11" s="33">
        <v>41</v>
      </c>
      <c r="M11" s="33">
        <v>2.5</v>
      </c>
      <c r="N11" s="13" t="s">
        <v>1080</v>
      </c>
      <c r="O11" s="13" t="s">
        <v>109</v>
      </c>
      <c r="P11" s="17">
        <f t="shared" si="0"/>
        <v>0</v>
      </c>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2"/>
    </row>
    <row r="12" spans="1:51" ht="18.75" customHeight="1">
      <c r="A12" s="4">
        <v>7</v>
      </c>
      <c r="B12" s="11" t="s">
        <v>88</v>
      </c>
      <c r="C12" s="12"/>
      <c r="D12" s="12" t="s">
        <v>1081</v>
      </c>
      <c r="E12" s="13"/>
      <c r="F12" s="14"/>
      <c r="G12" s="18" t="s">
        <v>1072</v>
      </c>
      <c r="H12" s="12" t="s">
        <v>1067</v>
      </c>
      <c r="I12" s="18" t="s">
        <v>711</v>
      </c>
      <c r="J12" s="13" t="s">
        <v>1069</v>
      </c>
      <c r="K12" s="33">
        <v>41</v>
      </c>
      <c r="L12" s="33">
        <v>41</v>
      </c>
      <c r="M12" s="33">
        <v>2.5</v>
      </c>
      <c r="N12" s="13" t="s">
        <v>1082</v>
      </c>
      <c r="O12" s="13" t="s">
        <v>109</v>
      </c>
      <c r="P12" s="17">
        <f t="shared" si="0"/>
        <v>0</v>
      </c>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2"/>
    </row>
    <row r="13" spans="1:51" ht="30.75" customHeight="1">
      <c r="A13" s="4">
        <v>8</v>
      </c>
      <c r="B13" s="11" t="s">
        <v>88</v>
      </c>
      <c r="C13" s="12"/>
      <c r="D13" s="12" t="s">
        <v>1083</v>
      </c>
      <c r="E13" s="13"/>
      <c r="F13" s="14"/>
      <c r="G13" s="18" t="s">
        <v>1075</v>
      </c>
      <c r="H13" s="12" t="s">
        <v>1084</v>
      </c>
      <c r="I13" s="18" t="s">
        <v>711</v>
      </c>
      <c r="J13" s="13" t="s">
        <v>1069</v>
      </c>
      <c r="K13" s="33">
        <v>84</v>
      </c>
      <c r="L13" s="33">
        <v>41</v>
      </c>
      <c r="M13" s="33">
        <v>2.6</v>
      </c>
      <c r="N13" s="13" t="s">
        <v>1085</v>
      </c>
      <c r="O13" s="13" t="s">
        <v>109</v>
      </c>
      <c r="P13" s="17">
        <f t="shared" si="0"/>
        <v>0</v>
      </c>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4"/>
    </row>
    <row r="14" spans="1:51" ht="30.75" customHeight="1">
      <c r="A14" s="4">
        <v>9</v>
      </c>
      <c r="B14" s="11" t="s">
        <v>88</v>
      </c>
      <c r="C14" s="12"/>
      <c r="D14" s="12" t="s">
        <v>1086</v>
      </c>
      <c r="E14" s="13"/>
      <c r="F14" s="14"/>
      <c r="G14" s="18" t="s">
        <v>1087</v>
      </c>
      <c r="H14" s="12" t="s">
        <v>1067</v>
      </c>
      <c r="I14" s="18" t="s">
        <v>1088</v>
      </c>
      <c r="J14" s="13" t="s">
        <v>1069</v>
      </c>
      <c r="K14" s="33">
        <v>41</v>
      </c>
      <c r="L14" s="33">
        <v>41</v>
      </c>
      <c r="M14" s="33">
        <v>2.5</v>
      </c>
      <c r="N14" s="13" t="s">
        <v>1089</v>
      </c>
      <c r="O14" s="13" t="s">
        <v>428</v>
      </c>
      <c r="P14" s="17">
        <f t="shared" si="0"/>
        <v>2000</v>
      </c>
      <c r="Q14" s="17"/>
      <c r="R14" s="17"/>
      <c r="S14" s="17"/>
      <c r="T14" s="17"/>
      <c r="U14" s="17"/>
      <c r="V14" s="17"/>
      <c r="W14" s="17"/>
      <c r="X14" s="17"/>
      <c r="Y14" s="17"/>
      <c r="Z14" s="17"/>
      <c r="AA14" s="17"/>
      <c r="AB14" s="17"/>
      <c r="AC14" s="17"/>
      <c r="AD14" s="17">
        <v>1000</v>
      </c>
      <c r="AE14" s="17">
        <v>1000</v>
      </c>
      <c r="AF14" s="17"/>
      <c r="AG14" s="17" t="s">
        <v>1090</v>
      </c>
      <c r="AH14" s="17"/>
      <c r="AI14" s="17"/>
      <c r="AJ14" s="17"/>
      <c r="AK14" s="17"/>
      <c r="AL14" s="17"/>
      <c r="AM14" s="17"/>
      <c r="AN14" s="17"/>
      <c r="AO14" s="17"/>
      <c r="AP14" s="17"/>
      <c r="AQ14" s="17"/>
      <c r="AR14" s="17"/>
      <c r="AS14" s="17"/>
      <c r="AT14" s="17"/>
      <c r="AU14" s="17"/>
      <c r="AV14" s="17"/>
      <c r="AW14" s="17"/>
      <c r="AX14" s="17"/>
      <c r="AY14" s="14"/>
    </row>
    <row r="15" spans="1:51" ht="18.75" customHeight="1">
      <c r="A15" s="4">
        <v>10</v>
      </c>
      <c r="B15" s="5" t="s">
        <v>88</v>
      </c>
      <c r="C15" s="6"/>
      <c r="D15" s="38" t="s">
        <v>1091</v>
      </c>
      <c r="E15" s="58"/>
      <c r="F15" s="38" t="s">
        <v>1092</v>
      </c>
      <c r="G15" s="60"/>
      <c r="H15" s="9"/>
      <c r="I15" s="7"/>
      <c r="J15" s="4"/>
      <c r="K15" s="31"/>
      <c r="L15" s="31"/>
      <c r="M15" s="31"/>
      <c r="N15" s="4"/>
      <c r="O15" s="4"/>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9"/>
    </row>
    <row r="16" spans="1:51" ht="30.75" customHeight="1">
      <c r="A16" s="4">
        <v>11</v>
      </c>
      <c r="B16" s="11" t="s">
        <v>88</v>
      </c>
      <c r="C16" s="12"/>
      <c r="D16" s="12" t="s">
        <v>1093</v>
      </c>
      <c r="E16" s="13"/>
      <c r="F16" s="14"/>
      <c r="G16" s="18" t="s">
        <v>1066</v>
      </c>
      <c r="H16" s="12" t="s">
        <v>1094</v>
      </c>
      <c r="I16" s="18" t="s">
        <v>1095</v>
      </c>
      <c r="J16" s="13" t="s">
        <v>1096</v>
      </c>
      <c r="K16" s="33">
        <v>100</v>
      </c>
      <c r="L16" s="33">
        <v>50</v>
      </c>
      <c r="M16" s="33">
        <v>5</v>
      </c>
      <c r="N16" s="13" t="s">
        <v>1097</v>
      </c>
      <c r="O16" s="13" t="s">
        <v>109</v>
      </c>
      <c r="P16" s="17">
        <f t="shared" ref="P16:P21" si="1">SUM(Q16:AX16)</f>
        <v>0</v>
      </c>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2"/>
    </row>
    <row r="17" spans="1:51" ht="18.75" customHeight="1">
      <c r="A17" s="4">
        <v>12</v>
      </c>
      <c r="B17" s="11" t="s">
        <v>88</v>
      </c>
      <c r="C17" s="12"/>
      <c r="D17" s="12" t="s">
        <v>1098</v>
      </c>
      <c r="E17" s="13"/>
      <c r="F17" s="14"/>
      <c r="G17" s="18" t="s">
        <v>1072</v>
      </c>
      <c r="H17" s="12" t="s">
        <v>1094</v>
      </c>
      <c r="I17" s="18" t="s">
        <v>690</v>
      </c>
      <c r="J17" s="13" t="s">
        <v>1096</v>
      </c>
      <c r="K17" s="33">
        <v>100</v>
      </c>
      <c r="L17" s="33">
        <v>50</v>
      </c>
      <c r="M17" s="33">
        <v>5</v>
      </c>
      <c r="N17" s="13" t="s">
        <v>1099</v>
      </c>
      <c r="O17" s="13" t="s">
        <v>109</v>
      </c>
      <c r="P17" s="17">
        <f t="shared" si="1"/>
        <v>0</v>
      </c>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2"/>
    </row>
    <row r="18" spans="1:51" ht="30.75" customHeight="1">
      <c r="A18" s="4">
        <v>13</v>
      </c>
      <c r="B18" s="11" t="s">
        <v>88</v>
      </c>
      <c r="C18" s="12"/>
      <c r="D18" s="12" t="s">
        <v>1100</v>
      </c>
      <c r="E18" s="13"/>
      <c r="F18" s="14"/>
      <c r="G18" s="18" t="s">
        <v>1066</v>
      </c>
      <c r="H18" s="12" t="s">
        <v>1101</v>
      </c>
      <c r="I18" s="18" t="s">
        <v>1095</v>
      </c>
      <c r="J18" s="13" t="s">
        <v>1096</v>
      </c>
      <c r="K18" s="33">
        <v>150</v>
      </c>
      <c r="L18" s="33">
        <v>75</v>
      </c>
      <c r="M18" s="33">
        <v>6.5</v>
      </c>
      <c r="N18" s="13" t="s">
        <v>1102</v>
      </c>
      <c r="O18" s="13" t="s">
        <v>109</v>
      </c>
      <c r="P18" s="17">
        <f t="shared" si="1"/>
        <v>0</v>
      </c>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2"/>
    </row>
    <row r="19" spans="1:51" ht="30.75" customHeight="1">
      <c r="A19" s="4">
        <v>14</v>
      </c>
      <c r="B19" s="11" t="s">
        <v>88</v>
      </c>
      <c r="C19" s="12"/>
      <c r="D19" s="12" t="s">
        <v>1103</v>
      </c>
      <c r="E19" s="13"/>
      <c r="F19" s="14"/>
      <c r="G19" s="18" t="s">
        <v>1066</v>
      </c>
      <c r="H19" s="12" t="s">
        <v>1094</v>
      </c>
      <c r="I19" s="18" t="s">
        <v>1104</v>
      </c>
      <c r="J19" s="13" t="s">
        <v>1096</v>
      </c>
      <c r="K19" s="33">
        <v>100</v>
      </c>
      <c r="L19" s="33">
        <v>50</v>
      </c>
      <c r="M19" s="33">
        <v>5</v>
      </c>
      <c r="N19" s="13" t="s">
        <v>1105</v>
      </c>
      <c r="O19" s="13" t="s">
        <v>109</v>
      </c>
      <c r="P19" s="17">
        <f t="shared" si="1"/>
        <v>1000</v>
      </c>
      <c r="Q19" s="17"/>
      <c r="R19" s="17"/>
      <c r="S19" s="17"/>
      <c r="T19" s="17"/>
      <c r="U19" s="17"/>
      <c r="V19" s="17"/>
      <c r="W19" s="17"/>
      <c r="X19" s="17"/>
      <c r="Y19" s="17"/>
      <c r="Z19" s="17"/>
      <c r="AA19" s="17"/>
      <c r="AB19" s="17"/>
      <c r="AC19" s="17"/>
      <c r="AD19" s="17">
        <v>500</v>
      </c>
      <c r="AE19" s="17">
        <v>500</v>
      </c>
      <c r="AF19" s="17"/>
      <c r="AG19" s="17"/>
      <c r="AH19" s="17"/>
      <c r="AI19" s="17"/>
      <c r="AJ19" s="17"/>
      <c r="AK19" s="17"/>
      <c r="AL19" s="17"/>
      <c r="AM19" s="17"/>
      <c r="AN19" s="17"/>
      <c r="AO19" s="17"/>
      <c r="AP19" s="17"/>
      <c r="AQ19" s="17"/>
      <c r="AR19" s="17"/>
      <c r="AS19" s="17"/>
      <c r="AT19" s="17"/>
      <c r="AU19" s="17"/>
      <c r="AV19" s="17"/>
      <c r="AW19" s="17"/>
      <c r="AX19" s="17"/>
      <c r="AY19" s="12"/>
    </row>
    <row r="20" spans="1:51" ht="30.75" customHeight="1">
      <c r="A20" s="4">
        <v>15</v>
      </c>
      <c r="B20" s="11" t="s">
        <v>88</v>
      </c>
      <c r="C20" s="12"/>
      <c r="D20" s="12" t="s">
        <v>1106</v>
      </c>
      <c r="E20" s="13"/>
      <c r="F20" s="14"/>
      <c r="G20" s="18" t="s">
        <v>1066</v>
      </c>
      <c r="H20" s="12" t="s">
        <v>1107</v>
      </c>
      <c r="I20" s="18" t="s">
        <v>1108</v>
      </c>
      <c r="J20" s="13" t="s">
        <v>1096</v>
      </c>
      <c r="K20" s="33">
        <v>75</v>
      </c>
      <c r="L20" s="33">
        <v>75</v>
      </c>
      <c r="M20" s="33">
        <v>5</v>
      </c>
      <c r="N20" s="13" t="s">
        <v>1109</v>
      </c>
      <c r="O20" s="13" t="s">
        <v>109</v>
      </c>
      <c r="P20" s="17">
        <f t="shared" si="1"/>
        <v>0</v>
      </c>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2"/>
    </row>
    <row r="21" spans="1:51" ht="30.75" customHeight="1">
      <c r="A21" s="4">
        <v>16</v>
      </c>
      <c r="B21" s="11" t="s">
        <v>88</v>
      </c>
      <c r="C21" s="12"/>
      <c r="D21" s="12" t="s">
        <v>1110</v>
      </c>
      <c r="E21" s="13"/>
      <c r="F21" s="14"/>
      <c r="G21" s="18" t="s">
        <v>1066</v>
      </c>
      <c r="H21" s="12" t="s">
        <v>1111</v>
      </c>
      <c r="I21" s="18" t="s">
        <v>1095</v>
      </c>
      <c r="J21" s="13" t="s">
        <v>1096</v>
      </c>
      <c r="K21" s="33">
        <v>125</v>
      </c>
      <c r="L21" s="33">
        <v>65</v>
      </c>
      <c r="M21" s="33">
        <v>5</v>
      </c>
      <c r="N21" s="13" t="s">
        <v>1112</v>
      </c>
      <c r="O21" s="13" t="s">
        <v>109</v>
      </c>
      <c r="P21" s="17">
        <f t="shared" si="1"/>
        <v>0</v>
      </c>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2"/>
    </row>
    <row r="22" spans="1:51" ht="18.75" customHeight="1">
      <c r="A22" s="4">
        <v>17</v>
      </c>
      <c r="B22" s="5" t="s">
        <v>88</v>
      </c>
      <c r="C22" s="6"/>
      <c r="D22" s="38" t="s">
        <v>1113</v>
      </c>
      <c r="E22" s="58"/>
      <c r="F22" s="38" t="s">
        <v>1114</v>
      </c>
      <c r="G22" s="60"/>
      <c r="H22" s="9"/>
      <c r="I22" s="7"/>
      <c r="J22" s="4"/>
      <c r="K22" s="31"/>
      <c r="L22" s="31"/>
      <c r="M22" s="31"/>
      <c r="N22" s="4"/>
      <c r="O22" s="4"/>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9"/>
    </row>
    <row r="23" spans="1:51" ht="30.75" customHeight="1">
      <c r="A23" s="4">
        <v>18</v>
      </c>
      <c r="B23" s="11" t="s">
        <v>88</v>
      </c>
      <c r="C23" s="12"/>
      <c r="D23" s="12" t="s">
        <v>1115</v>
      </c>
      <c r="E23" s="13"/>
      <c r="F23" s="14"/>
      <c r="G23" s="18" t="s">
        <v>1066</v>
      </c>
      <c r="H23" s="12" t="s">
        <v>1116</v>
      </c>
      <c r="I23" s="18" t="s">
        <v>1095</v>
      </c>
      <c r="J23" s="13" t="s">
        <v>1117</v>
      </c>
      <c r="K23" s="33">
        <v>50</v>
      </c>
      <c r="L23" s="33">
        <v>50</v>
      </c>
      <c r="M23" s="33">
        <v>6</v>
      </c>
      <c r="N23" s="13" t="s">
        <v>1118</v>
      </c>
      <c r="O23" s="13" t="s">
        <v>109</v>
      </c>
      <c r="P23" s="17">
        <f>SUM(Q23:AX23)</f>
        <v>0</v>
      </c>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2"/>
    </row>
    <row r="24" spans="1:51" ht="18.75" customHeight="1">
      <c r="A24" s="4">
        <v>19</v>
      </c>
      <c r="B24" s="11" t="s">
        <v>88</v>
      </c>
      <c r="C24" s="12"/>
      <c r="D24" s="12" t="s">
        <v>1119</v>
      </c>
      <c r="E24" s="13"/>
      <c r="F24" s="14"/>
      <c r="G24" s="18" t="s">
        <v>1072</v>
      </c>
      <c r="H24" s="12" t="s">
        <v>1116</v>
      </c>
      <c r="I24" s="18" t="s">
        <v>690</v>
      </c>
      <c r="J24" s="13" t="s">
        <v>1117</v>
      </c>
      <c r="K24" s="33">
        <v>50</v>
      </c>
      <c r="L24" s="33">
        <v>50</v>
      </c>
      <c r="M24" s="33">
        <v>6</v>
      </c>
      <c r="N24" s="13" t="s">
        <v>1120</v>
      </c>
      <c r="O24" s="13" t="s">
        <v>109</v>
      </c>
      <c r="P24" s="17">
        <f>SUM(Q24:AX24)</f>
        <v>0</v>
      </c>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2"/>
    </row>
    <row r="25" spans="1:51" ht="30.75" customHeight="1">
      <c r="A25" s="4">
        <v>20</v>
      </c>
      <c r="B25" s="11" t="s">
        <v>88</v>
      </c>
      <c r="C25" s="12"/>
      <c r="D25" s="12" t="s">
        <v>1121</v>
      </c>
      <c r="E25" s="13"/>
      <c r="F25" s="14"/>
      <c r="G25" s="18" t="s">
        <v>1066</v>
      </c>
      <c r="H25" s="12" t="s">
        <v>1116</v>
      </c>
      <c r="I25" s="18" t="s">
        <v>1104</v>
      </c>
      <c r="J25" s="13" t="s">
        <v>1117</v>
      </c>
      <c r="K25" s="33">
        <v>50</v>
      </c>
      <c r="L25" s="33">
        <v>50</v>
      </c>
      <c r="M25" s="33">
        <v>6</v>
      </c>
      <c r="N25" s="13" t="s">
        <v>1122</v>
      </c>
      <c r="O25" s="13" t="s">
        <v>109</v>
      </c>
      <c r="P25" s="17">
        <f>SUM(Q25:AX25)</f>
        <v>1000</v>
      </c>
      <c r="Q25" s="17"/>
      <c r="R25" s="17"/>
      <c r="S25" s="17"/>
      <c r="T25" s="17"/>
      <c r="U25" s="17"/>
      <c r="V25" s="17"/>
      <c r="W25" s="17"/>
      <c r="X25" s="17"/>
      <c r="Y25" s="17"/>
      <c r="Z25" s="17"/>
      <c r="AA25" s="17"/>
      <c r="AB25" s="17"/>
      <c r="AC25" s="17"/>
      <c r="AD25" s="17">
        <v>500</v>
      </c>
      <c r="AE25" s="17">
        <v>500</v>
      </c>
      <c r="AF25" s="17"/>
      <c r="AG25" s="17"/>
      <c r="AH25" s="17"/>
      <c r="AI25" s="17"/>
      <c r="AJ25" s="17"/>
      <c r="AK25" s="17"/>
      <c r="AL25" s="17"/>
      <c r="AM25" s="17"/>
      <c r="AN25" s="17"/>
      <c r="AO25" s="17"/>
      <c r="AP25" s="17"/>
      <c r="AQ25" s="17"/>
      <c r="AR25" s="17"/>
      <c r="AS25" s="17"/>
      <c r="AT25" s="17"/>
      <c r="AU25" s="17"/>
      <c r="AV25" s="17"/>
      <c r="AW25" s="17"/>
      <c r="AX25" s="17"/>
      <c r="AY25" s="12"/>
    </row>
    <row r="26" spans="1:51" ht="30.75" customHeight="1">
      <c r="A26" s="4">
        <v>21</v>
      </c>
      <c r="B26" s="11" t="s">
        <v>88</v>
      </c>
      <c r="C26" s="12"/>
      <c r="D26" s="12" t="s">
        <v>1123</v>
      </c>
      <c r="E26" s="13"/>
      <c r="F26" s="14"/>
      <c r="G26" s="18" t="s">
        <v>1066</v>
      </c>
      <c r="H26" s="12" t="s">
        <v>1124</v>
      </c>
      <c r="I26" s="18" t="s">
        <v>1125</v>
      </c>
      <c r="J26" s="13" t="s">
        <v>1117</v>
      </c>
      <c r="K26" s="33">
        <v>75</v>
      </c>
      <c r="L26" s="33">
        <v>75</v>
      </c>
      <c r="M26" s="33">
        <v>6</v>
      </c>
      <c r="N26" s="13" t="s">
        <v>1126</v>
      </c>
      <c r="O26" s="13" t="s">
        <v>109</v>
      </c>
      <c r="P26" s="17">
        <f>SUM(Q26:AX26)</f>
        <v>0</v>
      </c>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2"/>
    </row>
    <row r="27" spans="1:51" ht="18.75" customHeight="1">
      <c r="A27" s="4">
        <v>22</v>
      </c>
      <c r="B27" s="5" t="s">
        <v>88</v>
      </c>
      <c r="C27" s="6"/>
      <c r="D27" s="38" t="s">
        <v>1127</v>
      </c>
      <c r="E27" s="58"/>
      <c r="F27" s="38" t="s">
        <v>1128</v>
      </c>
      <c r="G27" s="60"/>
      <c r="H27" s="9"/>
      <c r="I27" s="7"/>
      <c r="J27" s="4"/>
      <c r="K27" s="31"/>
      <c r="L27" s="31"/>
      <c r="M27" s="31"/>
      <c r="N27" s="4"/>
      <c r="O27" s="4"/>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9"/>
    </row>
    <row r="28" spans="1:51" ht="30.75" customHeight="1">
      <c r="A28" s="4">
        <v>23</v>
      </c>
      <c r="B28" s="21" t="s">
        <v>88</v>
      </c>
      <c r="C28" s="3"/>
      <c r="D28" s="1"/>
      <c r="E28" s="2"/>
      <c r="F28" s="1"/>
      <c r="G28" s="26" t="s">
        <v>1129</v>
      </c>
      <c r="H28" s="1"/>
      <c r="I28" s="22"/>
      <c r="J28" s="2"/>
      <c r="K28" s="32"/>
      <c r="L28" s="32"/>
      <c r="M28" s="32"/>
      <c r="N28" s="2"/>
      <c r="O28" s="2"/>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1"/>
    </row>
    <row r="29" spans="1:51" ht="30.75" customHeight="1">
      <c r="A29" s="4">
        <v>24</v>
      </c>
      <c r="B29" s="21" t="s">
        <v>88</v>
      </c>
      <c r="C29" s="3"/>
      <c r="D29" s="1"/>
      <c r="E29" s="2"/>
      <c r="F29" s="1"/>
      <c r="G29" s="26" t="s">
        <v>1130</v>
      </c>
      <c r="H29" s="1"/>
      <c r="I29" s="22"/>
      <c r="J29" s="2"/>
      <c r="K29" s="32"/>
      <c r="L29" s="32"/>
      <c r="M29" s="32"/>
      <c r="N29" s="2"/>
      <c r="O29" s="2"/>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1"/>
    </row>
    <row r="30" spans="1:51" ht="18.75" customHeight="1">
      <c r="A30" s="4">
        <v>25</v>
      </c>
      <c r="B30" s="11" t="s">
        <v>88</v>
      </c>
      <c r="C30" s="12"/>
      <c r="D30" s="12" t="s">
        <v>1131</v>
      </c>
      <c r="E30" s="13"/>
      <c r="F30" s="14"/>
      <c r="G30" s="18" t="s">
        <v>1132</v>
      </c>
      <c r="H30" s="12" t="s">
        <v>1133</v>
      </c>
      <c r="I30" s="18" t="s">
        <v>1133</v>
      </c>
      <c r="J30" s="13" t="s">
        <v>1134</v>
      </c>
      <c r="K30" s="33"/>
      <c r="L30" s="33"/>
      <c r="M30" s="33"/>
      <c r="N30" s="13" t="s">
        <v>1135</v>
      </c>
      <c r="O30" s="13" t="s">
        <v>428</v>
      </c>
      <c r="P30" s="17">
        <f t="shared" ref="P30:P35" si="2">SUM(Q30:AX30)</f>
        <v>0</v>
      </c>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2"/>
    </row>
    <row r="31" spans="1:51" ht="18.75" customHeight="1">
      <c r="A31" s="4">
        <v>26</v>
      </c>
      <c r="B31" s="11" t="s">
        <v>88</v>
      </c>
      <c r="C31" s="12"/>
      <c r="D31" s="12" t="s">
        <v>1136</v>
      </c>
      <c r="E31" s="13"/>
      <c r="F31" s="14"/>
      <c r="G31" s="18" t="s">
        <v>1132</v>
      </c>
      <c r="H31" s="12" t="s">
        <v>1137</v>
      </c>
      <c r="I31" s="18" t="s">
        <v>1137</v>
      </c>
      <c r="J31" s="13" t="s">
        <v>1134</v>
      </c>
      <c r="K31" s="33"/>
      <c r="L31" s="33"/>
      <c r="M31" s="33"/>
      <c r="N31" s="13" t="s">
        <v>1138</v>
      </c>
      <c r="O31" s="13" t="s">
        <v>428</v>
      </c>
      <c r="P31" s="17">
        <f t="shared" si="2"/>
        <v>0</v>
      </c>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2"/>
    </row>
    <row r="32" spans="1:51" ht="18.75" customHeight="1">
      <c r="A32" s="4">
        <v>27</v>
      </c>
      <c r="B32" s="11" t="s">
        <v>88</v>
      </c>
      <c r="C32" s="12"/>
      <c r="D32" s="12" t="s">
        <v>1139</v>
      </c>
      <c r="E32" s="13"/>
      <c r="F32" s="14"/>
      <c r="G32" s="18" t="s">
        <v>1132</v>
      </c>
      <c r="H32" s="12" t="s">
        <v>1140</v>
      </c>
      <c r="I32" s="18" t="s">
        <v>1140</v>
      </c>
      <c r="J32" s="13" t="s">
        <v>1134</v>
      </c>
      <c r="K32" s="33"/>
      <c r="L32" s="33"/>
      <c r="M32" s="33"/>
      <c r="N32" s="13" t="s">
        <v>1141</v>
      </c>
      <c r="O32" s="13" t="s">
        <v>428</v>
      </c>
      <c r="P32" s="17">
        <f t="shared" si="2"/>
        <v>0</v>
      </c>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2"/>
    </row>
    <row r="33" spans="1:51" ht="18.75" customHeight="1">
      <c r="A33" s="4">
        <v>28</v>
      </c>
      <c r="B33" s="11" t="s">
        <v>88</v>
      </c>
      <c r="C33" s="12"/>
      <c r="D33" s="12" t="s">
        <v>1142</v>
      </c>
      <c r="E33" s="13"/>
      <c r="F33" s="14"/>
      <c r="G33" s="18" t="s">
        <v>1143</v>
      </c>
      <c r="H33" s="12" t="s">
        <v>1133</v>
      </c>
      <c r="I33" s="18" t="s">
        <v>1144</v>
      </c>
      <c r="J33" s="13" t="s">
        <v>1134</v>
      </c>
      <c r="K33" s="33"/>
      <c r="L33" s="33"/>
      <c r="M33" s="33"/>
      <c r="N33" s="13" t="s">
        <v>1145</v>
      </c>
      <c r="O33" s="13" t="s">
        <v>428</v>
      </c>
      <c r="P33" s="17">
        <f t="shared" si="2"/>
        <v>0</v>
      </c>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2"/>
    </row>
    <row r="34" spans="1:51" ht="18.75" customHeight="1">
      <c r="A34" s="4">
        <v>29</v>
      </c>
      <c r="B34" s="11" t="s">
        <v>88</v>
      </c>
      <c r="C34" s="12"/>
      <c r="D34" s="12" t="s">
        <v>1146</v>
      </c>
      <c r="E34" s="13"/>
      <c r="F34" s="14"/>
      <c r="G34" s="18" t="s">
        <v>1147</v>
      </c>
      <c r="H34" s="12" t="s">
        <v>1133</v>
      </c>
      <c r="I34" s="18" t="s">
        <v>1148</v>
      </c>
      <c r="J34" s="13" t="s">
        <v>1134</v>
      </c>
      <c r="K34" s="33"/>
      <c r="L34" s="33"/>
      <c r="M34" s="33"/>
      <c r="N34" s="13" t="s">
        <v>1149</v>
      </c>
      <c r="O34" s="13" t="s">
        <v>428</v>
      </c>
      <c r="P34" s="17">
        <f t="shared" si="2"/>
        <v>0</v>
      </c>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2"/>
    </row>
    <row r="35" spans="1:51" ht="18.75" customHeight="1">
      <c r="A35" s="4">
        <v>30</v>
      </c>
      <c r="B35" s="11" t="s">
        <v>88</v>
      </c>
      <c r="C35" s="12"/>
      <c r="D35" s="12" t="s">
        <v>1150</v>
      </c>
      <c r="E35" s="13"/>
      <c r="F35" s="14"/>
      <c r="G35" s="18" t="s">
        <v>1151</v>
      </c>
      <c r="H35" s="12" t="s">
        <v>1133</v>
      </c>
      <c r="I35" s="18" t="s">
        <v>1152</v>
      </c>
      <c r="J35" s="13" t="s">
        <v>1134</v>
      </c>
      <c r="K35" s="33"/>
      <c r="L35" s="33"/>
      <c r="M35" s="33"/>
      <c r="N35" s="13" t="s">
        <v>1153</v>
      </c>
      <c r="O35" s="13" t="s">
        <v>428</v>
      </c>
      <c r="P35" s="17">
        <f t="shared" si="2"/>
        <v>0</v>
      </c>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4"/>
    </row>
    <row r="36" spans="1:51" ht="18.75" customHeight="1">
      <c r="A36" s="4">
        <v>31</v>
      </c>
      <c r="B36" s="5" t="s">
        <v>88</v>
      </c>
      <c r="C36" s="6"/>
      <c r="D36" s="38" t="s">
        <v>1154</v>
      </c>
      <c r="E36" s="58"/>
      <c r="F36" s="38" t="s">
        <v>1155</v>
      </c>
      <c r="G36" s="60"/>
      <c r="H36" s="9"/>
      <c r="I36" s="7"/>
      <c r="J36" s="4"/>
      <c r="K36" s="31"/>
      <c r="L36" s="31"/>
      <c r="M36" s="31"/>
      <c r="N36" s="4"/>
      <c r="O36" s="4"/>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9"/>
    </row>
    <row r="37" spans="1:51" ht="18.75" customHeight="1">
      <c r="A37" s="4">
        <v>32</v>
      </c>
      <c r="B37" s="21" t="s">
        <v>88</v>
      </c>
      <c r="C37" s="3"/>
      <c r="D37" s="1"/>
      <c r="E37" s="2"/>
      <c r="F37" s="1"/>
      <c r="G37" s="26" t="s">
        <v>1072</v>
      </c>
      <c r="H37" s="1"/>
      <c r="I37" s="22"/>
      <c r="J37" s="2"/>
      <c r="K37" s="32"/>
      <c r="L37" s="32"/>
      <c r="M37" s="32"/>
      <c r="N37" s="2"/>
      <c r="O37" s="2"/>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1"/>
    </row>
    <row r="38" spans="1:51" ht="30.75" customHeight="1">
      <c r="A38" s="4">
        <v>33</v>
      </c>
      <c r="B38" s="11" t="s">
        <v>88</v>
      </c>
      <c r="C38" s="12"/>
      <c r="D38" s="12" t="s">
        <v>1156</v>
      </c>
      <c r="E38" s="13"/>
      <c r="F38" s="14"/>
      <c r="G38" s="18" t="s">
        <v>1157</v>
      </c>
      <c r="H38" s="12" t="s">
        <v>1158</v>
      </c>
      <c r="I38" s="18" t="s">
        <v>1157</v>
      </c>
      <c r="J38" s="13" t="s">
        <v>1159</v>
      </c>
      <c r="K38" s="33">
        <v>250</v>
      </c>
      <c r="L38" s="33">
        <v>250</v>
      </c>
      <c r="M38" s="33">
        <v>8</v>
      </c>
      <c r="N38" s="13" t="s">
        <v>1160</v>
      </c>
      <c r="O38" s="13" t="s">
        <v>428</v>
      </c>
      <c r="P38" s="17">
        <f t="shared" ref="P38:P55" si="3">SUM(Q38:AX38)</f>
        <v>0</v>
      </c>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2"/>
    </row>
    <row r="39" spans="1:51" ht="18.75" customHeight="1">
      <c r="A39" s="4">
        <v>34</v>
      </c>
      <c r="B39" s="11" t="s">
        <v>88</v>
      </c>
      <c r="C39" s="12"/>
      <c r="D39" s="12" t="s">
        <v>1161</v>
      </c>
      <c r="E39" s="13"/>
      <c r="F39" s="14"/>
      <c r="G39" s="18" t="s">
        <v>1162</v>
      </c>
      <c r="H39" s="12" t="s">
        <v>1158</v>
      </c>
      <c r="I39" s="18" t="s">
        <v>1162</v>
      </c>
      <c r="J39" s="13" t="s">
        <v>1159</v>
      </c>
      <c r="K39" s="33">
        <v>250</v>
      </c>
      <c r="L39" s="33">
        <v>250</v>
      </c>
      <c r="M39" s="33">
        <v>8</v>
      </c>
      <c r="N39" s="13" t="s">
        <v>1163</v>
      </c>
      <c r="O39" s="13" t="s">
        <v>428</v>
      </c>
      <c r="P39" s="17">
        <f t="shared" si="3"/>
        <v>0</v>
      </c>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2"/>
    </row>
    <row r="40" spans="1:51" ht="66.75" customHeight="1">
      <c r="A40" s="4">
        <v>35</v>
      </c>
      <c r="B40" s="11" t="s">
        <v>88</v>
      </c>
      <c r="C40" s="12"/>
      <c r="D40" s="12" t="s">
        <v>1164</v>
      </c>
      <c r="E40" s="13"/>
      <c r="F40" s="14"/>
      <c r="G40" s="18" t="s">
        <v>1165</v>
      </c>
      <c r="H40" s="12" t="s">
        <v>1166</v>
      </c>
      <c r="I40" s="18" t="s">
        <v>1167</v>
      </c>
      <c r="J40" s="13" t="s">
        <v>1159</v>
      </c>
      <c r="K40" s="33">
        <v>150</v>
      </c>
      <c r="L40" s="33">
        <v>70</v>
      </c>
      <c r="M40" s="33">
        <v>5</v>
      </c>
      <c r="N40" s="13" t="s">
        <v>1168</v>
      </c>
      <c r="O40" s="13" t="s">
        <v>428</v>
      </c>
      <c r="P40" s="17">
        <f t="shared" si="3"/>
        <v>0</v>
      </c>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2"/>
    </row>
    <row r="41" spans="1:51" ht="30.75" customHeight="1">
      <c r="A41" s="4">
        <v>36</v>
      </c>
      <c r="B41" s="11" t="s">
        <v>88</v>
      </c>
      <c r="C41" s="12"/>
      <c r="D41" s="12" t="s">
        <v>1169</v>
      </c>
      <c r="E41" s="13"/>
      <c r="F41" s="14"/>
      <c r="G41" s="18" t="s">
        <v>1170</v>
      </c>
      <c r="H41" s="12" t="s">
        <v>1171</v>
      </c>
      <c r="I41" s="18" t="s">
        <v>1170</v>
      </c>
      <c r="J41" s="13" t="s">
        <v>1159</v>
      </c>
      <c r="K41" s="33">
        <v>100</v>
      </c>
      <c r="L41" s="33">
        <v>100</v>
      </c>
      <c r="M41" s="33">
        <v>5</v>
      </c>
      <c r="N41" s="13" t="s">
        <v>1172</v>
      </c>
      <c r="O41" s="13" t="s">
        <v>428</v>
      </c>
      <c r="P41" s="17">
        <f t="shared" si="3"/>
        <v>0</v>
      </c>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2"/>
    </row>
    <row r="42" spans="1:51" ht="18.75" customHeight="1">
      <c r="A42" s="4">
        <v>37</v>
      </c>
      <c r="B42" s="11" t="s">
        <v>88</v>
      </c>
      <c r="C42" s="12"/>
      <c r="D42" s="12" t="s">
        <v>1173</v>
      </c>
      <c r="E42" s="13"/>
      <c r="F42" s="14"/>
      <c r="G42" s="18" t="s">
        <v>1174</v>
      </c>
      <c r="H42" s="12" t="s">
        <v>1175</v>
      </c>
      <c r="I42" s="18" t="s">
        <v>1174</v>
      </c>
      <c r="J42" s="13" t="s">
        <v>1159</v>
      </c>
      <c r="K42" s="33">
        <v>125</v>
      </c>
      <c r="L42" s="33">
        <v>2000</v>
      </c>
      <c r="M42" s="33">
        <v>6</v>
      </c>
      <c r="N42" s="13" t="s">
        <v>1176</v>
      </c>
      <c r="O42" s="13" t="s">
        <v>428</v>
      </c>
      <c r="P42" s="17">
        <f t="shared" si="3"/>
        <v>0</v>
      </c>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2"/>
    </row>
    <row r="43" spans="1:51" ht="30.75" customHeight="1">
      <c r="A43" s="4">
        <v>38</v>
      </c>
      <c r="B43" s="11" t="s">
        <v>88</v>
      </c>
      <c r="C43" s="12"/>
      <c r="D43" s="12" t="s">
        <v>1177</v>
      </c>
      <c r="E43" s="13"/>
      <c r="F43" s="14"/>
      <c r="G43" s="18" t="s">
        <v>1178</v>
      </c>
      <c r="H43" s="12" t="s">
        <v>1179</v>
      </c>
      <c r="I43" s="18" t="s">
        <v>1178</v>
      </c>
      <c r="J43" s="13" t="s">
        <v>1159</v>
      </c>
      <c r="K43" s="33">
        <v>130</v>
      </c>
      <c r="L43" s="33">
        <v>80</v>
      </c>
      <c r="M43" s="33">
        <v>5</v>
      </c>
      <c r="N43" s="13" t="s">
        <v>1180</v>
      </c>
      <c r="O43" s="13" t="s">
        <v>428</v>
      </c>
      <c r="P43" s="17">
        <f t="shared" si="3"/>
        <v>0</v>
      </c>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2"/>
    </row>
    <row r="44" spans="1:51" ht="30.75" customHeight="1">
      <c r="A44" s="4">
        <v>39</v>
      </c>
      <c r="B44" s="11" t="s">
        <v>88</v>
      </c>
      <c r="C44" s="12"/>
      <c r="D44" s="12" t="s">
        <v>1181</v>
      </c>
      <c r="E44" s="13"/>
      <c r="F44" s="14"/>
      <c r="G44" s="18" t="s">
        <v>1182</v>
      </c>
      <c r="H44" s="12" t="s">
        <v>1183</v>
      </c>
      <c r="I44" s="18" t="s">
        <v>1182</v>
      </c>
      <c r="J44" s="13" t="s">
        <v>1159</v>
      </c>
      <c r="K44" s="33">
        <v>85</v>
      </c>
      <c r="L44" s="33">
        <v>50</v>
      </c>
      <c r="M44" s="33">
        <v>3</v>
      </c>
      <c r="N44" s="13" t="s">
        <v>1184</v>
      </c>
      <c r="O44" s="13" t="s">
        <v>428</v>
      </c>
      <c r="P44" s="17">
        <f t="shared" si="3"/>
        <v>0</v>
      </c>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2"/>
    </row>
    <row r="45" spans="1:51" ht="30.75" customHeight="1">
      <c r="A45" s="4">
        <v>40</v>
      </c>
      <c r="B45" s="11" t="s">
        <v>88</v>
      </c>
      <c r="C45" s="12"/>
      <c r="D45" s="12" t="s">
        <v>1185</v>
      </c>
      <c r="E45" s="13"/>
      <c r="F45" s="14"/>
      <c r="G45" s="18" t="s">
        <v>1157</v>
      </c>
      <c r="H45" s="12" t="s">
        <v>1186</v>
      </c>
      <c r="I45" s="18" t="s">
        <v>1157</v>
      </c>
      <c r="J45" s="13" t="s">
        <v>1159</v>
      </c>
      <c r="K45" s="33">
        <v>400</v>
      </c>
      <c r="L45" s="33">
        <v>210</v>
      </c>
      <c r="M45" s="33">
        <v>6</v>
      </c>
      <c r="N45" s="13" t="s">
        <v>1187</v>
      </c>
      <c r="O45" s="13" t="s">
        <v>428</v>
      </c>
      <c r="P45" s="17">
        <f t="shared" si="3"/>
        <v>0</v>
      </c>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2"/>
    </row>
    <row r="46" spans="1:51" ht="30.75" customHeight="1">
      <c r="A46" s="4">
        <v>41</v>
      </c>
      <c r="B46" s="11" t="s">
        <v>88</v>
      </c>
      <c r="C46" s="12"/>
      <c r="D46" s="12" t="s">
        <v>1188</v>
      </c>
      <c r="E46" s="13"/>
      <c r="F46" s="14"/>
      <c r="G46" s="18" t="s">
        <v>1157</v>
      </c>
      <c r="H46" s="12" t="s">
        <v>1158</v>
      </c>
      <c r="I46" s="18" t="s">
        <v>1189</v>
      </c>
      <c r="J46" s="13" t="s">
        <v>1159</v>
      </c>
      <c r="K46" s="33">
        <v>250</v>
      </c>
      <c r="L46" s="33">
        <v>250</v>
      </c>
      <c r="M46" s="33">
        <v>8</v>
      </c>
      <c r="N46" s="13" t="s">
        <v>1190</v>
      </c>
      <c r="O46" s="13" t="s">
        <v>428</v>
      </c>
      <c r="P46" s="17">
        <f t="shared" si="3"/>
        <v>1000</v>
      </c>
      <c r="Q46" s="17"/>
      <c r="R46" s="17"/>
      <c r="S46" s="17"/>
      <c r="T46" s="17"/>
      <c r="U46" s="17"/>
      <c r="V46" s="17"/>
      <c r="W46" s="17"/>
      <c r="X46" s="17"/>
      <c r="Y46" s="17"/>
      <c r="Z46" s="17"/>
      <c r="AA46" s="17"/>
      <c r="AB46" s="17"/>
      <c r="AC46" s="17"/>
      <c r="AD46" s="17">
        <v>500</v>
      </c>
      <c r="AE46" s="17">
        <v>500</v>
      </c>
      <c r="AF46" s="17"/>
      <c r="AG46" s="17"/>
      <c r="AH46" s="17"/>
      <c r="AI46" s="17"/>
      <c r="AJ46" s="17"/>
      <c r="AK46" s="17"/>
      <c r="AL46" s="17"/>
      <c r="AM46" s="17"/>
      <c r="AN46" s="17"/>
      <c r="AO46" s="17"/>
      <c r="AP46" s="17"/>
      <c r="AQ46" s="17"/>
      <c r="AR46" s="17"/>
      <c r="AS46" s="17"/>
      <c r="AT46" s="17"/>
      <c r="AU46" s="17"/>
      <c r="AV46" s="17"/>
      <c r="AW46" s="17"/>
      <c r="AX46" s="17"/>
      <c r="AY46" s="12"/>
    </row>
    <row r="47" spans="1:51" ht="30.75" customHeight="1">
      <c r="A47" s="4">
        <v>42</v>
      </c>
      <c r="B47" s="11" t="s">
        <v>88</v>
      </c>
      <c r="C47" s="12"/>
      <c r="D47" s="12" t="s">
        <v>1191</v>
      </c>
      <c r="E47" s="13"/>
      <c r="F47" s="14"/>
      <c r="G47" s="18" t="s">
        <v>1170</v>
      </c>
      <c r="H47" s="12" t="s">
        <v>1171</v>
      </c>
      <c r="I47" s="18" t="s">
        <v>1192</v>
      </c>
      <c r="J47" s="13" t="s">
        <v>1159</v>
      </c>
      <c r="K47" s="33">
        <v>100</v>
      </c>
      <c r="L47" s="33">
        <v>100</v>
      </c>
      <c r="M47" s="33">
        <v>5</v>
      </c>
      <c r="N47" s="13" t="s">
        <v>1193</v>
      </c>
      <c r="O47" s="13" t="s">
        <v>428</v>
      </c>
      <c r="P47" s="17">
        <f t="shared" si="3"/>
        <v>0</v>
      </c>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2"/>
    </row>
    <row r="48" spans="1:51" ht="30.75" customHeight="1">
      <c r="A48" s="4">
        <v>43</v>
      </c>
      <c r="B48" s="11" t="s">
        <v>88</v>
      </c>
      <c r="C48" s="12"/>
      <c r="D48" s="12" t="s">
        <v>1194</v>
      </c>
      <c r="E48" s="13"/>
      <c r="F48" s="14"/>
      <c r="G48" s="18" t="s">
        <v>1157</v>
      </c>
      <c r="H48" s="12" t="s">
        <v>1195</v>
      </c>
      <c r="I48" s="18" t="s">
        <v>1189</v>
      </c>
      <c r="J48" s="13" t="s">
        <v>1159</v>
      </c>
      <c r="K48" s="33">
        <v>350</v>
      </c>
      <c r="L48" s="33">
        <v>350</v>
      </c>
      <c r="M48" s="33">
        <v>10</v>
      </c>
      <c r="N48" s="13" t="s">
        <v>1196</v>
      </c>
      <c r="O48" s="13" t="s">
        <v>428</v>
      </c>
      <c r="P48" s="17">
        <f t="shared" si="3"/>
        <v>0</v>
      </c>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2"/>
    </row>
    <row r="49" spans="1:51" ht="30.75" customHeight="1">
      <c r="A49" s="4">
        <v>44</v>
      </c>
      <c r="B49" s="11" t="s">
        <v>88</v>
      </c>
      <c r="C49" s="12"/>
      <c r="D49" s="12" t="s">
        <v>1197</v>
      </c>
      <c r="E49" s="13"/>
      <c r="F49" s="14"/>
      <c r="G49" s="18" t="s">
        <v>1198</v>
      </c>
      <c r="H49" s="12" t="s">
        <v>1199</v>
      </c>
      <c r="I49" s="18" t="s">
        <v>1198</v>
      </c>
      <c r="J49" s="13" t="s">
        <v>1159</v>
      </c>
      <c r="K49" s="33">
        <v>250</v>
      </c>
      <c r="L49" s="33">
        <v>125</v>
      </c>
      <c r="M49" s="33">
        <v>8</v>
      </c>
      <c r="N49" s="13" t="s">
        <v>1200</v>
      </c>
      <c r="O49" s="13" t="s">
        <v>428</v>
      </c>
      <c r="P49" s="17">
        <f t="shared" si="3"/>
        <v>0</v>
      </c>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2"/>
    </row>
    <row r="50" spans="1:51" ht="30.75" customHeight="1">
      <c r="A50" s="4">
        <v>45</v>
      </c>
      <c r="B50" s="11" t="s">
        <v>88</v>
      </c>
      <c r="C50" s="12"/>
      <c r="D50" s="12" t="s">
        <v>1201</v>
      </c>
      <c r="E50" s="13"/>
      <c r="F50" s="14"/>
      <c r="G50" s="18" t="s">
        <v>1198</v>
      </c>
      <c r="H50" s="12" t="s">
        <v>1202</v>
      </c>
      <c r="I50" s="18" t="s">
        <v>1198</v>
      </c>
      <c r="J50" s="13" t="s">
        <v>1159</v>
      </c>
      <c r="K50" s="33">
        <v>250</v>
      </c>
      <c r="L50" s="33">
        <v>70</v>
      </c>
      <c r="M50" s="33">
        <v>8</v>
      </c>
      <c r="N50" s="13" t="s">
        <v>1203</v>
      </c>
      <c r="O50" s="13" t="s">
        <v>428</v>
      </c>
      <c r="P50" s="17">
        <f t="shared" si="3"/>
        <v>0</v>
      </c>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2"/>
    </row>
    <row r="51" spans="1:51" ht="30.75" customHeight="1">
      <c r="A51" s="4">
        <v>46</v>
      </c>
      <c r="B51" s="11" t="s">
        <v>88</v>
      </c>
      <c r="C51" s="12"/>
      <c r="D51" s="12" t="s">
        <v>1204</v>
      </c>
      <c r="E51" s="13"/>
      <c r="F51" s="14"/>
      <c r="G51" s="18" t="s">
        <v>1198</v>
      </c>
      <c r="H51" s="12" t="s">
        <v>1205</v>
      </c>
      <c r="I51" s="18" t="s">
        <v>1198</v>
      </c>
      <c r="J51" s="13" t="s">
        <v>1159</v>
      </c>
      <c r="K51" s="33">
        <v>200</v>
      </c>
      <c r="L51" s="33">
        <v>70</v>
      </c>
      <c r="M51" s="33">
        <v>8</v>
      </c>
      <c r="N51" s="13" t="s">
        <v>1206</v>
      </c>
      <c r="O51" s="13" t="s">
        <v>428</v>
      </c>
      <c r="P51" s="17">
        <f t="shared" si="3"/>
        <v>0</v>
      </c>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2"/>
    </row>
    <row r="52" spans="1:51" ht="18.75" customHeight="1">
      <c r="A52" s="4">
        <v>47</v>
      </c>
      <c r="B52" s="11" t="s">
        <v>88</v>
      </c>
      <c r="C52" s="12"/>
      <c r="D52" s="12" t="s">
        <v>1207</v>
      </c>
      <c r="E52" s="13"/>
      <c r="F52" s="14"/>
      <c r="G52" s="18" t="s">
        <v>1208</v>
      </c>
      <c r="H52" s="12" t="s">
        <v>1209</v>
      </c>
      <c r="I52" s="18" t="s">
        <v>1208</v>
      </c>
      <c r="J52" s="13" t="s">
        <v>1159</v>
      </c>
      <c r="K52" s="33">
        <v>350</v>
      </c>
      <c r="L52" s="33">
        <v>125</v>
      </c>
      <c r="M52" s="33">
        <v>6</v>
      </c>
      <c r="N52" s="13" t="s">
        <v>1210</v>
      </c>
      <c r="O52" s="13" t="s">
        <v>428</v>
      </c>
      <c r="P52" s="17">
        <f t="shared" si="3"/>
        <v>0</v>
      </c>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2"/>
    </row>
    <row r="53" spans="1:51" ht="30.75" customHeight="1">
      <c r="A53" s="4">
        <v>48</v>
      </c>
      <c r="B53" s="11" t="s">
        <v>88</v>
      </c>
      <c r="C53" s="12"/>
      <c r="D53" s="12" t="s">
        <v>1211</v>
      </c>
      <c r="E53" s="13"/>
      <c r="F53" s="14"/>
      <c r="G53" s="18" t="s">
        <v>1212</v>
      </c>
      <c r="H53" s="12" t="s">
        <v>1213</v>
      </c>
      <c r="I53" s="18" t="s">
        <v>1214</v>
      </c>
      <c r="J53" s="13" t="s">
        <v>1159</v>
      </c>
      <c r="K53" s="33">
        <v>100</v>
      </c>
      <c r="L53" s="33">
        <v>50</v>
      </c>
      <c r="M53" s="33">
        <v>6</v>
      </c>
      <c r="N53" s="13" t="s">
        <v>1215</v>
      </c>
      <c r="O53" s="13" t="s">
        <v>428</v>
      </c>
      <c r="P53" s="17">
        <f t="shared" si="3"/>
        <v>0</v>
      </c>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4"/>
    </row>
    <row r="54" spans="1:51" ht="30.75" customHeight="1">
      <c r="A54" s="4">
        <v>49</v>
      </c>
      <c r="B54" s="11" t="s">
        <v>88</v>
      </c>
      <c r="C54" s="12"/>
      <c r="D54" s="12" t="s">
        <v>1216</v>
      </c>
      <c r="E54" s="13"/>
      <c r="F54" s="14"/>
      <c r="G54" s="18" t="s">
        <v>1174</v>
      </c>
      <c r="H54" s="12" t="s">
        <v>1175</v>
      </c>
      <c r="I54" s="18" t="s">
        <v>1217</v>
      </c>
      <c r="J54" s="13" t="s">
        <v>1159</v>
      </c>
      <c r="K54" s="33">
        <v>125</v>
      </c>
      <c r="L54" s="33">
        <v>2000</v>
      </c>
      <c r="M54" s="33">
        <v>6</v>
      </c>
      <c r="N54" s="13" t="s">
        <v>1218</v>
      </c>
      <c r="O54" s="13" t="s">
        <v>428</v>
      </c>
      <c r="P54" s="17">
        <f t="shared" si="3"/>
        <v>0</v>
      </c>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4"/>
    </row>
    <row r="55" spans="1:51" ht="30.75" customHeight="1">
      <c r="A55" s="4">
        <v>50</v>
      </c>
      <c r="B55" s="11" t="s">
        <v>88</v>
      </c>
      <c r="C55" s="12"/>
      <c r="D55" s="12" t="s">
        <v>1219</v>
      </c>
      <c r="E55" s="13"/>
      <c r="F55" s="14"/>
      <c r="G55" s="18" t="s">
        <v>1198</v>
      </c>
      <c r="H55" s="12" t="s">
        <v>1199</v>
      </c>
      <c r="I55" s="18" t="s">
        <v>1220</v>
      </c>
      <c r="J55" s="13" t="s">
        <v>1159</v>
      </c>
      <c r="K55" s="33">
        <v>250</v>
      </c>
      <c r="L55" s="33">
        <v>125</v>
      </c>
      <c r="M55" s="33">
        <v>8</v>
      </c>
      <c r="N55" s="13" t="s">
        <v>1221</v>
      </c>
      <c r="O55" s="13" t="s">
        <v>428</v>
      </c>
      <c r="P55" s="17">
        <f t="shared" si="3"/>
        <v>0</v>
      </c>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4"/>
    </row>
    <row r="56" spans="1:51" ht="18.75" customHeight="1">
      <c r="A56" s="4">
        <v>51</v>
      </c>
      <c r="B56" s="5" t="s">
        <v>88</v>
      </c>
      <c r="C56" s="6"/>
      <c r="D56" s="38" t="s">
        <v>1222</v>
      </c>
      <c r="E56" s="58"/>
      <c r="F56" s="38" t="s">
        <v>1223</v>
      </c>
      <c r="G56" s="60"/>
      <c r="H56" s="9"/>
      <c r="I56" s="7"/>
      <c r="J56" s="4"/>
      <c r="K56" s="31"/>
      <c r="L56" s="31"/>
      <c r="M56" s="31"/>
      <c r="N56" s="4"/>
      <c r="O56" s="4"/>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9"/>
    </row>
    <row r="57" spans="1:51" ht="30.75" customHeight="1">
      <c r="A57" s="4">
        <v>52</v>
      </c>
      <c r="B57" s="11" t="s">
        <v>88</v>
      </c>
      <c r="C57" s="12"/>
      <c r="D57" s="12" t="s">
        <v>1224</v>
      </c>
      <c r="E57" s="13"/>
      <c r="F57" s="14"/>
      <c r="G57" s="18" t="s">
        <v>1225</v>
      </c>
      <c r="H57" s="12" t="s">
        <v>1226</v>
      </c>
      <c r="I57" s="18" t="s">
        <v>1227</v>
      </c>
      <c r="J57" s="13" t="s">
        <v>1228</v>
      </c>
      <c r="K57" s="33"/>
      <c r="L57" s="33"/>
      <c r="M57" s="33"/>
      <c r="N57" s="13" t="s">
        <v>1229</v>
      </c>
      <c r="O57" s="13" t="s">
        <v>428</v>
      </c>
      <c r="P57" s="17">
        <f>SUM(Q57:AX57)</f>
        <v>0</v>
      </c>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2"/>
    </row>
    <row r="58" spans="1:51" ht="30.75" customHeight="1">
      <c r="A58" s="4">
        <v>53</v>
      </c>
      <c r="B58" s="11" t="s">
        <v>88</v>
      </c>
      <c r="C58" s="12"/>
      <c r="D58" s="12" t="s">
        <v>1230</v>
      </c>
      <c r="E58" s="13"/>
      <c r="F58" s="14"/>
      <c r="G58" s="18" t="s">
        <v>1231</v>
      </c>
      <c r="H58" s="12" t="s">
        <v>1226</v>
      </c>
      <c r="I58" s="18" t="s">
        <v>1232</v>
      </c>
      <c r="J58" s="13" t="s">
        <v>1228</v>
      </c>
      <c r="K58" s="33"/>
      <c r="L58" s="33"/>
      <c r="M58" s="33"/>
      <c r="N58" s="13" t="s">
        <v>1233</v>
      </c>
      <c r="O58" s="13" t="s">
        <v>428</v>
      </c>
      <c r="P58" s="17">
        <f>SUM(Q58:AX58)</f>
        <v>0</v>
      </c>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2"/>
    </row>
    <row r="59" spans="1:51" ht="30.75" customHeight="1">
      <c r="A59" s="4">
        <v>54</v>
      </c>
      <c r="B59" s="11" t="s">
        <v>88</v>
      </c>
      <c r="C59" s="12"/>
      <c r="D59" s="12" t="s">
        <v>1234</v>
      </c>
      <c r="E59" s="13"/>
      <c r="F59" s="14"/>
      <c r="G59" s="18" t="s">
        <v>1235</v>
      </c>
      <c r="H59" s="12" t="s">
        <v>1226</v>
      </c>
      <c r="I59" s="18" t="s">
        <v>1236</v>
      </c>
      <c r="J59" s="13" t="s">
        <v>1228</v>
      </c>
      <c r="K59" s="33"/>
      <c r="L59" s="33"/>
      <c r="M59" s="33"/>
      <c r="N59" s="13" t="s">
        <v>1237</v>
      </c>
      <c r="O59" s="13" t="s">
        <v>428</v>
      </c>
      <c r="P59" s="17">
        <f>SUM(Q59:AX59)</f>
        <v>0</v>
      </c>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2"/>
    </row>
    <row r="60" spans="1:51" ht="18.75" customHeight="1">
      <c r="A60" s="4">
        <v>55</v>
      </c>
      <c r="B60" s="5" t="s">
        <v>88</v>
      </c>
      <c r="C60" s="6"/>
      <c r="D60" s="38" t="s">
        <v>1238</v>
      </c>
      <c r="E60" s="58"/>
      <c r="F60" s="38" t="s">
        <v>1239</v>
      </c>
      <c r="G60" s="60"/>
      <c r="H60" s="9"/>
      <c r="I60" s="7"/>
      <c r="J60" s="4"/>
      <c r="K60" s="31"/>
      <c r="L60" s="31"/>
      <c r="M60" s="31"/>
      <c r="N60" s="4"/>
      <c r="O60" s="4"/>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9"/>
    </row>
    <row r="61" spans="1:51" ht="30.75" customHeight="1">
      <c r="A61" s="4">
        <v>56</v>
      </c>
      <c r="B61" s="21" t="s">
        <v>88</v>
      </c>
      <c r="C61" s="3"/>
      <c r="D61" s="1"/>
      <c r="E61" s="2"/>
      <c r="F61" s="1"/>
      <c r="G61" s="26" t="s">
        <v>1240</v>
      </c>
      <c r="H61" s="1"/>
      <c r="I61" s="22"/>
      <c r="J61" s="2"/>
      <c r="K61" s="32"/>
      <c r="L61" s="32"/>
      <c r="M61" s="32"/>
      <c r="N61" s="2"/>
      <c r="O61" s="2"/>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1"/>
    </row>
    <row r="62" spans="1:51" ht="30.75" customHeight="1">
      <c r="A62" s="4">
        <v>57</v>
      </c>
      <c r="B62" s="11" t="s">
        <v>88</v>
      </c>
      <c r="C62" s="12"/>
      <c r="D62" s="12" t="s">
        <v>1241</v>
      </c>
      <c r="E62" s="13"/>
      <c r="F62" s="14"/>
      <c r="G62" s="18" t="s">
        <v>1242</v>
      </c>
      <c r="H62" s="12" t="s">
        <v>1226</v>
      </c>
      <c r="I62" s="18" t="s">
        <v>1242</v>
      </c>
      <c r="J62" s="13" t="s">
        <v>1243</v>
      </c>
      <c r="K62" s="33"/>
      <c r="L62" s="33"/>
      <c r="M62" s="33"/>
      <c r="N62" s="13" t="s">
        <v>1244</v>
      </c>
      <c r="O62" s="13" t="s">
        <v>428</v>
      </c>
      <c r="P62" s="17">
        <f>SUM(Q62:AX62)</f>
        <v>0</v>
      </c>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2"/>
    </row>
    <row r="63" spans="1:51" ht="30.75" customHeight="1">
      <c r="A63" s="4">
        <v>58</v>
      </c>
      <c r="B63" s="11" t="s">
        <v>88</v>
      </c>
      <c r="C63" s="12"/>
      <c r="D63" s="12" t="s">
        <v>1245</v>
      </c>
      <c r="E63" s="13"/>
      <c r="F63" s="14"/>
      <c r="G63" s="18" t="s">
        <v>1246</v>
      </c>
      <c r="H63" s="12" t="s">
        <v>1226</v>
      </c>
      <c r="I63" s="18" t="s">
        <v>1246</v>
      </c>
      <c r="J63" s="13" t="s">
        <v>1243</v>
      </c>
      <c r="K63" s="33"/>
      <c r="L63" s="33"/>
      <c r="M63" s="33"/>
      <c r="N63" s="13" t="s">
        <v>1247</v>
      </c>
      <c r="O63" s="13" t="s">
        <v>428</v>
      </c>
      <c r="P63" s="17">
        <f>SUM(Q63:AX63)</f>
        <v>0</v>
      </c>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2"/>
    </row>
    <row r="64" spans="1:51" ht="42.75" customHeight="1">
      <c r="A64" s="4">
        <v>59</v>
      </c>
      <c r="B64" s="11" t="s">
        <v>88</v>
      </c>
      <c r="C64" s="12"/>
      <c r="D64" s="12" t="s">
        <v>1248</v>
      </c>
      <c r="E64" s="13"/>
      <c r="F64" s="14"/>
      <c r="G64" s="18" t="s">
        <v>1249</v>
      </c>
      <c r="H64" s="12" t="s">
        <v>1226</v>
      </c>
      <c r="I64" s="18" t="s">
        <v>1249</v>
      </c>
      <c r="J64" s="13" t="s">
        <v>1243</v>
      </c>
      <c r="K64" s="33"/>
      <c r="L64" s="33"/>
      <c r="M64" s="33"/>
      <c r="N64" s="13" t="s">
        <v>1250</v>
      </c>
      <c r="O64" s="13" t="s">
        <v>428</v>
      </c>
      <c r="P64" s="17">
        <f>SUM(Q64:AX64)</f>
        <v>0</v>
      </c>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2"/>
    </row>
    <row r="65" spans="1:51" ht="18.75" customHeight="1">
      <c r="A65" s="4">
        <v>60</v>
      </c>
      <c r="B65" s="11" t="s">
        <v>88</v>
      </c>
      <c r="C65" s="12"/>
      <c r="D65" s="12" t="s">
        <v>1251</v>
      </c>
      <c r="E65" s="13"/>
      <c r="F65" s="14"/>
      <c r="G65" s="18" t="s">
        <v>1252</v>
      </c>
      <c r="H65" s="12" t="s">
        <v>1226</v>
      </c>
      <c r="I65" s="18" t="s">
        <v>1252</v>
      </c>
      <c r="J65" s="13" t="s">
        <v>1243</v>
      </c>
      <c r="K65" s="33"/>
      <c r="L65" s="33"/>
      <c r="M65" s="33"/>
      <c r="N65" s="13" t="s">
        <v>1253</v>
      </c>
      <c r="O65" s="13" t="s">
        <v>428</v>
      </c>
      <c r="P65" s="17">
        <f>SUM(Q65:AX65)</f>
        <v>0</v>
      </c>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2"/>
    </row>
    <row r="66" spans="1:51" ht="18.75" customHeight="1">
      <c r="A66" s="4">
        <v>61</v>
      </c>
      <c r="B66" s="5" t="s">
        <v>88</v>
      </c>
      <c r="C66" s="6"/>
      <c r="D66" s="38" t="s">
        <v>1254</v>
      </c>
      <c r="E66" s="58"/>
      <c r="F66" s="38" t="s">
        <v>1255</v>
      </c>
      <c r="G66" s="60"/>
      <c r="H66" s="9"/>
      <c r="I66" s="7"/>
      <c r="J66" s="4"/>
      <c r="K66" s="31"/>
      <c r="L66" s="31"/>
      <c r="M66" s="31"/>
      <c r="N66" s="4"/>
      <c r="O66" s="4"/>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9"/>
    </row>
    <row r="67" spans="1:51" ht="18.75" customHeight="1">
      <c r="A67" s="4">
        <v>62</v>
      </c>
      <c r="B67" s="21" t="s">
        <v>88</v>
      </c>
      <c r="C67" s="3"/>
      <c r="D67" s="1"/>
      <c r="E67" s="2"/>
      <c r="F67" s="1"/>
      <c r="G67" s="26" t="s">
        <v>1256</v>
      </c>
      <c r="H67" s="1"/>
      <c r="I67" s="22"/>
      <c r="J67" s="2"/>
      <c r="K67" s="32"/>
      <c r="L67" s="32"/>
      <c r="M67" s="32"/>
      <c r="N67" s="2"/>
      <c r="O67" s="2"/>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1"/>
    </row>
    <row r="68" spans="1:51" ht="18.75" customHeight="1">
      <c r="A68" s="4">
        <v>63</v>
      </c>
      <c r="B68" s="11" t="s">
        <v>88</v>
      </c>
      <c r="C68" s="12"/>
      <c r="D68" s="12" t="s">
        <v>1257</v>
      </c>
      <c r="E68" s="13"/>
      <c r="F68" s="14"/>
      <c r="G68" s="18" t="s">
        <v>1258</v>
      </c>
      <c r="H68" s="12" t="s">
        <v>1226</v>
      </c>
      <c r="I68" s="18" t="s">
        <v>1258</v>
      </c>
      <c r="J68" s="13" t="s">
        <v>1259</v>
      </c>
      <c r="K68" s="33"/>
      <c r="L68" s="33"/>
      <c r="M68" s="33"/>
      <c r="N68" s="13" t="s">
        <v>1260</v>
      </c>
      <c r="O68" s="13" t="s">
        <v>428</v>
      </c>
      <c r="P68" s="17">
        <f>SUM(Q68:AX68)</f>
        <v>0</v>
      </c>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2"/>
    </row>
    <row r="69" spans="1:51" ht="30.75" customHeight="1">
      <c r="A69" s="4">
        <v>64</v>
      </c>
      <c r="B69" s="11" t="s">
        <v>88</v>
      </c>
      <c r="C69" s="12"/>
      <c r="D69" s="12" t="s">
        <v>1261</v>
      </c>
      <c r="E69" s="13"/>
      <c r="F69" s="14"/>
      <c r="G69" s="18" t="s">
        <v>1258</v>
      </c>
      <c r="H69" s="12" t="s">
        <v>1226</v>
      </c>
      <c r="I69" s="18" t="s">
        <v>1262</v>
      </c>
      <c r="J69" s="13" t="s">
        <v>1259</v>
      </c>
      <c r="K69" s="33"/>
      <c r="L69" s="33"/>
      <c r="M69" s="33"/>
      <c r="N69" s="13" t="s">
        <v>1263</v>
      </c>
      <c r="O69" s="13" t="s">
        <v>428</v>
      </c>
      <c r="P69" s="17">
        <f>SUM(Q69:AX69)</f>
        <v>0</v>
      </c>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2"/>
    </row>
    <row r="70" spans="1:51" ht="18.75" customHeight="1">
      <c r="A70" s="4">
        <v>65</v>
      </c>
      <c r="B70" s="5" t="s">
        <v>88</v>
      </c>
      <c r="C70" s="6"/>
      <c r="D70" s="38" t="s">
        <v>1264</v>
      </c>
      <c r="E70" s="58"/>
      <c r="F70" s="38" t="s">
        <v>1265</v>
      </c>
      <c r="G70" s="60"/>
      <c r="H70" s="9"/>
      <c r="I70" s="7"/>
      <c r="J70" s="4"/>
      <c r="K70" s="31"/>
      <c r="L70" s="31"/>
      <c r="M70" s="31"/>
      <c r="N70" s="4"/>
      <c r="O70" s="4"/>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9"/>
    </row>
    <row r="71" spans="1:51" ht="18.75" customHeight="1">
      <c r="A71" s="4">
        <v>66</v>
      </c>
      <c r="B71" s="11" t="s">
        <v>88</v>
      </c>
      <c r="C71" s="12"/>
      <c r="D71" s="12" t="s">
        <v>1266</v>
      </c>
      <c r="E71" s="13"/>
      <c r="F71" s="14"/>
      <c r="G71" s="18" t="s">
        <v>1256</v>
      </c>
      <c r="H71" s="12" t="s">
        <v>1226</v>
      </c>
      <c r="I71" s="18" t="s">
        <v>1256</v>
      </c>
      <c r="J71" s="13" t="s">
        <v>1259</v>
      </c>
      <c r="K71" s="33"/>
      <c r="L71" s="33"/>
      <c r="M71" s="33"/>
      <c r="N71" s="13" t="s">
        <v>1267</v>
      </c>
      <c r="O71" s="13" t="s">
        <v>428</v>
      </c>
      <c r="P71" s="17">
        <f>SUM(Q71:AX71)</f>
        <v>0</v>
      </c>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2"/>
    </row>
    <row r="72" spans="1:51" ht="18.75" customHeight="1">
      <c r="A72" s="4">
        <v>67</v>
      </c>
      <c r="B72" s="11" t="s">
        <v>88</v>
      </c>
      <c r="C72" s="12"/>
      <c r="D72" s="12" t="s">
        <v>1268</v>
      </c>
      <c r="E72" s="13"/>
      <c r="F72" s="14"/>
      <c r="G72" s="18" t="s">
        <v>1256</v>
      </c>
      <c r="H72" s="12" t="s">
        <v>1226</v>
      </c>
      <c r="I72" s="18" t="s">
        <v>1269</v>
      </c>
      <c r="J72" s="13" t="s">
        <v>1259</v>
      </c>
      <c r="K72" s="33"/>
      <c r="L72" s="33"/>
      <c r="M72" s="33"/>
      <c r="N72" s="13" t="s">
        <v>1270</v>
      </c>
      <c r="O72" s="13" t="s">
        <v>428</v>
      </c>
      <c r="P72" s="17">
        <f>SUM(Q72:AX72)</f>
        <v>0</v>
      </c>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4"/>
    </row>
    <row r="73" spans="1:51" ht="18.75" customHeight="1">
      <c r="A73" s="4">
        <v>68</v>
      </c>
      <c r="B73" s="5" t="s">
        <v>88</v>
      </c>
      <c r="C73" s="6"/>
      <c r="D73" s="38" t="s">
        <v>1271</v>
      </c>
      <c r="E73" s="58"/>
      <c r="F73" s="38" t="s">
        <v>1272</v>
      </c>
      <c r="G73" s="60"/>
      <c r="H73" s="9"/>
      <c r="I73" s="7"/>
      <c r="J73" s="4"/>
      <c r="K73" s="31"/>
      <c r="L73" s="31"/>
      <c r="M73" s="31"/>
      <c r="N73" s="4"/>
      <c r="O73" s="4"/>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9"/>
    </row>
    <row r="74" spans="1:51" ht="18.75" customHeight="1">
      <c r="A74" s="4">
        <v>69</v>
      </c>
      <c r="B74" s="11" t="s">
        <v>88</v>
      </c>
      <c r="C74" s="12"/>
      <c r="D74" s="12" t="s">
        <v>1273</v>
      </c>
      <c r="E74" s="13"/>
      <c r="F74" s="14"/>
      <c r="G74" s="18" t="s">
        <v>1274</v>
      </c>
      <c r="H74" s="12" t="s">
        <v>1226</v>
      </c>
      <c r="I74" s="18" t="s">
        <v>1274</v>
      </c>
      <c r="J74" s="13" t="s">
        <v>1275</v>
      </c>
      <c r="K74" s="33"/>
      <c r="L74" s="33"/>
      <c r="M74" s="33"/>
      <c r="N74" s="13" t="s">
        <v>1276</v>
      </c>
      <c r="O74" s="13" t="s">
        <v>1277</v>
      </c>
      <c r="P74" s="17">
        <f>SUM(Q74:AX74)</f>
        <v>0</v>
      </c>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2"/>
    </row>
    <row r="75" spans="1:51" ht="18.75" customHeight="1">
      <c r="A75" s="4">
        <v>70</v>
      </c>
      <c r="B75" s="11" t="s">
        <v>88</v>
      </c>
      <c r="C75" s="12"/>
      <c r="D75" s="12" t="s">
        <v>1278</v>
      </c>
      <c r="E75" s="13"/>
      <c r="F75" s="14"/>
      <c r="G75" s="18" t="s">
        <v>1274</v>
      </c>
      <c r="H75" s="12" t="s">
        <v>1226</v>
      </c>
      <c r="I75" s="18" t="s">
        <v>1279</v>
      </c>
      <c r="J75" s="13" t="s">
        <v>1275</v>
      </c>
      <c r="K75" s="33"/>
      <c r="L75" s="33"/>
      <c r="M75" s="33"/>
      <c r="N75" s="13" t="s">
        <v>1280</v>
      </c>
      <c r="O75" s="13" t="s">
        <v>1277</v>
      </c>
      <c r="P75" s="17">
        <f>SUM(Q75:AX75)</f>
        <v>0</v>
      </c>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4"/>
    </row>
    <row r="76" spans="1:51" ht="18.75" customHeight="1">
      <c r="A76" s="4">
        <v>71</v>
      </c>
      <c r="B76" s="5" t="s">
        <v>88</v>
      </c>
      <c r="C76" s="6"/>
      <c r="D76" s="38" t="s">
        <v>1281</v>
      </c>
      <c r="E76" s="58"/>
      <c r="F76" s="38" t="s">
        <v>1282</v>
      </c>
      <c r="G76" s="60"/>
      <c r="H76" s="9"/>
      <c r="I76" s="7"/>
      <c r="J76" s="4"/>
      <c r="K76" s="31"/>
      <c r="L76" s="31"/>
      <c r="M76" s="31"/>
      <c r="N76" s="4"/>
      <c r="O76" s="4"/>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9"/>
    </row>
    <row r="77" spans="1:51" ht="18.75" customHeight="1">
      <c r="A77" s="4">
        <v>72</v>
      </c>
      <c r="B77" s="11" t="s">
        <v>88</v>
      </c>
      <c r="C77" s="12"/>
      <c r="D77" s="12" t="s">
        <v>1283</v>
      </c>
      <c r="E77" s="13"/>
      <c r="F77" s="14"/>
      <c r="G77" s="18" t="s">
        <v>1284</v>
      </c>
      <c r="H77" s="12" t="s">
        <v>1226</v>
      </c>
      <c r="I77" s="18" t="s">
        <v>1284</v>
      </c>
      <c r="J77" s="13" t="s">
        <v>1275</v>
      </c>
      <c r="K77" s="33"/>
      <c r="L77" s="33"/>
      <c r="M77" s="33"/>
      <c r="N77" s="13" t="s">
        <v>1285</v>
      </c>
      <c r="O77" s="13" t="s">
        <v>1277</v>
      </c>
      <c r="P77" s="17">
        <f>SUM(Q77:AX77)</f>
        <v>0</v>
      </c>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2"/>
    </row>
    <row r="78" spans="1:51" ht="18.75" customHeight="1">
      <c r="A78" s="4">
        <v>73</v>
      </c>
      <c r="B78" s="5" t="s">
        <v>88</v>
      </c>
      <c r="C78" s="6"/>
      <c r="D78" s="38" t="s">
        <v>1286</v>
      </c>
      <c r="E78" s="58"/>
      <c r="F78" s="38" t="s">
        <v>1287</v>
      </c>
      <c r="G78" s="60"/>
      <c r="H78" s="9"/>
      <c r="I78" s="7"/>
      <c r="J78" s="4"/>
      <c r="K78" s="31"/>
      <c r="L78" s="31"/>
      <c r="M78" s="31"/>
      <c r="N78" s="4"/>
      <c r="O78" s="4"/>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9"/>
    </row>
    <row r="79" spans="1:51" ht="18.75" customHeight="1">
      <c r="A79" s="4">
        <v>74</v>
      </c>
      <c r="B79" s="11" t="s">
        <v>88</v>
      </c>
      <c r="C79" s="12"/>
      <c r="D79" s="12" t="s">
        <v>1288</v>
      </c>
      <c r="E79" s="13"/>
      <c r="F79" s="14"/>
      <c r="G79" s="18" t="s">
        <v>1289</v>
      </c>
      <c r="H79" s="12" t="s">
        <v>1226</v>
      </c>
      <c r="I79" s="18" t="s">
        <v>1290</v>
      </c>
      <c r="J79" s="13" t="s">
        <v>1291</v>
      </c>
      <c r="K79" s="33"/>
      <c r="L79" s="33"/>
      <c r="M79" s="33"/>
      <c r="N79" s="13" t="s">
        <v>1292</v>
      </c>
      <c r="O79" s="13" t="s">
        <v>428</v>
      </c>
      <c r="P79" s="17">
        <f>SUM(Q79:AX79)</f>
        <v>0</v>
      </c>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2"/>
    </row>
    <row r="80" spans="1:51" ht="18.75" customHeight="1">
      <c r="A80" s="4">
        <v>75</v>
      </c>
      <c r="B80" s="11" t="s">
        <v>88</v>
      </c>
      <c r="C80" s="12"/>
      <c r="D80" s="12" t="s">
        <v>1293</v>
      </c>
      <c r="E80" s="13"/>
      <c r="F80" s="14"/>
      <c r="G80" s="18" t="s">
        <v>1294</v>
      </c>
      <c r="H80" s="12" t="s">
        <v>1226</v>
      </c>
      <c r="I80" s="18" t="s">
        <v>1295</v>
      </c>
      <c r="J80" s="13" t="s">
        <v>1291</v>
      </c>
      <c r="K80" s="33"/>
      <c r="L80" s="33"/>
      <c r="M80" s="33"/>
      <c r="N80" s="13" t="s">
        <v>1296</v>
      </c>
      <c r="O80" s="13" t="s">
        <v>428</v>
      </c>
      <c r="P80" s="17">
        <f>SUM(Q80:AX80)</f>
        <v>0</v>
      </c>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2"/>
    </row>
    <row r="81" spans="1:51" ht="18.75" customHeight="1">
      <c r="A81" s="4">
        <v>76</v>
      </c>
      <c r="B81" s="11" t="s">
        <v>88</v>
      </c>
      <c r="C81" s="12"/>
      <c r="D81" s="12" t="s">
        <v>1297</v>
      </c>
      <c r="E81" s="13"/>
      <c r="F81" s="14"/>
      <c r="G81" s="18" t="s">
        <v>1298</v>
      </c>
      <c r="H81" s="12" t="s">
        <v>1226</v>
      </c>
      <c r="I81" s="18" t="s">
        <v>1299</v>
      </c>
      <c r="J81" s="13" t="s">
        <v>1291</v>
      </c>
      <c r="K81" s="33"/>
      <c r="L81" s="33"/>
      <c r="M81" s="33"/>
      <c r="N81" s="13" t="s">
        <v>1300</v>
      </c>
      <c r="O81" s="13" t="s">
        <v>428</v>
      </c>
      <c r="P81" s="17">
        <f>SUM(Q81:AX81)</f>
        <v>0</v>
      </c>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2"/>
    </row>
    <row r="82" spans="1:51" ht="18.75" customHeight="1">
      <c r="A82" s="4">
        <v>77</v>
      </c>
      <c r="B82" s="11" t="s">
        <v>88</v>
      </c>
      <c r="C82" s="12"/>
      <c r="D82" s="12" t="s">
        <v>1301</v>
      </c>
      <c r="E82" s="13"/>
      <c r="F82" s="14"/>
      <c r="G82" s="18" t="s">
        <v>1302</v>
      </c>
      <c r="H82" s="12" t="s">
        <v>1226</v>
      </c>
      <c r="I82" s="18" t="s">
        <v>1303</v>
      </c>
      <c r="J82" s="13" t="s">
        <v>1291</v>
      </c>
      <c r="K82" s="33"/>
      <c r="L82" s="33"/>
      <c r="M82" s="33"/>
      <c r="N82" s="13" t="s">
        <v>1304</v>
      </c>
      <c r="O82" s="13" t="s">
        <v>428</v>
      </c>
      <c r="P82" s="17">
        <f>SUM(Q82:AX82)</f>
        <v>0</v>
      </c>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2"/>
    </row>
    <row r="83" spans="1:51" ht="18.75" customHeight="1">
      <c r="A83" s="4">
        <v>78</v>
      </c>
      <c r="B83" s="5" t="s">
        <v>88</v>
      </c>
      <c r="C83" s="6"/>
      <c r="D83" s="38" t="s">
        <v>1305</v>
      </c>
      <c r="E83" s="58"/>
      <c r="F83" s="38" t="s">
        <v>1306</v>
      </c>
      <c r="G83" s="60"/>
      <c r="H83" s="9"/>
      <c r="I83" s="7"/>
      <c r="J83" s="4"/>
      <c r="K83" s="31"/>
      <c r="L83" s="31"/>
      <c r="M83" s="31"/>
      <c r="N83" s="4"/>
      <c r="O83" s="4"/>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9"/>
    </row>
    <row r="84" spans="1:51" ht="42.75" customHeight="1">
      <c r="A84" s="4">
        <v>79</v>
      </c>
      <c r="B84" s="11" t="s">
        <v>88</v>
      </c>
      <c r="C84" s="12"/>
      <c r="D84" s="12" t="s">
        <v>1307</v>
      </c>
      <c r="E84" s="13"/>
      <c r="F84" s="14"/>
      <c r="G84" s="18" t="s">
        <v>1308</v>
      </c>
      <c r="H84" s="12" t="s">
        <v>1226</v>
      </c>
      <c r="I84" s="18" t="s">
        <v>1308</v>
      </c>
      <c r="J84" s="13" t="s">
        <v>1291</v>
      </c>
      <c r="K84" s="33"/>
      <c r="L84" s="33"/>
      <c r="M84" s="33"/>
      <c r="N84" s="13" t="s">
        <v>1309</v>
      </c>
      <c r="O84" s="13" t="s">
        <v>428</v>
      </c>
      <c r="P84" s="17">
        <f>SUM(Q84:AX84)</f>
        <v>0</v>
      </c>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2"/>
    </row>
    <row r="85" spans="1:51" ht="42.75" customHeight="1">
      <c r="A85" s="4">
        <v>80</v>
      </c>
      <c r="B85" s="11" t="s">
        <v>88</v>
      </c>
      <c r="C85" s="12"/>
      <c r="D85" s="12" t="s">
        <v>1310</v>
      </c>
      <c r="E85" s="13"/>
      <c r="F85" s="14"/>
      <c r="G85" s="18" t="s">
        <v>1311</v>
      </c>
      <c r="H85" s="12" t="s">
        <v>1226</v>
      </c>
      <c r="I85" s="18" t="s">
        <v>1311</v>
      </c>
      <c r="J85" s="13" t="s">
        <v>1291</v>
      </c>
      <c r="K85" s="33"/>
      <c r="L85" s="33"/>
      <c r="M85" s="33"/>
      <c r="N85" s="13" t="s">
        <v>1312</v>
      </c>
      <c r="O85" s="13" t="s">
        <v>428</v>
      </c>
      <c r="P85" s="17">
        <f>SUM(Q85:AX85)</f>
        <v>0</v>
      </c>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2"/>
    </row>
    <row r="86" spans="1:51" ht="18.75" customHeight="1">
      <c r="A86" s="4">
        <v>81</v>
      </c>
      <c r="B86" s="5" t="s">
        <v>88</v>
      </c>
      <c r="C86" s="6"/>
      <c r="D86" s="38" t="s">
        <v>1313</v>
      </c>
      <c r="E86" s="58"/>
      <c r="F86" s="38" t="s">
        <v>1314</v>
      </c>
      <c r="G86" s="60"/>
      <c r="H86" s="9"/>
      <c r="I86" s="7"/>
      <c r="J86" s="4"/>
      <c r="K86" s="31"/>
      <c r="L86" s="31"/>
      <c r="M86" s="31"/>
      <c r="N86" s="4"/>
      <c r="O86" s="4"/>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9"/>
    </row>
    <row r="87" spans="1:51" ht="18.75" customHeight="1">
      <c r="A87" s="4">
        <v>82</v>
      </c>
      <c r="B87" s="11" t="s">
        <v>88</v>
      </c>
      <c r="C87" s="12"/>
      <c r="D87" s="12" t="s">
        <v>1315</v>
      </c>
      <c r="E87" s="13"/>
      <c r="F87" s="14"/>
      <c r="G87" s="15"/>
      <c r="H87" s="12" t="s">
        <v>1226</v>
      </c>
      <c r="I87" s="18" t="s">
        <v>1316</v>
      </c>
      <c r="J87" s="13" t="s">
        <v>1317</v>
      </c>
      <c r="K87" s="33"/>
      <c r="L87" s="33"/>
      <c r="M87" s="33"/>
      <c r="N87" s="13" t="s">
        <v>1318</v>
      </c>
      <c r="O87" s="13" t="s">
        <v>428</v>
      </c>
      <c r="P87" s="17">
        <f>SUM(Q87:AX87)</f>
        <v>0</v>
      </c>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2"/>
    </row>
    <row r="88" spans="1:51" ht="18.75" customHeight="1">
      <c r="A88" s="4">
        <v>83</v>
      </c>
      <c r="B88" s="11" t="s">
        <v>88</v>
      </c>
      <c r="C88" s="12"/>
      <c r="D88" s="12" t="s">
        <v>1319</v>
      </c>
      <c r="E88" s="13"/>
      <c r="F88" s="14"/>
      <c r="G88" s="15"/>
      <c r="H88" s="12" t="s">
        <v>1226</v>
      </c>
      <c r="I88" s="18" t="s">
        <v>1320</v>
      </c>
      <c r="J88" s="13" t="s">
        <v>1317</v>
      </c>
      <c r="K88" s="33"/>
      <c r="L88" s="33"/>
      <c r="M88" s="33"/>
      <c r="N88" s="13" t="s">
        <v>1321</v>
      </c>
      <c r="O88" s="13" t="s">
        <v>428</v>
      </c>
      <c r="P88" s="17">
        <f>SUM(Q88:AX88)</f>
        <v>0</v>
      </c>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2"/>
    </row>
    <row r="89" spans="1:51" ht="18.75" customHeight="1">
      <c r="A89" s="4">
        <v>84</v>
      </c>
      <c r="B89" s="5" t="s">
        <v>88</v>
      </c>
      <c r="C89" s="6"/>
      <c r="D89" s="38" t="s">
        <v>1322</v>
      </c>
      <c r="E89" s="58"/>
      <c r="F89" s="38" t="s">
        <v>1323</v>
      </c>
      <c r="G89" s="60"/>
      <c r="H89" s="9"/>
      <c r="I89" s="7"/>
      <c r="J89" s="4"/>
      <c r="K89" s="31"/>
      <c r="L89" s="31"/>
      <c r="M89" s="31"/>
      <c r="N89" s="4"/>
      <c r="O89" s="4"/>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9"/>
    </row>
    <row r="90" spans="1:51" ht="18.75" customHeight="1">
      <c r="A90" s="4">
        <v>85</v>
      </c>
      <c r="B90" s="11" t="s">
        <v>88</v>
      </c>
      <c r="C90" s="12"/>
      <c r="D90" s="12" t="s">
        <v>1324</v>
      </c>
      <c r="E90" s="13"/>
      <c r="F90" s="14"/>
      <c r="G90" s="15"/>
      <c r="H90" s="12" t="s">
        <v>1226</v>
      </c>
      <c r="I90" s="18" t="s">
        <v>1325</v>
      </c>
      <c r="J90" s="13" t="s">
        <v>1291</v>
      </c>
      <c r="K90" s="33"/>
      <c r="L90" s="33"/>
      <c r="M90" s="33"/>
      <c r="N90" s="13" t="s">
        <v>1326</v>
      </c>
      <c r="O90" s="13" t="s">
        <v>428</v>
      </c>
      <c r="P90" s="17">
        <f>SUM(Q90:AX90)</f>
        <v>0</v>
      </c>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2"/>
    </row>
    <row r="91" spans="1:51" ht="18.75" customHeight="1">
      <c r="A91" s="4">
        <v>86</v>
      </c>
      <c r="B91" s="5" t="s">
        <v>88</v>
      </c>
      <c r="C91" s="6"/>
      <c r="D91" s="38" t="s">
        <v>1327</v>
      </c>
      <c r="E91" s="58"/>
      <c r="F91" s="38" t="s">
        <v>1328</v>
      </c>
      <c r="G91" s="60"/>
      <c r="H91" s="9"/>
      <c r="I91" s="7"/>
      <c r="J91" s="4"/>
      <c r="K91" s="31"/>
      <c r="L91" s="31"/>
      <c r="M91" s="31"/>
      <c r="N91" s="4"/>
      <c r="O91" s="4"/>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6"/>
    </row>
    <row r="92" spans="1:51" ht="18.75" customHeight="1">
      <c r="A92" s="4">
        <v>87</v>
      </c>
      <c r="B92" s="11" t="s">
        <v>88</v>
      </c>
      <c r="C92" s="12"/>
      <c r="D92" s="12" t="s">
        <v>1329</v>
      </c>
      <c r="E92" s="13"/>
      <c r="F92" s="14"/>
      <c r="G92" s="15"/>
      <c r="H92" s="12" t="s">
        <v>1226</v>
      </c>
      <c r="I92" s="18" t="s">
        <v>1330</v>
      </c>
      <c r="J92" s="13" t="s">
        <v>1291</v>
      </c>
      <c r="K92" s="33"/>
      <c r="L92" s="33"/>
      <c r="M92" s="33"/>
      <c r="N92" s="13" t="s">
        <v>1331</v>
      </c>
      <c r="O92" s="13" t="s">
        <v>428</v>
      </c>
      <c r="P92" s="17">
        <f>SUM(Q92:AX92)</f>
        <v>0</v>
      </c>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4"/>
    </row>
    <row r="93" spans="1:51" ht="18.75" customHeight="1">
      <c r="A93" s="4">
        <v>88</v>
      </c>
      <c r="B93" s="5" t="s">
        <v>88</v>
      </c>
      <c r="C93" s="6"/>
      <c r="D93" s="38" t="s">
        <v>1332</v>
      </c>
      <c r="E93" s="58"/>
      <c r="F93" s="38" t="s">
        <v>1333</v>
      </c>
      <c r="G93" s="60"/>
      <c r="H93" s="9"/>
      <c r="I93" s="7"/>
      <c r="J93" s="4"/>
      <c r="K93" s="31"/>
      <c r="L93" s="31"/>
      <c r="M93" s="31"/>
      <c r="N93" s="4"/>
      <c r="O93" s="4"/>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9"/>
    </row>
    <row r="94" spans="1:51" ht="30.75" customHeight="1">
      <c r="A94" s="4">
        <v>89</v>
      </c>
      <c r="B94" s="21" t="s">
        <v>88</v>
      </c>
      <c r="C94" s="3"/>
      <c r="D94" s="1"/>
      <c r="E94" s="2"/>
      <c r="F94" s="1"/>
      <c r="G94" s="26" t="s">
        <v>1334</v>
      </c>
      <c r="H94" s="1"/>
      <c r="I94" s="22"/>
      <c r="J94" s="2"/>
      <c r="K94" s="32"/>
      <c r="L94" s="32"/>
      <c r="M94" s="32"/>
      <c r="N94" s="2"/>
      <c r="O94" s="2"/>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1"/>
    </row>
    <row r="95" spans="1:51" ht="30.75" customHeight="1">
      <c r="A95" s="4">
        <v>90</v>
      </c>
      <c r="B95" s="11" t="s">
        <v>88</v>
      </c>
      <c r="C95" s="12"/>
      <c r="D95" s="12" t="s">
        <v>1335</v>
      </c>
      <c r="E95" s="13"/>
      <c r="F95" s="14"/>
      <c r="G95" s="18" t="s">
        <v>1336</v>
      </c>
      <c r="H95" s="12" t="s">
        <v>1226</v>
      </c>
      <c r="I95" s="18" t="s">
        <v>1337</v>
      </c>
      <c r="J95" s="13" t="s">
        <v>1291</v>
      </c>
      <c r="K95" s="33"/>
      <c r="L95" s="33"/>
      <c r="M95" s="33"/>
      <c r="N95" s="13" t="s">
        <v>1338</v>
      </c>
      <c r="O95" s="13" t="s">
        <v>428</v>
      </c>
      <c r="P95" s="17">
        <f>SUM(Q95:AX95)</f>
        <v>0</v>
      </c>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2"/>
    </row>
    <row r="96" spans="1:51" ht="18.75" customHeight="1">
      <c r="A96" s="4">
        <v>91</v>
      </c>
      <c r="B96" s="5" t="s">
        <v>88</v>
      </c>
      <c r="C96" s="6"/>
      <c r="D96" s="38" t="s">
        <v>1339</v>
      </c>
      <c r="E96" s="58"/>
      <c r="F96" s="38" t="s">
        <v>1340</v>
      </c>
      <c r="G96" s="60"/>
      <c r="H96" s="9"/>
      <c r="I96" s="7"/>
      <c r="J96" s="4"/>
      <c r="K96" s="31"/>
      <c r="L96" s="31"/>
      <c r="M96" s="31"/>
      <c r="N96" s="4"/>
      <c r="O96" s="4"/>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9"/>
    </row>
    <row r="97" spans="1:51" ht="18.75" customHeight="1">
      <c r="A97" s="4">
        <v>92</v>
      </c>
      <c r="B97" s="11" t="s">
        <v>88</v>
      </c>
      <c r="C97" s="12"/>
      <c r="D97" s="12" t="s">
        <v>1341</v>
      </c>
      <c r="E97" s="13"/>
      <c r="F97" s="14"/>
      <c r="G97" s="18" t="s">
        <v>1342</v>
      </c>
      <c r="H97" s="12" t="s">
        <v>1343</v>
      </c>
      <c r="I97" s="18" t="s">
        <v>1344</v>
      </c>
      <c r="J97" s="13" t="s">
        <v>1345</v>
      </c>
      <c r="K97" s="33"/>
      <c r="L97" s="33"/>
      <c r="M97" s="33"/>
      <c r="N97" s="13" t="s">
        <v>1346</v>
      </c>
      <c r="O97" s="13" t="s">
        <v>428</v>
      </c>
      <c r="P97" s="17">
        <f>SUM(Q97:AX97)</f>
        <v>0</v>
      </c>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2"/>
    </row>
    <row r="98" spans="1:51" ht="18.75" customHeight="1">
      <c r="A98" s="4">
        <v>93</v>
      </c>
      <c r="B98" s="11" t="s">
        <v>88</v>
      </c>
      <c r="C98" s="12"/>
      <c r="D98" s="12" t="s">
        <v>1347</v>
      </c>
      <c r="E98" s="13"/>
      <c r="F98" s="14"/>
      <c r="G98" s="18" t="s">
        <v>1342</v>
      </c>
      <c r="H98" s="12" t="s">
        <v>1343</v>
      </c>
      <c r="I98" s="18" t="s">
        <v>1348</v>
      </c>
      <c r="J98" s="13" t="s">
        <v>1345</v>
      </c>
      <c r="K98" s="33"/>
      <c r="L98" s="33"/>
      <c r="M98" s="33"/>
      <c r="N98" s="13" t="s">
        <v>1349</v>
      </c>
      <c r="O98" s="13" t="s">
        <v>428</v>
      </c>
      <c r="P98" s="17">
        <f>SUM(Q98:AX98)</f>
        <v>0</v>
      </c>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2"/>
    </row>
    <row r="99" spans="1:51" ht="18.75" customHeight="1">
      <c r="A99" s="4">
        <v>94</v>
      </c>
      <c r="B99" s="11" t="s">
        <v>88</v>
      </c>
      <c r="C99" s="12"/>
      <c r="D99" s="12" t="s">
        <v>1350</v>
      </c>
      <c r="E99" s="13"/>
      <c r="F99" s="14"/>
      <c r="G99" s="18" t="s">
        <v>1342</v>
      </c>
      <c r="H99" s="12" t="s">
        <v>1343</v>
      </c>
      <c r="I99" s="18" t="s">
        <v>1351</v>
      </c>
      <c r="J99" s="13" t="s">
        <v>1345</v>
      </c>
      <c r="K99" s="33"/>
      <c r="L99" s="33"/>
      <c r="M99" s="33"/>
      <c r="N99" s="13" t="s">
        <v>1352</v>
      </c>
      <c r="O99" s="13" t="s">
        <v>428</v>
      </c>
      <c r="P99" s="17">
        <f>SUM(Q99:AX99)</f>
        <v>174</v>
      </c>
      <c r="Q99" s="17"/>
      <c r="R99" s="17"/>
      <c r="S99" s="17"/>
      <c r="T99" s="17"/>
      <c r="U99" s="17"/>
      <c r="V99" s="17"/>
      <c r="W99" s="17"/>
      <c r="X99" s="17"/>
      <c r="Y99" s="17"/>
      <c r="Z99" s="17"/>
      <c r="AA99" s="17"/>
      <c r="AB99" s="17"/>
      <c r="AC99" s="17"/>
      <c r="AD99" s="17"/>
      <c r="AE99" s="17"/>
      <c r="AF99" s="17"/>
      <c r="AG99" s="17">
        <f>38+50</f>
        <v>88</v>
      </c>
      <c r="AH99" s="17">
        <f>36+50</f>
        <v>86</v>
      </c>
      <c r="AI99" s="17"/>
      <c r="AJ99" s="17"/>
      <c r="AK99" s="17"/>
      <c r="AL99" s="17"/>
      <c r="AM99" s="17"/>
      <c r="AN99" s="17"/>
      <c r="AO99" s="17"/>
      <c r="AP99" s="17"/>
      <c r="AQ99" s="17"/>
      <c r="AR99" s="17"/>
      <c r="AS99" s="17"/>
      <c r="AT99" s="17"/>
      <c r="AU99" s="17"/>
      <c r="AV99" s="17"/>
      <c r="AW99" s="17"/>
      <c r="AX99" s="17"/>
      <c r="AY99" s="12"/>
    </row>
    <row r="100" spans="1:51" ht="18.75" customHeight="1">
      <c r="A100" s="4">
        <v>95</v>
      </c>
      <c r="B100" s="11" t="s">
        <v>88</v>
      </c>
      <c r="C100" s="12"/>
      <c r="D100" s="12" t="s">
        <v>1353</v>
      </c>
      <c r="E100" s="13"/>
      <c r="F100" s="14"/>
      <c r="G100" s="18" t="s">
        <v>1342</v>
      </c>
      <c r="H100" s="12" t="s">
        <v>1343</v>
      </c>
      <c r="I100" s="18" t="s">
        <v>1354</v>
      </c>
      <c r="J100" s="13" t="s">
        <v>1345</v>
      </c>
      <c r="K100" s="33"/>
      <c r="L100" s="33"/>
      <c r="M100" s="33"/>
      <c r="N100" s="13" t="s">
        <v>1355</v>
      </c>
      <c r="O100" s="13" t="s">
        <v>428</v>
      </c>
      <c r="P100" s="17">
        <f>SUM(Q100:AX100)</f>
        <v>0</v>
      </c>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2"/>
    </row>
    <row r="101" spans="1:51" ht="18.75" customHeight="1">
      <c r="A101" s="4">
        <v>96</v>
      </c>
      <c r="B101" s="11" t="s">
        <v>88</v>
      </c>
      <c r="C101" s="12"/>
      <c r="D101" s="12" t="s">
        <v>1356</v>
      </c>
      <c r="E101" s="13"/>
      <c r="F101" s="14"/>
      <c r="G101" s="18" t="s">
        <v>1342</v>
      </c>
      <c r="H101" s="12" t="s">
        <v>1343</v>
      </c>
      <c r="I101" s="18" t="s">
        <v>1357</v>
      </c>
      <c r="J101" s="13" t="s">
        <v>1345</v>
      </c>
      <c r="K101" s="33"/>
      <c r="L101" s="33"/>
      <c r="M101" s="33"/>
      <c r="N101" s="13" t="s">
        <v>1358</v>
      </c>
      <c r="O101" s="13" t="s">
        <v>428</v>
      </c>
      <c r="P101" s="17">
        <f>SUM(Q101:AX101)</f>
        <v>0</v>
      </c>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2"/>
    </row>
    <row r="102" spans="1:51" ht="18.75" customHeight="1">
      <c r="A102" s="4">
        <v>97</v>
      </c>
      <c r="B102" s="5" t="s">
        <v>88</v>
      </c>
      <c r="C102" s="6"/>
      <c r="D102" s="38" t="s">
        <v>1359</v>
      </c>
      <c r="E102" s="58"/>
      <c r="F102" s="38" t="s">
        <v>1360</v>
      </c>
      <c r="G102" s="60"/>
      <c r="H102" s="9"/>
      <c r="I102" s="7"/>
      <c r="J102" s="4"/>
      <c r="K102" s="31"/>
      <c r="L102" s="31"/>
      <c r="M102" s="31"/>
      <c r="N102" s="4"/>
      <c r="O102" s="4"/>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9"/>
    </row>
    <row r="103" spans="1:51" ht="30.75" customHeight="1">
      <c r="A103" s="4">
        <v>98</v>
      </c>
      <c r="B103" s="21" t="s">
        <v>88</v>
      </c>
      <c r="C103" s="3"/>
      <c r="D103" s="1"/>
      <c r="E103" s="2"/>
      <c r="F103" s="1"/>
      <c r="G103" s="26" t="s">
        <v>1361</v>
      </c>
      <c r="H103" s="1"/>
      <c r="I103" s="22"/>
      <c r="J103" s="2"/>
      <c r="K103" s="32"/>
      <c r="L103" s="32"/>
      <c r="M103" s="32"/>
      <c r="N103" s="2"/>
      <c r="O103" s="2"/>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1"/>
    </row>
    <row r="104" spans="1:51" ht="18.75" customHeight="1">
      <c r="A104" s="4">
        <v>99</v>
      </c>
      <c r="B104" s="21" t="s">
        <v>88</v>
      </c>
      <c r="C104" s="3"/>
      <c r="D104" s="1"/>
      <c r="E104" s="2"/>
      <c r="F104" s="1"/>
      <c r="G104" s="26" t="s">
        <v>1362</v>
      </c>
      <c r="H104" s="1"/>
      <c r="I104" s="22"/>
      <c r="J104" s="2"/>
      <c r="K104" s="32"/>
      <c r="L104" s="32"/>
      <c r="M104" s="32"/>
      <c r="N104" s="2"/>
      <c r="O104" s="2"/>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1"/>
    </row>
    <row r="105" spans="1:51" ht="42.75" customHeight="1">
      <c r="A105" s="4">
        <v>100</v>
      </c>
      <c r="B105" s="21" t="s">
        <v>88</v>
      </c>
      <c r="C105" s="3"/>
      <c r="D105" s="1"/>
      <c r="E105" s="2"/>
      <c r="F105" s="1"/>
      <c r="G105" s="26" t="s">
        <v>1363</v>
      </c>
      <c r="H105" s="1"/>
      <c r="I105" s="22"/>
      <c r="J105" s="2"/>
      <c r="K105" s="32"/>
      <c r="L105" s="32"/>
      <c r="M105" s="32"/>
      <c r="N105" s="2"/>
      <c r="O105" s="2"/>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1"/>
    </row>
    <row r="106" spans="1:51" ht="18.75" customHeight="1">
      <c r="A106" s="4">
        <v>101</v>
      </c>
      <c r="B106" s="21" t="s">
        <v>88</v>
      </c>
      <c r="C106" s="3"/>
      <c r="D106" s="1"/>
      <c r="E106" s="2"/>
      <c r="F106" s="1"/>
      <c r="G106" s="26" t="s">
        <v>1364</v>
      </c>
      <c r="H106" s="1"/>
      <c r="I106" s="22"/>
      <c r="J106" s="2"/>
      <c r="K106" s="32"/>
      <c r="L106" s="32"/>
      <c r="M106" s="32"/>
      <c r="N106" s="2"/>
      <c r="O106" s="2"/>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1"/>
    </row>
    <row r="107" spans="1:51" ht="18.75" customHeight="1">
      <c r="A107" s="4">
        <v>102</v>
      </c>
      <c r="B107" s="11" t="s">
        <v>88</v>
      </c>
      <c r="C107" s="12"/>
      <c r="D107" s="12" t="s">
        <v>1365</v>
      </c>
      <c r="E107" s="13"/>
      <c r="F107" s="14"/>
      <c r="G107" s="15"/>
      <c r="H107" s="12" t="s">
        <v>1226</v>
      </c>
      <c r="I107" s="18" t="s">
        <v>1366</v>
      </c>
      <c r="J107" s="13" t="s">
        <v>1367</v>
      </c>
      <c r="K107" s="33"/>
      <c r="L107" s="33"/>
      <c r="M107" s="33"/>
      <c r="N107" s="13" t="s">
        <v>1368</v>
      </c>
      <c r="O107" s="13" t="s">
        <v>428</v>
      </c>
      <c r="P107" s="17">
        <f t="shared" ref="P107:P112" si="4">SUM(Q107:AX107)</f>
        <v>0</v>
      </c>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2"/>
    </row>
    <row r="108" spans="1:51" ht="18.75" customHeight="1">
      <c r="A108" s="4">
        <v>103</v>
      </c>
      <c r="B108" s="11" t="s">
        <v>88</v>
      </c>
      <c r="C108" s="12"/>
      <c r="D108" s="12" t="s">
        <v>1369</v>
      </c>
      <c r="E108" s="13"/>
      <c r="F108" s="14"/>
      <c r="G108" s="15"/>
      <c r="H108" s="12" t="s">
        <v>1226</v>
      </c>
      <c r="I108" s="18" t="s">
        <v>1370</v>
      </c>
      <c r="J108" s="13" t="s">
        <v>1367</v>
      </c>
      <c r="K108" s="33"/>
      <c r="L108" s="33"/>
      <c r="M108" s="33"/>
      <c r="N108" s="13" t="s">
        <v>1371</v>
      </c>
      <c r="O108" s="13" t="s">
        <v>428</v>
      </c>
      <c r="P108" s="17">
        <f t="shared" si="4"/>
        <v>0</v>
      </c>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2"/>
    </row>
    <row r="109" spans="1:51" ht="18.75" customHeight="1">
      <c r="A109" s="4">
        <v>104</v>
      </c>
      <c r="B109" s="11" t="s">
        <v>88</v>
      </c>
      <c r="C109" s="12"/>
      <c r="D109" s="12" t="s">
        <v>1372</v>
      </c>
      <c r="E109" s="13"/>
      <c r="F109" s="14"/>
      <c r="G109" s="15"/>
      <c r="H109" s="12" t="s">
        <v>1226</v>
      </c>
      <c r="I109" s="18" t="s">
        <v>1373</v>
      </c>
      <c r="J109" s="13" t="s">
        <v>1367</v>
      </c>
      <c r="K109" s="33"/>
      <c r="L109" s="33"/>
      <c r="M109" s="33"/>
      <c r="N109" s="13" t="s">
        <v>1374</v>
      </c>
      <c r="O109" s="13" t="s">
        <v>428</v>
      </c>
      <c r="P109" s="17">
        <f t="shared" si="4"/>
        <v>0</v>
      </c>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2"/>
    </row>
    <row r="110" spans="1:51" ht="18.75" customHeight="1">
      <c r="A110" s="4">
        <v>105</v>
      </c>
      <c r="B110" s="11" t="s">
        <v>88</v>
      </c>
      <c r="C110" s="12"/>
      <c r="D110" s="12" t="s">
        <v>1375</v>
      </c>
      <c r="E110" s="13"/>
      <c r="F110" s="14"/>
      <c r="G110" s="15"/>
      <c r="H110" s="12" t="s">
        <v>1226</v>
      </c>
      <c r="I110" s="18" t="s">
        <v>1376</v>
      </c>
      <c r="J110" s="13" t="s">
        <v>1367</v>
      </c>
      <c r="K110" s="33"/>
      <c r="L110" s="33"/>
      <c r="M110" s="33"/>
      <c r="N110" s="13" t="s">
        <v>1377</v>
      </c>
      <c r="O110" s="13" t="s">
        <v>428</v>
      </c>
      <c r="P110" s="17">
        <f t="shared" si="4"/>
        <v>0</v>
      </c>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2"/>
    </row>
    <row r="111" spans="1:51" ht="18.75" customHeight="1">
      <c r="A111" s="4">
        <v>106</v>
      </c>
      <c r="B111" s="11" t="s">
        <v>88</v>
      </c>
      <c r="C111" s="12"/>
      <c r="D111" s="12" t="s">
        <v>1378</v>
      </c>
      <c r="E111" s="13"/>
      <c r="F111" s="14"/>
      <c r="G111" s="15"/>
      <c r="H111" s="12" t="s">
        <v>1226</v>
      </c>
      <c r="I111" s="18" t="s">
        <v>1379</v>
      </c>
      <c r="J111" s="13" t="s">
        <v>1367</v>
      </c>
      <c r="K111" s="33"/>
      <c r="L111" s="33"/>
      <c r="M111" s="33"/>
      <c r="N111" s="13" t="s">
        <v>1380</v>
      </c>
      <c r="O111" s="13" t="s">
        <v>428</v>
      </c>
      <c r="P111" s="17">
        <f t="shared" si="4"/>
        <v>0</v>
      </c>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2"/>
    </row>
    <row r="112" spans="1:51" ht="18.75" customHeight="1">
      <c r="A112" s="4">
        <v>107</v>
      </c>
      <c r="B112" s="11" t="s">
        <v>88</v>
      </c>
      <c r="C112" s="12"/>
      <c r="D112" s="12" t="s">
        <v>1381</v>
      </c>
      <c r="E112" s="13"/>
      <c r="F112" s="14"/>
      <c r="G112" s="15"/>
      <c r="H112" s="12" t="s">
        <v>1226</v>
      </c>
      <c r="I112" s="18" t="s">
        <v>1382</v>
      </c>
      <c r="J112" s="13" t="s">
        <v>1367</v>
      </c>
      <c r="K112" s="33"/>
      <c r="L112" s="33"/>
      <c r="M112" s="33"/>
      <c r="N112" s="13" t="s">
        <v>1383</v>
      </c>
      <c r="O112" s="13" t="s">
        <v>428</v>
      </c>
      <c r="P112" s="17">
        <f t="shared" si="4"/>
        <v>0</v>
      </c>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2"/>
    </row>
    <row r="113" spans="1:51" ht="18.75" customHeight="1">
      <c r="A113" s="4">
        <v>108</v>
      </c>
      <c r="B113" s="5" t="s">
        <v>88</v>
      </c>
      <c r="C113" s="6"/>
      <c r="D113" s="38" t="s">
        <v>1384</v>
      </c>
      <c r="E113" s="58"/>
      <c r="F113" s="38" t="s">
        <v>1385</v>
      </c>
      <c r="G113" s="60"/>
      <c r="H113" s="9"/>
      <c r="I113" s="7"/>
      <c r="J113" s="4"/>
      <c r="K113" s="31"/>
      <c r="L113" s="31"/>
      <c r="M113" s="31"/>
      <c r="N113" s="4"/>
      <c r="O113" s="4"/>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9"/>
    </row>
    <row r="114" spans="1:51" ht="30.75" customHeight="1">
      <c r="A114" s="4">
        <v>109</v>
      </c>
      <c r="B114" s="21" t="s">
        <v>88</v>
      </c>
      <c r="C114" s="3"/>
      <c r="D114" s="1"/>
      <c r="E114" s="2"/>
      <c r="F114" s="1"/>
      <c r="G114" s="26" t="s">
        <v>1386</v>
      </c>
      <c r="H114" s="1"/>
      <c r="I114" s="22"/>
      <c r="J114" s="2"/>
      <c r="K114" s="32"/>
      <c r="L114" s="32"/>
      <c r="M114" s="32"/>
      <c r="N114" s="2"/>
      <c r="O114" s="2"/>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1"/>
    </row>
    <row r="115" spans="1:51" ht="18.75" customHeight="1">
      <c r="A115" s="4">
        <v>110</v>
      </c>
      <c r="B115" s="21" t="s">
        <v>88</v>
      </c>
      <c r="C115" s="3"/>
      <c r="D115" s="1"/>
      <c r="E115" s="2"/>
      <c r="F115" s="1"/>
      <c r="G115" s="26" t="s">
        <v>1387</v>
      </c>
      <c r="H115" s="1"/>
      <c r="I115" s="22"/>
      <c r="J115" s="2"/>
      <c r="K115" s="32"/>
      <c r="L115" s="32"/>
      <c r="M115" s="32"/>
      <c r="N115" s="2"/>
      <c r="O115" s="2"/>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1"/>
    </row>
    <row r="116" spans="1:51" ht="42.75" customHeight="1">
      <c r="A116" s="4">
        <v>111</v>
      </c>
      <c r="B116" s="21" t="s">
        <v>88</v>
      </c>
      <c r="C116" s="3"/>
      <c r="D116" s="1"/>
      <c r="E116" s="2"/>
      <c r="F116" s="1"/>
      <c r="G116" s="26" t="s">
        <v>1363</v>
      </c>
      <c r="H116" s="1"/>
      <c r="I116" s="22"/>
      <c r="J116" s="2"/>
      <c r="K116" s="32"/>
      <c r="L116" s="32"/>
      <c r="M116" s="32"/>
      <c r="N116" s="2"/>
      <c r="O116" s="2"/>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1"/>
    </row>
    <row r="117" spans="1:51" ht="18.75" customHeight="1">
      <c r="A117" s="4">
        <v>112</v>
      </c>
      <c r="B117" s="21" t="s">
        <v>88</v>
      </c>
      <c r="C117" s="3"/>
      <c r="D117" s="1"/>
      <c r="E117" s="2"/>
      <c r="F117" s="1"/>
      <c r="G117" s="26" t="s">
        <v>1388</v>
      </c>
      <c r="H117" s="1"/>
      <c r="I117" s="22"/>
      <c r="J117" s="2"/>
      <c r="K117" s="32"/>
      <c r="L117" s="32"/>
      <c r="M117" s="32"/>
      <c r="N117" s="2"/>
      <c r="O117" s="2"/>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1"/>
    </row>
    <row r="118" spans="1:51" ht="18.75" customHeight="1">
      <c r="A118" s="4">
        <v>113</v>
      </c>
      <c r="B118" s="11" t="s">
        <v>88</v>
      </c>
      <c r="C118" s="12"/>
      <c r="D118" s="12" t="s">
        <v>1389</v>
      </c>
      <c r="E118" s="13"/>
      <c r="F118" s="14"/>
      <c r="G118" s="15"/>
      <c r="H118" s="12" t="s">
        <v>1226</v>
      </c>
      <c r="I118" s="18" t="s">
        <v>1390</v>
      </c>
      <c r="J118" s="13" t="s">
        <v>1367</v>
      </c>
      <c r="K118" s="33"/>
      <c r="L118" s="33"/>
      <c r="M118" s="33"/>
      <c r="N118" s="13" t="s">
        <v>1391</v>
      </c>
      <c r="O118" s="13" t="s">
        <v>428</v>
      </c>
      <c r="P118" s="17">
        <f>SUM(Q118:AX118)</f>
        <v>0</v>
      </c>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2"/>
    </row>
    <row r="119" spans="1:51" ht="18.75" customHeight="1">
      <c r="A119" s="4">
        <v>114</v>
      </c>
      <c r="B119" s="11" t="s">
        <v>88</v>
      </c>
      <c r="C119" s="12"/>
      <c r="D119" s="12" t="s">
        <v>1392</v>
      </c>
      <c r="E119" s="13"/>
      <c r="F119" s="14"/>
      <c r="G119" s="15"/>
      <c r="H119" s="12" t="s">
        <v>1226</v>
      </c>
      <c r="I119" s="18" t="s">
        <v>1393</v>
      </c>
      <c r="J119" s="13" t="s">
        <v>1367</v>
      </c>
      <c r="K119" s="33"/>
      <c r="L119" s="33"/>
      <c r="M119" s="33"/>
      <c r="N119" s="13" t="s">
        <v>1394</v>
      </c>
      <c r="O119" s="13" t="s">
        <v>428</v>
      </c>
      <c r="P119" s="17">
        <f>SUM(Q119:AX119)</f>
        <v>0</v>
      </c>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2"/>
    </row>
    <row r="120" spans="1:51" ht="18.75" customHeight="1">
      <c r="A120" s="4">
        <v>115</v>
      </c>
      <c r="B120" s="11" t="s">
        <v>88</v>
      </c>
      <c r="C120" s="12"/>
      <c r="D120" s="12" t="s">
        <v>1395</v>
      </c>
      <c r="E120" s="13"/>
      <c r="F120" s="14"/>
      <c r="G120" s="15"/>
      <c r="H120" s="12" t="s">
        <v>1226</v>
      </c>
      <c r="I120" s="18" t="s">
        <v>1396</v>
      </c>
      <c r="J120" s="13" t="s">
        <v>1367</v>
      </c>
      <c r="K120" s="33"/>
      <c r="L120" s="33"/>
      <c r="M120" s="33"/>
      <c r="N120" s="13" t="s">
        <v>1397</v>
      </c>
      <c r="O120" s="13" t="s">
        <v>428</v>
      </c>
      <c r="P120" s="17">
        <f>SUM(Q120:AX120)</f>
        <v>0</v>
      </c>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2"/>
    </row>
    <row r="121" spans="1:51" ht="18.75" customHeight="1">
      <c r="A121" s="4">
        <v>116</v>
      </c>
      <c r="B121" s="11" t="s">
        <v>88</v>
      </c>
      <c r="C121" s="12"/>
      <c r="D121" s="12" t="s">
        <v>1398</v>
      </c>
      <c r="E121" s="13"/>
      <c r="F121" s="14"/>
      <c r="G121" s="15"/>
      <c r="H121" s="12" t="s">
        <v>1226</v>
      </c>
      <c r="I121" s="18" t="s">
        <v>1399</v>
      </c>
      <c r="J121" s="13" t="s">
        <v>1367</v>
      </c>
      <c r="K121" s="33"/>
      <c r="L121" s="33"/>
      <c r="M121" s="33"/>
      <c r="N121" s="13" t="s">
        <v>1400</v>
      </c>
      <c r="O121" s="13" t="s">
        <v>428</v>
      </c>
      <c r="P121" s="17">
        <f>SUM(Q121:AX121)</f>
        <v>0</v>
      </c>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2"/>
    </row>
    <row r="122" spans="1:51" ht="18.75" customHeight="1">
      <c r="A122" s="4">
        <v>117</v>
      </c>
      <c r="B122" s="11" t="s">
        <v>88</v>
      </c>
      <c r="C122" s="12"/>
      <c r="D122" s="12" t="s">
        <v>1401</v>
      </c>
      <c r="E122" s="13"/>
      <c r="F122" s="14"/>
      <c r="G122" s="15"/>
      <c r="H122" s="12" t="s">
        <v>1226</v>
      </c>
      <c r="I122" s="18" t="s">
        <v>1402</v>
      </c>
      <c r="J122" s="13" t="s">
        <v>1367</v>
      </c>
      <c r="K122" s="33"/>
      <c r="L122" s="33"/>
      <c r="M122" s="33"/>
      <c r="N122" s="13" t="s">
        <v>1403</v>
      </c>
      <c r="O122" s="13" t="s">
        <v>428</v>
      </c>
      <c r="P122" s="17">
        <f>SUM(Q122:AX122)</f>
        <v>0</v>
      </c>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2"/>
    </row>
    <row r="123" spans="1:51" ht="18.75" customHeight="1">
      <c r="A123" s="4">
        <v>118</v>
      </c>
      <c r="B123" s="5" t="s">
        <v>88</v>
      </c>
      <c r="C123" s="6"/>
      <c r="D123" s="38" t="s">
        <v>1404</v>
      </c>
      <c r="E123" s="58"/>
      <c r="F123" s="38" t="s">
        <v>1405</v>
      </c>
      <c r="G123" s="60"/>
      <c r="H123" s="9"/>
      <c r="I123" s="7"/>
      <c r="J123" s="4"/>
      <c r="K123" s="31"/>
      <c r="L123" s="31"/>
      <c r="M123" s="31"/>
      <c r="N123" s="4"/>
      <c r="O123" s="4"/>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9"/>
    </row>
    <row r="124" spans="1:51" ht="18.75" customHeight="1">
      <c r="A124" s="4">
        <v>119</v>
      </c>
      <c r="B124" s="21" t="s">
        <v>88</v>
      </c>
      <c r="C124" s="3"/>
      <c r="D124" s="1"/>
      <c r="E124" s="2"/>
      <c r="F124" s="1"/>
      <c r="G124" s="26" t="s">
        <v>1406</v>
      </c>
      <c r="H124" s="1"/>
      <c r="I124" s="22"/>
      <c r="J124" s="2"/>
      <c r="K124" s="32"/>
      <c r="L124" s="32"/>
      <c r="M124" s="32"/>
      <c r="N124" s="2"/>
      <c r="O124" s="2"/>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1"/>
    </row>
    <row r="125" spans="1:51" ht="18.75" customHeight="1">
      <c r="A125" s="4">
        <v>120</v>
      </c>
      <c r="B125" s="11" t="s">
        <v>88</v>
      </c>
      <c r="C125" s="12"/>
      <c r="D125" s="12" t="s">
        <v>1407</v>
      </c>
      <c r="E125" s="13"/>
      <c r="F125" s="14"/>
      <c r="G125" s="18" t="s">
        <v>1408</v>
      </c>
      <c r="H125" s="12" t="s">
        <v>1226</v>
      </c>
      <c r="I125" s="18" t="s">
        <v>1409</v>
      </c>
      <c r="J125" s="13" t="s">
        <v>1367</v>
      </c>
      <c r="K125" s="33"/>
      <c r="L125" s="33"/>
      <c r="M125" s="33"/>
      <c r="N125" s="13" t="s">
        <v>1410</v>
      </c>
      <c r="O125" s="13" t="s">
        <v>1411</v>
      </c>
      <c r="P125" s="17">
        <f>SUM(Q125:AX125)</f>
        <v>0</v>
      </c>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2"/>
    </row>
    <row r="126" spans="1:51" ht="30.75" customHeight="1">
      <c r="A126" s="4">
        <v>121</v>
      </c>
      <c r="B126" s="11" t="s">
        <v>88</v>
      </c>
      <c r="C126" s="12"/>
      <c r="D126" s="12" t="s">
        <v>1412</v>
      </c>
      <c r="E126" s="13"/>
      <c r="F126" s="14"/>
      <c r="G126" s="18" t="s">
        <v>1413</v>
      </c>
      <c r="H126" s="12" t="s">
        <v>1226</v>
      </c>
      <c r="I126" s="18" t="s">
        <v>1414</v>
      </c>
      <c r="J126" s="13" t="s">
        <v>1367</v>
      </c>
      <c r="K126" s="33"/>
      <c r="L126" s="33"/>
      <c r="M126" s="33"/>
      <c r="N126" s="13" t="s">
        <v>1415</v>
      </c>
      <c r="O126" s="13" t="s">
        <v>1411</v>
      </c>
      <c r="P126" s="17">
        <f>SUM(Q126:AX126)</f>
        <v>0</v>
      </c>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2"/>
    </row>
    <row r="127" spans="1:51" ht="18.75" customHeight="1">
      <c r="A127" s="4">
        <v>122</v>
      </c>
      <c r="B127" s="5" t="s">
        <v>88</v>
      </c>
      <c r="C127" s="6"/>
      <c r="D127" s="38" t="s">
        <v>1416</v>
      </c>
      <c r="E127" s="58"/>
      <c r="F127" s="38" t="s">
        <v>1417</v>
      </c>
      <c r="G127" s="60"/>
      <c r="H127" s="9"/>
      <c r="I127" s="7"/>
      <c r="J127" s="4"/>
      <c r="K127" s="31"/>
      <c r="L127" s="31"/>
      <c r="M127" s="31"/>
      <c r="N127" s="4"/>
      <c r="O127" s="4"/>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9"/>
    </row>
    <row r="128" spans="1:51" ht="30.75" customHeight="1">
      <c r="A128" s="4">
        <v>123</v>
      </c>
      <c r="B128" s="21" t="s">
        <v>88</v>
      </c>
      <c r="C128" s="3"/>
      <c r="D128" s="1"/>
      <c r="E128" s="2"/>
      <c r="F128" s="1"/>
      <c r="G128" s="26" t="s">
        <v>1418</v>
      </c>
      <c r="H128" s="1"/>
      <c r="I128" s="22"/>
      <c r="J128" s="2"/>
      <c r="K128" s="32"/>
      <c r="L128" s="32"/>
      <c r="M128" s="32"/>
      <c r="N128" s="2"/>
      <c r="O128" s="2"/>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1"/>
    </row>
    <row r="129" spans="1:51" ht="18.75" customHeight="1">
      <c r="A129" s="4">
        <v>124</v>
      </c>
      <c r="B129" s="21" t="s">
        <v>88</v>
      </c>
      <c r="C129" s="3"/>
      <c r="D129" s="1"/>
      <c r="E129" s="2"/>
      <c r="F129" s="1"/>
      <c r="G129" s="26" t="s">
        <v>1419</v>
      </c>
      <c r="H129" s="1"/>
      <c r="I129" s="22"/>
      <c r="J129" s="2"/>
      <c r="K129" s="32"/>
      <c r="L129" s="32"/>
      <c r="M129" s="32"/>
      <c r="N129" s="2"/>
      <c r="O129" s="2"/>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1"/>
    </row>
    <row r="130" spans="1:51" ht="42.75" customHeight="1">
      <c r="A130" s="4">
        <v>125</v>
      </c>
      <c r="B130" s="21" t="s">
        <v>88</v>
      </c>
      <c r="C130" s="3"/>
      <c r="D130" s="1"/>
      <c r="E130" s="2"/>
      <c r="F130" s="1"/>
      <c r="G130" s="26" t="s">
        <v>1363</v>
      </c>
      <c r="H130" s="1"/>
      <c r="I130" s="22"/>
      <c r="J130" s="2"/>
      <c r="K130" s="32"/>
      <c r="L130" s="32"/>
      <c r="M130" s="32"/>
      <c r="N130" s="2"/>
      <c r="O130" s="2"/>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1"/>
    </row>
    <row r="131" spans="1:51" ht="18.75" customHeight="1">
      <c r="A131" s="4">
        <v>126</v>
      </c>
      <c r="B131" s="21" t="s">
        <v>88</v>
      </c>
      <c r="C131" s="3"/>
      <c r="D131" s="1"/>
      <c r="E131" s="2"/>
      <c r="F131" s="1"/>
      <c r="G131" s="26" t="s">
        <v>1420</v>
      </c>
      <c r="H131" s="1"/>
      <c r="I131" s="22"/>
      <c r="J131" s="2"/>
      <c r="K131" s="32"/>
      <c r="L131" s="32"/>
      <c r="M131" s="32"/>
      <c r="N131" s="2"/>
      <c r="O131" s="2"/>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1"/>
    </row>
    <row r="132" spans="1:51" ht="18.75" customHeight="1">
      <c r="A132" s="4">
        <v>127</v>
      </c>
      <c r="B132" s="11" t="s">
        <v>88</v>
      </c>
      <c r="C132" s="12"/>
      <c r="D132" s="12" t="s">
        <v>1421</v>
      </c>
      <c r="E132" s="13"/>
      <c r="F132" s="14"/>
      <c r="G132" s="15"/>
      <c r="H132" s="12" t="s">
        <v>1226</v>
      </c>
      <c r="I132" s="18" t="s">
        <v>1422</v>
      </c>
      <c r="J132" s="13" t="s">
        <v>1367</v>
      </c>
      <c r="K132" s="33"/>
      <c r="L132" s="33"/>
      <c r="M132" s="33"/>
      <c r="N132" s="13" t="s">
        <v>1423</v>
      </c>
      <c r="O132" s="13" t="s">
        <v>428</v>
      </c>
      <c r="P132" s="17">
        <f>SUM(Q132:AX132)</f>
        <v>0</v>
      </c>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2"/>
    </row>
    <row r="133" spans="1:51" ht="18.75" customHeight="1">
      <c r="A133" s="4">
        <v>128</v>
      </c>
      <c r="B133" s="11" t="s">
        <v>88</v>
      </c>
      <c r="C133" s="12"/>
      <c r="D133" s="12" t="s">
        <v>1424</v>
      </c>
      <c r="E133" s="13"/>
      <c r="F133" s="14"/>
      <c r="G133" s="15"/>
      <c r="H133" s="12" t="s">
        <v>1226</v>
      </c>
      <c r="I133" s="18" t="s">
        <v>1425</v>
      </c>
      <c r="J133" s="13" t="s">
        <v>1367</v>
      </c>
      <c r="K133" s="33"/>
      <c r="L133" s="33"/>
      <c r="M133" s="33"/>
      <c r="N133" s="13" t="s">
        <v>1426</v>
      </c>
      <c r="O133" s="13" t="s">
        <v>428</v>
      </c>
      <c r="P133" s="17">
        <f>SUM(Q133:AX133)</f>
        <v>0</v>
      </c>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2"/>
    </row>
    <row r="134" spans="1:51" ht="18.75" customHeight="1">
      <c r="A134" s="4">
        <v>129</v>
      </c>
      <c r="B134" s="11" t="s">
        <v>88</v>
      </c>
      <c r="C134" s="12"/>
      <c r="D134" s="12" t="s">
        <v>1427</v>
      </c>
      <c r="E134" s="13"/>
      <c r="F134" s="14"/>
      <c r="G134" s="15"/>
      <c r="H134" s="12" t="s">
        <v>1226</v>
      </c>
      <c r="I134" s="18" t="s">
        <v>1428</v>
      </c>
      <c r="J134" s="13" t="s">
        <v>1367</v>
      </c>
      <c r="K134" s="33"/>
      <c r="L134" s="33"/>
      <c r="M134" s="33"/>
      <c r="N134" s="13" t="s">
        <v>1429</v>
      </c>
      <c r="O134" s="13" t="s">
        <v>428</v>
      </c>
      <c r="P134" s="17">
        <f>SUM(Q134:AX134)</f>
        <v>0</v>
      </c>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2"/>
    </row>
    <row r="135" spans="1:51" ht="18.75" customHeight="1">
      <c r="A135" s="4">
        <v>130</v>
      </c>
      <c r="B135" s="11" t="s">
        <v>88</v>
      </c>
      <c r="C135" s="12"/>
      <c r="D135" s="12" t="s">
        <v>1430</v>
      </c>
      <c r="E135" s="13"/>
      <c r="F135" s="14"/>
      <c r="G135" s="15"/>
      <c r="H135" s="12" t="s">
        <v>1226</v>
      </c>
      <c r="I135" s="18" t="s">
        <v>1431</v>
      </c>
      <c r="J135" s="13" t="s">
        <v>1367</v>
      </c>
      <c r="K135" s="33"/>
      <c r="L135" s="33"/>
      <c r="M135" s="33"/>
      <c r="N135" s="13" t="s">
        <v>1432</v>
      </c>
      <c r="O135" s="13" t="s">
        <v>428</v>
      </c>
      <c r="P135" s="17">
        <f>SUM(Q135:AX135)</f>
        <v>0</v>
      </c>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4"/>
    </row>
    <row r="136" spans="1:51" ht="18.75" customHeight="1">
      <c r="A136" s="4">
        <v>131</v>
      </c>
      <c r="B136" s="5" t="s">
        <v>88</v>
      </c>
      <c r="C136" s="6"/>
      <c r="D136" s="38" t="s">
        <v>1433</v>
      </c>
      <c r="E136" s="58"/>
      <c r="F136" s="38" t="s">
        <v>1434</v>
      </c>
      <c r="G136" s="60"/>
      <c r="H136" s="9"/>
      <c r="I136" s="7"/>
      <c r="J136" s="4"/>
      <c r="K136" s="31"/>
      <c r="L136" s="31"/>
      <c r="M136" s="31"/>
      <c r="N136" s="4"/>
      <c r="O136" s="4"/>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9"/>
    </row>
    <row r="137" spans="1:51" ht="30.75" customHeight="1">
      <c r="A137" s="4">
        <v>132</v>
      </c>
      <c r="B137" s="21" t="s">
        <v>88</v>
      </c>
      <c r="C137" s="3"/>
      <c r="D137" s="1"/>
      <c r="E137" s="2"/>
      <c r="F137" s="1"/>
      <c r="G137" s="26" t="s">
        <v>1386</v>
      </c>
      <c r="H137" s="1"/>
      <c r="I137" s="22"/>
      <c r="J137" s="2"/>
      <c r="K137" s="32"/>
      <c r="L137" s="32"/>
      <c r="M137" s="32"/>
      <c r="N137" s="2"/>
      <c r="O137" s="2"/>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1"/>
    </row>
    <row r="138" spans="1:51" ht="18.75" customHeight="1">
      <c r="A138" s="4">
        <v>133</v>
      </c>
      <c r="B138" s="21" t="s">
        <v>88</v>
      </c>
      <c r="C138" s="3"/>
      <c r="D138" s="1"/>
      <c r="E138" s="2"/>
      <c r="F138" s="1"/>
      <c r="G138" s="26" t="s">
        <v>1387</v>
      </c>
      <c r="H138" s="1"/>
      <c r="I138" s="22"/>
      <c r="J138" s="2"/>
      <c r="K138" s="32"/>
      <c r="L138" s="32"/>
      <c r="M138" s="32"/>
      <c r="N138" s="2"/>
      <c r="O138" s="2"/>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1"/>
    </row>
    <row r="139" spans="1:51" ht="42.75" customHeight="1">
      <c r="A139" s="4">
        <v>134</v>
      </c>
      <c r="B139" s="21" t="s">
        <v>88</v>
      </c>
      <c r="C139" s="3"/>
      <c r="D139" s="1"/>
      <c r="E139" s="2"/>
      <c r="F139" s="1"/>
      <c r="G139" s="26" t="s">
        <v>1363</v>
      </c>
      <c r="H139" s="1"/>
      <c r="I139" s="22"/>
      <c r="J139" s="2"/>
      <c r="K139" s="32"/>
      <c r="L139" s="32"/>
      <c r="M139" s="32"/>
      <c r="N139" s="2"/>
      <c r="O139" s="2"/>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1"/>
    </row>
    <row r="140" spans="1:51" ht="18.75" customHeight="1">
      <c r="A140" s="4">
        <v>135</v>
      </c>
      <c r="B140" s="21" t="s">
        <v>88</v>
      </c>
      <c r="C140" s="3"/>
      <c r="D140" s="1"/>
      <c r="E140" s="2"/>
      <c r="F140" s="1"/>
      <c r="G140" s="26" t="s">
        <v>1388</v>
      </c>
      <c r="H140" s="1"/>
      <c r="I140" s="22"/>
      <c r="J140" s="2"/>
      <c r="K140" s="32"/>
      <c r="L140" s="32"/>
      <c r="M140" s="32"/>
      <c r="N140" s="2"/>
      <c r="O140" s="2"/>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1"/>
    </row>
    <row r="141" spans="1:51" ht="18.75" customHeight="1">
      <c r="A141" s="4">
        <v>136</v>
      </c>
      <c r="B141" s="11" t="s">
        <v>88</v>
      </c>
      <c r="C141" s="12"/>
      <c r="D141" s="12" t="s">
        <v>1435</v>
      </c>
      <c r="E141" s="13"/>
      <c r="F141" s="14"/>
      <c r="G141" s="15"/>
      <c r="H141" s="12" t="s">
        <v>1226</v>
      </c>
      <c r="I141" s="18" t="s">
        <v>1436</v>
      </c>
      <c r="J141" s="13" t="s">
        <v>1367</v>
      </c>
      <c r="K141" s="33"/>
      <c r="L141" s="33"/>
      <c r="M141" s="33"/>
      <c r="N141" s="13" t="s">
        <v>1437</v>
      </c>
      <c r="O141" s="13" t="s">
        <v>428</v>
      </c>
      <c r="P141" s="17">
        <f>SUM(Q141:AX141)</f>
        <v>0</v>
      </c>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2"/>
    </row>
    <row r="142" spans="1:51" ht="18.75" customHeight="1">
      <c r="A142" s="4">
        <v>137</v>
      </c>
      <c r="B142" s="11" t="s">
        <v>88</v>
      </c>
      <c r="C142" s="12"/>
      <c r="D142" s="12" t="s">
        <v>1438</v>
      </c>
      <c r="E142" s="13"/>
      <c r="F142" s="14"/>
      <c r="G142" s="15"/>
      <c r="H142" s="12" t="s">
        <v>1226</v>
      </c>
      <c r="I142" s="18" t="s">
        <v>1439</v>
      </c>
      <c r="J142" s="13" t="s">
        <v>1367</v>
      </c>
      <c r="K142" s="33"/>
      <c r="L142" s="33"/>
      <c r="M142" s="33"/>
      <c r="N142" s="13" t="s">
        <v>1440</v>
      </c>
      <c r="O142" s="13" t="s">
        <v>428</v>
      </c>
      <c r="P142" s="17">
        <f>SUM(Q142:AX142)</f>
        <v>0</v>
      </c>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2"/>
    </row>
    <row r="143" spans="1:51" ht="18.75" customHeight="1">
      <c r="A143" s="4">
        <v>138</v>
      </c>
      <c r="B143" s="11" t="s">
        <v>88</v>
      </c>
      <c r="C143" s="12"/>
      <c r="D143" s="12" t="s">
        <v>1441</v>
      </c>
      <c r="E143" s="13"/>
      <c r="F143" s="14"/>
      <c r="G143" s="15"/>
      <c r="H143" s="12" t="s">
        <v>1226</v>
      </c>
      <c r="I143" s="18" t="s">
        <v>1442</v>
      </c>
      <c r="J143" s="13" t="s">
        <v>1367</v>
      </c>
      <c r="K143" s="33"/>
      <c r="L143" s="33"/>
      <c r="M143" s="33"/>
      <c r="N143" s="13" t="s">
        <v>1443</v>
      </c>
      <c r="O143" s="13" t="s">
        <v>428</v>
      </c>
      <c r="P143" s="17">
        <f>SUM(Q143:AX143)</f>
        <v>0</v>
      </c>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2"/>
    </row>
    <row r="144" spans="1:51" ht="18.75" customHeight="1">
      <c r="A144" s="4">
        <v>139</v>
      </c>
      <c r="B144" s="11" t="s">
        <v>88</v>
      </c>
      <c r="C144" s="12"/>
      <c r="D144" s="12" t="s">
        <v>1444</v>
      </c>
      <c r="E144" s="13"/>
      <c r="F144" s="14"/>
      <c r="G144" s="15"/>
      <c r="H144" s="12" t="s">
        <v>1226</v>
      </c>
      <c r="I144" s="18" t="s">
        <v>1445</v>
      </c>
      <c r="J144" s="13" t="s">
        <v>1367</v>
      </c>
      <c r="K144" s="33"/>
      <c r="L144" s="33"/>
      <c r="M144" s="33"/>
      <c r="N144" s="13" t="s">
        <v>1446</v>
      </c>
      <c r="O144" s="13" t="s">
        <v>428</v>
      </c>
      <c r="P144" s="17">
        <f>SUM(Q144:AX144)</f>
        <v>0</v>
      </c>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2"/>
    </row>
    <row r="145" spans="1:51" ht="18.75" customHeight="1">
      <c r="A145" s="4">
        <v>140</v>
      </c>
      <c r="B145" s="11" t="s">
        <v>88</v>
      </c>
      <c r="C145" s="12"/>
      <c r="D145" s="12" t="s">
        <v>1447</v>
      </c>
      <c r="E145" s="13"/>
      <c r="F145" s="14"/>
      <c r="G145" s="15"/>
      <c r="H145" s="12" t="s">
        <v>1226</v>
      </c>
      <c r="I145" s="18" t="s">
        <v>1448</v>
      </c>
      <c r="J145" s="13" t="s">
        <v>1367</v>
      </c>
      <c r="K145" s="33"/>
      <c r="L145" s="33"/>
      <c r="M145" s="33"/>
      <c r="N145" s="13" t="s">
        <v>1449</v>
      </c>
      <c r="O145" s="13" t="s">
        <v>428</v>
      </c>
      <c r="P145" s="17">
        <f>SUM(Q145:AX145)</f>
        <v>0</v>
      </c>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4"/>
    </row>
    <row r="146" spans="1:51" ht="18.75" customHeight="1">
      <c r="A146" s="4">
        <v>141</v>
      </c>
      <c r="B146" s="5" t="s">
        <v>88</v>
      </c>
      <c r="C146" s="6"/>
      <c r="D146" s="38" t="s">
        <v>1450</v>
      </c>
      <c r="E146" s="58"/>
      <c r="F146" s="38" t="s">
        <v>1451</v>
      </c>
      <c r="G146" s="60"/>
      <c r="H146" s="9"/>
      <c r="I146" s="7"/>
      <c r="J146" s="4"/>
      <c r="K146" s="31"/>
      <c r="L146" s="31"/>
      <c r="M146" s="31"/>
      <c r="N146" s="4"/>
      <c r="O146" s="4"/>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9"/>
    </row>
    <row r="147" spans="1:51" ht="18.75" customHeight="1">
      <c r="A147" s="4">
        <v>142</v>
      </c>
      <c r="B147" s="21" t="s">
        <v>88</v>
      </c>
      <c r="C147" s="3"/>
      <c r="D147" s="1"/>
      <c r="E147" s="2"/>
      <c r="F147" s="1"/>
      <c r="G147" s="26" t="s">
        <v>1452</v>
      </c>
      <c r="H147" s="1"/>
      <c r="I147" s="22"/>
      <c r="J147" s="2"/>
      <c r="K147" s="32"/>
      <c r="L147" s="32"/>
      <c r="M147" s="32"/>
      <c r="N147" s="2"/>
      <c r="O147" s="2"/>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1"/>
    </row>
    <row r="148" spans="1:51" ht="18.75" customHeight="1">
      <c r="A148" s="4">
        <v>143</v>
      </c>
      <c r="B148" s="11" t="s">
        <v>88</v>
      </c>
      <c r="C148" s="12"/>
      <c r="D148" s="12" t="s">
        <v>1453</v>
      </c>
      <c r="E148" s="13"/>
      <c r="F148" s="14"/>
      <c r="G148" s="18" t="s">
        <v>1408</v>
      </c>
      <c r="H148" s="12" t="s">
        <v>1226</v>
      </c>
      <c r="I148" s="18" t="s">
        <v>1454</v>
      </c>
      <c r="J148" s="13" t="s">
        <v>1367</v>
      </c>
      <c r="K148" s="33"/>
      <c r="L148" s="33"/>
      <c r="M148" s="33"/>
      <c r="N148" s="13" t="s">
        <v>1455</v>
      </c>
      <c r="O148" s="13" t="s">
        <v>109</v>
      </c>
      <c r="P148" s="17">
        <f>SUM(Q148:AX148)</f>
        <v>0</v>
      </c>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2"/>
    </row>
    <row r="149" spans="1:51" ht="30.75" customHeight="1">
      <c r="A149" s="4">
        <v>144</v>
      </c>
      <c r="B149" s="11" t="s">
        <v>88</v>
      </c>
      <c r="C149" s="12"/>
      <c r="D149" s="12" t="s">
        <v>1456</v>
      </c>
      <c r="E149" s="13"/>
      <c r="F149" s="14"/>
      <c r="G149" s="18" t="s">
        <v>1413</v>
      </c>
      <c r="H149" s="12" t="s">
        <v>1226</v>
      </c>
      <c r="I149" s="18" t="s">
        <v>1457</v>
      </c>
      <c r="J149" s="13" t="s">
        <v>1367</v>
      </c>
      <c r="K149" s="33"/>
      <c r="L149" s="33"/>
      <c r="M149" s="33"/>
      <c r="N149" s="13" t="s">
        <v>1458</v>
      </c>
      <c r="O149" s="13" t="s">
        <v>109</v>
      </c>
      <c r="P149" s="17">
        <f>SUM(Q149:AX149)</f>
        <v>0</v>
      </c>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2"/>
    </row>
    <row r="150" spans="1:51" ht="18.75" customHeight="1">
      <c r="A150" s="4">
        <v>145</v>
      </c>
      <c r="B150" s="5" t="s">
        <v>88</v>
      </c>
      <c r="C150" s="6"/>
      <c r="D150" s="6" t="s">
        <v>1459</v>
      </c>
      <c r="E150" s="4"/>
      <c r="F150" s="6" t="s">
        <v>1460</v>
      </c>
      <c r="G150" s="7"/>
      <c r="H150" s="9"/>
      <c r="I150" s="7"/>
      <c r="J150" s="4"/>
      <c r="K150" s="31"/>
      <c r="L150" s="31"/>
      <c r="M150" s="31"/>
      <c r="N150" s="4"/>
      <c r="O150" s="4"/>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9"/>
    </row>
    <row r="151" spans="1:51" ht="18.75" customHeight="1">
      <c r="A151" s="4">
        <v>146</v>
      </c>
      <c r="B151" s="11" t="s">
        <v>88</v>
      </c>
      <c r="C151" s="12"/>
      <c r="D151" s="12" t="s">
        <v>1461</v>
      </c>
      <c r="E151" s="13"/>
      <c r="F151" s="14"/>
      <c r="G151" s="18" t="s">
        <v>1462</v>
      </c>
      <c r="H151" s="12" t="s">
        <v>1226</v>
      </c>
      <c r="I151" s="18" t="s">
        <v>1463</v>
      </c>
      <c r="J151" s="13" t="s">
        <v>1367</v>
      </c>
      <c r="K151" s="33"/>
      <c r="L151" s="33"/>
      <c r="M151" s="33"/>
      <c r="N151" s="13" t="s">
        <v>1464</v>
      </c>
      <c r="O151" s="13" t="s">
        <v>428</v>
      </c>
      <c r="P151" s="17">
        <f>SUM(Q151:AX151)</f>
        <v>0</v>
      </c>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4"/>
    </row>
    <row r="152" spans="1:51" ht="18.75" customHeight="1">
      <c r="A152" s="4">
        <v>141</v>
      </c>
      <c r="B152" s="5" t="s">
        <v>88</v>
      </c>
      <c r="C152" s="6"/>
      <c r="D152" s="38" t="s">
        <v>1465</v>
      </c>
      <c r="E152" s="58"/>
      <c r="F152" s="38" t="s">
        <v>1466</v>
      </c>
      <c r="G152" s="60"/>
      <c r="H152" s="9"/>
      <c r="I152" s="7"/>
      <c r="J152" s="4"/>
      <c r="K152" s="31"/>
      <c r="L152" s="31"/>
      <c r="M152" s="31"/>
      <c r="N152" s="4"/>
      <c r="O152" s="4"/>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9"/>
    </row>
    <row r="153" spans="1:51">
      <c r="A153" s="4">
        <v>142</v>
      </c>
      <c r="B153" s="21" t="s">
        <v>88</v>
      </c>
      <c r="C153" s="3"/>
      <c r="D153" s="1"/>
      <c r="E153" s="2"/>
      <c r="F153" s="1"/>
      <c r="G153" s="79"/>
      <c r="H153" s="1"/>
      <c r="I153" s="22"/>
      <c r="J153" s="2"/>
      <c r="K153" s="32"/>
      <c r="L153" s="32"/>
      <c r="M153" s="32"/>
      <c r="N153" s="2"/>
      <c r="O153" s="2"/>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1"/>
    </row>
    <row r="154" spans="1:51" ht="58.15" customHeight="1">
      <c r="A154" s="4">
        <v>143</v>
      </c>
      <c r="B154" s="11" t="s">
        <v>88</v>
      </c>
      <c r="C154" s="12"/>
      <c r="D154" s="12" t="s">
        <v>1467</v>
      </c>
      <c r="E154" s="13"/>
      <c r="F154" s="14"/>
      <c r="G154" s="80" t="s">
        <v>1468</v>
      </c>
      <c r="H154" s="12" t="s">
        <v>1226</v>
      </c>
      <c r="I154" s="80" t="s">
        <v>1468</v>
      </c>
      <c r="J154" s="13" t="s">
        <v>1367</v>
      </c>
      <c r="K154" s="33"/>
      <c r="L154" s="33"/>
      <c r="M154" s="33"/>
      <c r="N154" s="13" t="s">
        <v>1455</v>
      </c>
      <c r="O154" s="13" t="s">
        <v>428</v>
      </c>
      <c r="P154" s="17">
        <f>SUM(Q154:AX154)</f>
        <v>8</v>
      </c>
      <c r="Q154" s="17"/>
      <c r="R154" s="17"/>
      <c r="S154" s="17"/>
      <c r="T154" s="17"/>
      <c r="U154" s="17"/>
      <c r="V154" s="17"/>
      <c r="W154" s="17">
        <v>2</v>
      </c>
      <c r="X154" s="17">
        <v>2</v>
      </c>
      <c r="Y154" s="17"/>
      <c r="Z154" s="17"/>
      <c r="AA154" s="17"/>
      <c r="AB154" s="17"/>
      <c r="AC154" s="17"/>
      <c r="AD154" s="17"/>
      <c r="AE154" s="17"/>
      <c r="AF154" s="17"/>
      <c r="AG154" s="17">
        <v>2</v>
      </c>
      <c r="AH154" s="17">
        <v>2</v>
      </c>
      <c r="AI154" s="17"/>
      <c r="AJ154" s="17"/>
      <c r="AK154" s="17"/>
      <c r="AL154" s="17"/>
      <c r="AM154" s="17"/>
      <c r="AN154" s="17"/>
      <c r="AO154" s="17"/>
      <c r="AP154" s="17"/>
      <c r="AQ154" s="17"/>
      <c r="AR154" s="17"/>
      <c r="AS154" s="17"/>
      <c r="AT154" s="17"/>
      <c r="AU154" s="17"/>
      <c r="AV154" s="17"/>
      <c r="AW154" s="17"/>
      <c r="AX154" s="17"/>
      <c r="AY154" s="12"/>
    </row>
  </sheetData>
  <autoFilter ref="A5:AJ151" xr:uid="{00000000-0009-0000-0000-000005000000}"/>
  <mergeCells count="7">
    <mergeCell ref="A1:AY1"/>
    <mergeCell ref="P3:P5"/>
    <mergeCell ref="AY3:AY5"/>
    <mergeCell ref="Q3:AC3"/>
    <mergeCell ref="A2:AY2"/>
    <mergeCell ref="O3:O5"/>
    <mergeCell ref="AD3:AX3"/>
  </mergeCells>
  <pageMargins left="1" right="1" top="1" bottom="1" header="0.3" footer="0.3"/>
  <pageSetup paperSize="0" orientation="portrait"/>
  <headerFooter>
    <oddHeader>&amp;L&amp;"Calibri"&amp;8&amp;K000000 대외비(Restricted)&amp;1#_x000D_</oddHead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AZ287"/>
  <sheetViews>
    <sheetView tabSelected="1" zoomScale="70" zoomScaleNormal="70" workbookViewId="0">
      <pane xSplit="15" ySplit="5" topLeftCell="AN35" activePane="bottomRight" state="frozen"/>
      <selection pane="bottomRight" activeCell="F218" sqref="F218:F229"/>
      <selection pane="bottomLeft" activeCell="A6" sqref="A6"/>
      <selection pane="topRight" activeCell="P1" sqref="P1"/>
    </sheetView>
  </sheetViews>
  <sheetFormatPr defaultRowHeight="14.45" outlineLevelCol="1"/>
  <cols>
    <col min="1" max="1" width="5.7109375" customWidth="1"/>
    <col min="2" max="2" width="11.28515625" customWidth="1"/>
    <col min="3" max="3" width="21.28515625" customWidth="1" outlineLevel="1"/>
    <col min="4" max="4" width="9.42578125" bestFit="1" customWidth="1"/>
    <col min="5" max="5" width="45.28515625" customWidth="1"/>
    <col min="6" max="6" width="35.28515625" customWidth="1"/>
    <col min="7" max="8" width="14.28515625" hidden="1" customWidth="1" outlineLevel="1"/>
    <col min="9" max="9" width="18.28515625" hidden="1" customWidth="1" outlineLevel="1"/>
    <col min="10" max="12" width="14.28515625" hidden="1" customWidth="1" outlineLevel="1"/>
    <col min="13" max="13" width="21.28515625" hidden="1" customWidth="1" outlineLevel="1"/>
    <col min="14" max="14" width="8.7109375" customWidth="1" collapsed="1"/>
    <col min="15" max="15" width="11.28515625" customWidth="1"/>
    <col min="16" max="49" width="13" customWidth="1"/>
    <col min="50" max="50" width="21.28515625" customWidth="1"/>
  </cols>
  <sheetData>
    <row r="1" spans="1:52" ht="18.75" customHeight="1">
      <c r="A1" s="115" t="s">
        <v>7</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row>
    <row r="2" spans="1:52" ht="13.5" customHeight="1">
      <c r="A2" s="116" t="s">
        <v>8</v>
      </c>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row>
    <row r="3" spans="1:52" ht="23.25" customHeight="1">
      <c r="A3" s="104" t="s">
        <v>9</v>
      </c>
      <c r="B3" s="104" t="s">
        <v>10</v>
      </c>
      <c r="C3" s="104" t="s">
        <v>11</v>
      </c>
      <c r="D3" s="104" t="s">
        <v>12</v>
      </c>
      <c r="E3" s="104" t="s">
        <v>14</v>
      </c>
      <c r="F3" s="104" t="s">
        <v>15</v>
      </c>
      <c r="H3" s="104" t="s">
        <v>1469</v>
      </c>
      <c r="I3" s="104" t="s">
        <v>1470</v>
      </c>
      <c r="J3" s="104" t="s">
        <v>1471</v>
      </c>
      <c r="K3" s="104" t="s">
        <v>18</v>
      </c>
      <c r="L3" s="104" t="s">
        <v>19</v>
      </c>
      <c r="M3" s="104" t="s">
        <v>13</v>
      </c>
      <c r="N3" s="114" t="s">
        <v>24</v>
      </c>
      <c r="O3" s="114" t="s">
        <v>25</v>
      </c>
      <c r="P3" s="113" t="s">
        <v>26</v>
      </c>
      <c r="Q3" s="124"/>
      <c r="R3" s="124"/>
      <c r="S3" s="124"/>
      <c r="T3" s="124"/>
      <c r="U3" s="124"/>
      <c r="V3" s="124"/>
      <c r="W3" s="124"/>
      <c r="X3" s="124"/>
      <c r="Y3" s="124"/>
      <c r="Z3" s="124"/>
      <c r="AA3" s="124"/>
      <c r="AB3" s="125"/>
      <c r="AC3" s="113" t="s">
        <v>27</v>
      </c>
      <c r="AD3" s="124"/>
      <c r="AE3" s="124"/>
      <c r="AF3" s="124"/>
      <c r="AG3" s="124"/>
      <c r="AH3" s="124"/>
      <c r="AI3" s="124"/>
      <c r="AJ3" s="124"/>
      <c r="AK3" s="124"/>
      <c r="AL3" s="124"/>
      <c r="AM3" s="124"/>
      <c r="AN3" s="124"/>
      <c r="AO3" s="124"/>
      <c r="AP3" s="124"/>
      <c r="AQ3" s="124"/>
      <c r="AR3" s="124"/>
      <c r="AS3" s="124"/>
      <c r="AT3" s="124"/>
      <c r="AU3" s="124"/>
      <c r="AV3" s="124"/>
      <c r="AW3" s="125"/>
      <c r="AX3" s="114" t="s">
        <v>28</v>
      </c>
    </row>
    <row r="4" spans="1:52" ht="23.25" customHeight="1">
      <c r="F4" s="104" t="s">
        <v>29</v>
      </c>
      <c r="G4" s="104" t="s">
        <v>30</v>
      </c>
      <c r="N4" s="126"/>
      <c r="O4" s="126"/>
      <c r="P4" s="103" t="s">
        <v>31</v>
      </c>
      <c r="Q4" s="103" t="s">
        <v>32</v>
      </c>
      <c r="R4" s="103" t="s">
        <v>33</v>
      </c>
      <c r="S4" s="103" t="s">
        <v>34</v>
      </c>
      <c r="T4" s="103" t="s">
        <v>35</v>
      </c>
      <c r="U4" s="103" t="s">
        <v>36</v>
      </c>
      <c r="V4" s="104" t="s">
        <v>37</v>
      </c>
      <c r="W4" s="104" t="s">
        <v>38</v>
      </c>
      <c r="X4" s="103" t="s">
        <v>39</v>
      </c>
      <c r="Y4" s="103" t="s">
        <v>40</v>
      </c>
      <c r="Z4" s="104" t="s">
        <v>41</v>
      </c>
      <c r="AA4" s="103" t="s">
        <v>42</v>
      </c>
      <c r="AB4" s="103" t="s">
        <v>43</v>
      </c>
      <c r="AC4" s="104" t="s">
        <v>44</v>
      </c>
      <c r="AD4" s="104" t="s">
        <v>45</v>
      </c>
      <c r="AE4" s="103" t="s">
        <v>46</v>
      </c>
      <c r="AF4" s="104" t="s">
        <v>47</v>
      </c>
      <c r="AG4" s="104" t="s">
        <v>48</v>
      </c>
      <c r="AH4" s="103" t="s">
        <v>49</v>
      </c>
      <c r="AI4" s="103" t="s">
        <v>50</v>
      </c>
      <c r="AJ4" s="103" t="s">
        <v>51</v>
      </c>
      <c r="AK4" s="103" t="s">
        <v>52</v>
      </c>
      <c r="AL4" s="103" t="s">
        <v>53</v>
      </c>
      <c r="AM4" s="103" t="s">
        <v>54</v>
      </c>
      <c r="AN4" s="103" t="s">
        <v>55</v>
      </c>
      <c r="AO4" s="103" t="s">
        <v>56</v>
      </c>
      <c r="AP4" s="103" t="s">
        <v>57</v>
      </c>
      <c r="AQ4" s="103" t="s">
        <v>58</v>
      </c>
      <c r="AR4" s="103" t="s">
        <v>59</v>
      </c>
      <c r="AS4" s="103" t="s">
        <v>60</v>
      </c>
      <c r="AT4" s="103" t="s">
        <v>61</v>
      </c>
      <c r="AU4" s="103" t="s">
        <v>62</v>
      </c>
      <c r="AV4" s="103" t="s">
        <v>63</v>
      </c>
      <c r="AW4" s="105" t="s">
        <v>64</v>
      </c>
      <c r="AX4" s="126"/>
    </row>
    <row r="5" spans="1:52" ht="23.25" customHeight="1">
      <c r="N5" s="127"/>
      <c r="O5" s="127"/>
      <c r="P5" s="104" t="s">
        <v>65</v>
      </c>
      <c r="Q5" s="104" t="s">
        <v>65</v>
      </c>
      <c r="R5" s="104" t="s">
        <v>66</v>
      </c>
      <c r="S5" s="103" t="s">
        <v>66</v>
      </c>
      <c r="T5" s="103" t="s">
        <v>66</v>
      </c>
      <c r="U5" s="103" t="s">
        <v>66</v>
      </c>
      <c r="V5" s="103" t="s">
        <v>67</v>
      </c>
      <c r="W5" s="104" t="s">
        <v>68</v>
      </c>
      <c r="X5" s="103" t="s">
        <v>69</v>
      </c>
      <c r="Y5" s="103" t="s">
        <v>70</v>
      </c>
      <c r="Z5" s="103" t="s">
        <v>71</v>
      </c>
      <c r="AA5" s="103" t="s">
        <v>72</v>
      </c>
      <c r="AB5" s="103" t="s">
        <v>73</v>
      </c>
      <c r="AC5" s="104" t="s">
        <v>74</v>
      </c>
      <c r="AD5" s="104" t="s">
        <v>75</v>
      </c>
      <c r="AE5" s="103" t="s">
        <v>1472</v>
      </c>
      <c r="AF5" s="104" t="s">
        <v>77</v>
      </c>
      <c r="AG5" s="104" t="s">
        <v>78</v>
      </c>
      <c r="AH5" s="103" t="s">
        <v>79</v>
      </c>
      <c r="AI5" s="103" t="s">
        <v>80</v>
      </c>
      <c r="AJ5" s="103" t="s">
        <v>81</v>
      </c>
      <c r="AK5" s="103" t="s">
        <v>82</v>
      </c>
      <c r="AL5" s="103" t="s">
        <v>83</v>
      </c>
      <c r="AM5" s="103" t="s">
        <v>84</v>
      </c>
      <c r="AN5" s="103" t="s">
        <v>72</v>
      </c>
      <c r="AO5" s="103" t="s">
        <v>85</v>
      </c>
      <c r="AP5" s="103" t="s">
        <v>86</v>
      </c>
      <c r="AQ5" s="103" t="s">
        <v>87</v>
      </c>
      <c r="AR5" s="103" t="s">
        <v>86</v>
      </c>
      <c r="AS5" s="103" t="s">
        <v>87</v>
      </c>
      <c r="AT5" s="103" t="s">
        <v>87</v>
      </c>
      <c r="AU5" s="103" t="s">
        <v>86</v>
      </c>
      <c r="AV5" s="103" t="s">
        <v>87</v>
      </c>
      <c r="AW5" s="103" t="s">
        <v>87</v>
      </c>
      <c r="AX5" s="127"/>
    </row>
    <row r="6" spans="1:52" ht="18.75" customHeight="1">
      <c r="A6" s="4">
        <v>1</v>
      </c>
      <c r="B6" s="5" t="s">
        <v>88</v>
      </c>
      <c r="C6" s="6"/>
      <c r="D6" s="6" t="s">
        <v>1473</v>
      </c>
      <c r="E6" s="6" t="s">
        <v>1474</v>
      </c>
      <c r="F6" s="7"/>
      <c r="G6" s="9"/>
      <c r="H6" s="9"/>
      <c r="I6" s="9"/>
      <c r="J6" s="9"/>
      <c r="K6" s="20">
        <v>0</v>
      </c>
      <c r="L6" s="4"/>
      <c r="M6" s="9"/>
      <c r="N6" s="9"/>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9"/>
    </row>
    <row r="7" spans="1:52" ht="18.75" customHeight="1">
      <c r="A7" s="4">
        <v>2</v>
      </c>
      <c r="B7" s="5" t="s">
        <v>88</v>
      </c>
      <c r="C7" s="6"/>
      <c r="D7" s="6" t="s">
        <v>1475</v>
      </c>
      <c r="E7" s="6" t="s">
        <v>1476</v>
      </c>
      <c r="F7" s="7"/>
      <c r="G7" s="9"/>
      <c r="H7" s="9"/>
      <c r="I7" s="9"/>
      <c r="J7" s="9"/>
      <c r="K7" s="20">
        <v>0</v>
      </c>
      <c r="L7" s="4"/>
      <c r="M7" s="9"/>
      <c r="N7" s="9"/>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9"/>
    </row>
    <row r="8" spans="1:52" ht="18.75" customHeight="1">
      <c r="A8" s="4">
        <v>3</v>
      </c>
      <c r="B8" s="5" t="s">
        <v>88</v>
      </c>
      <c r="C8" s="6"/>
      <c r="D8" s="35" t="s">
        <v>1477</v>
      </c>
      <c r="E8" s="35" t="s">
        <v>1478</v>
      </c>
      <c r="F8" s="7"/>
      <c r="G8" s="9"/>
      <c r="H8" s="9"/>
      <c r="I8" s="9"/>
      <c r="J8" s="9"/>
      <c r="K8" s="20">
        <v>0</v>
      </c>
      <c r="L8" s="4"/>
      <c r="M8" s="9"/>
      <c r="N8" s="9"/>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9"/>
    </row>
    <row r="9" spans="1:52" ht="18.75" customHeight="1">
      <c r="A9" s="4">
        <v>4</v>
      </c>
      <c r="B9" s="5" t="s">
        <v>88</v>
      </c>
      <c r="C9" s="6"/>
      <c r="D9" s="38" t="s">
        <v>1479</v>
      </c>
      <c r="E9" s="38" t="s">
        <v>1480</v>
      </c>
      <c r="F9" s="7"/>
      <c r="G9" s="9"/>
      <c r="H9" s="9"/>
      <c r="I9" s="9"/>
      <c r="J9" s="9"/>
      <c r="K9" s="20">
        <v>0</v>
      </c>
      <c r="L9" s="4"/>
      <c r="M9" s="9"/>
      <c r="N9" s="9"/>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9"/>
    </row>
    <row r="10" spans="1:52" ht="18.75" customHeight="1">
      <c r="A10" s="4">
        <v>5</v>
      </c>
      <c r="B10" s="11" t="s">
        <v>88</v>
      </c>
      <c r="C10" s="12"/>
      <c r="D10" s="12" t="s">
        <v>1481</v>
      </c>
      <c r="E10" s="12" t="s">
        <v>1482</v>
      </c>
      <c r="F10" s="18" t="s">
        <v>1483</v>
      </c>
      <c r="G10" s="34" t="s">
        <v>552</v>
      </c>
      <c r="H10" s="12" t="s">
        <v>1481</v>
      </c>
      <c r="I10" s="12" t="s">
        <v>1484</v>
      </c>
      <c r="J10" s="14"/>
      <c r="K10" s="27">
        <v>0</v>
      </c>
      <c r="L10" s="10"/>
      <c r="M10" s="12" t="s">
        <v>1485</v>
      </c>
      <c r="N10" s="12" t="s">
        <v>1486</v>
      </c>
      <c r="O10" s="8">
        <f t="shared" ref="O10:O73" si="0">SUM(P10:AW10)</f>
        <v>8</v>
      </c>
      <c r="P10" s="17"/>
      <c r="Q10" s="17"/>
      <c r="R10" s="17"/>
      <c r="S10" s="17"/>
      <c r="T10" s="17"/>
      <c r="U10" s="17"/>
      <c r="V10" s="17"/>
      <c r="W10" s="17">
        <v>2</v>
      </c>
      <c r="X10" s="17"/>
      <c r="Y10" s="17"/>
      <c r="Z10" s="17"/>
      <c r="AA10" s="17"/>
      <c r="AB10" s="17"/>
      <c r="AC10" s="17"/>
      <c r="AD10" s="17"/>
      <c r="AE10" s="17"/>
      <c r="AF10" s="17"/>
      <c r="AG10" s="17">
        <v>2</v>
      </c>
      <c r="AH10" s="17"/>
      <c r="AI10" s="17"/>
      <c r="AJ10" s="17"/>
      <c r="AK10" s="17"/>
      <c r="AL10" s="17"/>
      <c r="AM10" s="17"/>
      <c r="AN10" s="17"/>
      <c r="AO10" s="17"/>
      <c r="AP10" s="17">
        <v>2</v>
      </c>
      <c r="AQ10" s="17"/>
      <c r="AR10" s="17">
        <v>2</v>
      </c>
      <c r="AS10" s="17"/>
      <c r="AT10" s="17"/>
      <c r="AU10" s="17"/>
      <c r="AV10" s="17"/>
      <c r="AW10" s="17"/>
      <c r="AX10" s="16"/>
      <c r="AZ10" t="s">
        <v>1487</v>
      </c>
    </row>
    <row r="11" spans="1:52" ht="48" customHeight="1">
      <c r="A11" s="4">
        <v>6</v>
      </c>
      <c r="B11" s="11" t="s">
        <v>88</v>
      </c>
      <c r="C11" s="12"/>
      <c r="D11" s="12" t="s">
        <v>1488</v>
      </c>
      <c r="E11" s="12" t="s">
        <v>1489</v>
      </c>
      <c r="F11" s="18" t="s">
        <v>1490</v>
      </c>
      <c r="G11" s="34" t="s">
        <v>552</v>
      </c>
      <c r="H11" s="12" t="s">
        <v>1488</v>
      </c>
      <c r="I11" s="12" t="s">
        <v>1491</v>
      </c>
      <c r="J11" s="14"/>
      <c r="K11" s="27">
        <v>0</v>
      </c>
      <c r="L11" s="10"/>
      <c r="M11" s="12" t="s">
        <v>1485</v>
      </c>
      <c r="N11" s="12" t="s">
        <v>1486</v>
      </c>
      <c r="O11" s="8">
        <f t="shared" si="0"/>
        <v>3</v>
      </c>
      <c r="P11" s="17"/>
      <c r="Q11" s="17"/>
      <c r="R11" s="17"/>
      <c r="S11" s="17"/>
      <c r="T11" s="17"/>
      <c r="U11" s="17"/>
      <c r="V11" s="17">
        <v>1</v>
      </c>
      <c r="W11" s="17"/>
      <c r="X11" s="17"/>
      <c r="Y11" s="17"/>
      <c r="Z11" s="17">
        <v>1</v>
      </c>
      <c r="AA11" s="17"/>
      <c r="AB11" s="17"/>
      <c r="AC11" s="17"/>
      <c r="AD11" s="17"/>
      <c r="AE11" s="17"/>
      <c r="AF11" s="17">
        <v>1</v>
      </c>
      <c r="AG11" s="17"/>
      <c r="AH11" s="17"/>
      <c r="AI11" s="17"/>
      <c r="AJ11" s="17"/>
      <c r="AK11" s="17"/>
      <c r="AL11" s="17"/>
      <c r="AM11" s="17"/>
      <c r="AN11" s="17"/>
      <c r="AO11" s="17"/>
      <c r="AP11" s="17"/>
      <c r="AQ11" s="17"/>
      <c r="AR11" s="17"/>
      <c r="AS11" s="17"/>
      <c r="AT11" s="17"/>
      <c r="AU11" s="17"/>
      <c r="AV11" s="17"/>
      <c r="AW11" s="17"/>
      <c r="AX11" s="16"/>
      <c r="AZ11" t="s">
        <v>1492</v>
      </c>
    </row>
    <row r="12" spans="1:52" ht="65.25" customHeight="1">
      <c r="A12" s="4">
        <v>7</v>
      </c>
      <c r="B12" s="5" t="s">
        <v>88</v>
      </c>
      <c r="C12" s="6"/>
      <c r="D12" s="6" t="s">
        <v>1493</v>
      </c>
      <c r="E12" s="6" t="s">
        <v>1494</v>
      </c>
      <c r="F12" s="109" t="s">
        <v>1495</v>
      </c>
      <c r="G12" s="9"/>
      <c r="H12" s="12" t="s">
        <v>1493</v>
      </c>
      <c r="I12" s="9"/>
      <c r="J12" s="9"/>
      <c r="K12" s="20">
        <v>0</v>
      </c>
      <c r="L12" s="4"/>
      <c r="M12" s="9" t="s">
        <v>1485</v>
      </c>
      <c r="N12" s="12" t="s">
        <v>1486</v>
      </c>
      <c r="O12" s="8">
        <f t="shared" si="0"/>
        <v>2</v>
      </c>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106">
        <v>2</v>
      </c>
      <c r="AQ12" s="8"/>
      <c r="AR12" s="8"/>
      <c r="AS12" s="8"/>
      <c r="AT12" s="8"/>
      <c r="AU12" s="8"/>
      <c r="AV12" s="8"/>
      <c r="AW12" s="8"/>
      <c r="AX12" s="6"/>
    </row>
    <row r="13" spans="1:52" ht="18.75" customHeight="1">
      <c r="A13" s="4">
        <v>8</v>
      </c>
      <c r="B13" s="11" t="s">
        <v>88</v>
      </c>
      <c r="C13" s="12"/>
      <c r="D13" s="12" t="s">
        <v>1496</v>
      </c>
      <c r="E13" s="12" t="s">
        <v>1497</v>
      </c>
      <c r="F13" s="18" t="s">
        <v>1498</v>
      </c>
      <c r="G13" s="34" t="s">
        <v>552</v>
      </c>
      <c r="H13" s="12" t="s">
        <v>1496</v>
      </c>
      <c r="I13" s="12" t="s">
        <v>1499</v>
      </c>
      <c r="J13" s="14"/>
      <c r="K13" s="27">
        <v>0</v>
      </c>
      <c r="L13" s="10"/>
      <c r="M13" s="12" t="s">
        <v>1485</v>
      </c>
      <c r="N13" s="12" t="s">
        <v>1486</v>
      </c>
      <c r="O13" s="8">
        <f t="shared" si="0"/>
        <v>0</v>
      </c>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4"/>
      <c r="AZ13" t="s">
        <v>1500</v>
      </c>
    </row>
    <row r="14" spans="1:52" ht="18.75" customHeight="1">
      <c r="A14" s="4">
        <v>9</v>
      </c>
      <c r="B14" s="11" t="s">
        <v>88</v>
      </c>
      <c r="C14" s="12"/>
      <c r="D14" s="12" t="s">
        <v>1501</v>
      </c>
      <c r="E14" s="12" t="s">
        <v>1502</v>
      </c>
      <c r="F14" s="18" t="s">
        <v>1503</v>
      </c>
      <c r="G14" s="34" t="s">
        <v>552</v>
      </c>
      <c r="H14" s="12" t="s">
        <v>1501</v>
      </c>
      <c r="I14" s="12" t="s">
        <v>1499</v>
      </c>
      <c r="J14" s="14"/>
      <c r="K14" s="27">
        <v>0</v>
      </c>
      <c r="L14" s="10"/>
      <c r="M14" s="12" t="s">
        <v>1485</v>
      </c>
      <c r="N14" s="12" t="s">
        <v>1486</v>
      </c>
      <c r="O14" s="8">
        <f t="shared" si="0"/>
        <v>0</v>
      </c>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4"/>
      <c r="AZ14" t="s">
        <v>1504</v>
      </c>
    </row>
    <row r="15" spans="1:52" ht="18.75" customHeight="1">
      <c r="A15" s="4">
        <v>10</v>
      </c>
      <c r="B15" s="11" t="s">
        <v>88</v>
      </c>
      <c r="C15" s="12"/>
      <c r="D15" s="12" t="s">
        <v>1505</v>
      </c>
      <c r="E15" s="12" t="s">
        <v>1506</v>
      </c>
      <c r="F15" s="18" t="s">
        <v>1507</v>
      </c>
      <c r="G15" s="34" t="s">
        <v>552</v>
      </c>
      <c r="H15" s="12" t="s">
        <v>1505</v>
      </c>
      <c r="I15" s="12" t="s">
        <v>1499</v>
      </c>
      <c r="J15" s="14"/>
      <c r="K15" s="27">
        <v>0</v>
      </c>
      <c r="L15" s="10"/>
      <c r="M15" s="12" t="s">
        <v>1485</v>
      </c>
      <c r="N15" s="12" t="s">
        <v>1486</v>
      </c>
      <c r="O15" s="8">
        <f t="shared" si="0"/>
        <v>3</v>
      </c>
      <c r="P15" s="17"/>
      <c r="Q15" s="17"/>
      <c r="R15" s="17"/>
      <c r="S15" s="17"/>
      <c r="T15" s="17"/>
      <c r="U15" s="17"/>
      <c r="V15" s="17">
        <v>1</v>
      </c>
      <c r="W15" s="17"/>
      <c r="X15" s="17"/>
      <c r="Y15" s="17"/>
      <c r="Z15" s="17">
        <v>1</v>
      </c>
      <c r="AA15" s="17"/>
      <c r="AB15" s="17"/>
      <c r="AC15" s="17"/>
      <c r="AD15" s="17"/>
      <c r="AE15" s="17"/>
      <c r="AF15" s="17">
        <v>1</v>
      </c>
      <c r="AG15" s="17"/>
      <c r="AH15" s="17"/>
      <c r="AI15" s="17"/>
      <c r="AJ15" s="17"/>
      <c r="AK15" s="17"/>
      <c r="AL15" s="17"/>
      <c r="AM15" s="17"/>
      <c r="AN15" s="17"/>
      <c r="AO15" s="17"/>
      <c r="AP15" s="17"/>
      <c r="AQ15" s="17"/>
      <c r="AR15" s="17"/>
      <c r="AS15" s="17"/>
      <c r="AT15" s="17"/>
      <c r="AU15" s="17"/>
      <c r="AV15" s="17"/>
      <c r="AW15" s="17"/>
      <c r="AX15" s="12"/>
      <c r="AZ15" t="s">
        <v>1508</v>
      </c>
    </row>
    <row r="16" spans="1:52" ht="18.75" customHeight="1">
      <c r="A16" s="4">
        <v>11</v>
      </c>
      <c r="B16" s="11" t="s">
        <v>88</v>
      </c>
      <c r="C16" s="12"/>
      <c r="D16" s="12" t="s">
        <v>1509</v>
      </c>
      <c r="E16" s="12" t="s">
        <v>1510</v>
      </c>
      <c r="F16" s="18" t="s">
        <v>1511</v>
      </c>
      <c r="G16" s="34" t="s">
        <v>552</v>
      </c>
      <c r="H16" s="12" t="s">
        <v>1509</v>
      </c>
      <c r="I16" s="12" t="s">
        <v>1499</v>
      </c>
      <c r="J16" s="14"/>
      <c r="K16" s="27">
        <v>0</v>
      </c>
      <c r="L16" s="10"/>
      <c r="M16" s="12" t="s">
        <v>1485</v>
      </c>
      <c r="N16" s="12" t="s">
        <v>1486</v>
      </c>
      <c r="O16" s="8">
        <f t="shared" si="0"/>
        <v>4</v>
      </c>
      <c r="P16" s="17"/>
      <c r="Q16" s="17"/>
      <c r="R16" s="17"/>
      <c r="S16" s="17"/>
      <c r="T16" s="17"/>
      <c r="U16" s="17"/>
      <c r="V16" s="17"/>
      <c r="W16" s="17">
        <v>2</v>
      </c>
      <c r="X16" s="17"/>
      <c r="Y16" s="17"/>
      <c r="Z16" s="17"/>
      <c r="AA16" s="17"/>
      <c r="AB16" s="17"/>
      <c r="AC16" s="17"/>
      <c r="AD16" s="17"/>
      <c r="AE16" s="17"/>
      <c r="AF16" s="17"/>
      <c r="AG16" s="17">
        <v>2</v>
      </c>
      <c r="AH16" s="17"/>
      <c r="AI16" s="17"/>
      <c r="AJ16" s="17"/>
      <c r="AK16" s="17"/>
      <c r="AL16" s="17"/>
      <c r="AM16" s="17"/>
      <c r="AN16" s="17"/>
      <c r="AO16" s="17"/>
      <c r="AP16" s="17"/>
      <c r="AQ16" s="17"/>
      <c r="AR16" s="17"/>
      <c r="AS16" s="17"/>
      <c r="AT16" s="17"/>
      <c r="AU16" s="17"/>
      <c r="AV16" s="17"/>
      <c r="AW16" s="17"/>
      <c r="AX16" s="12"/>
    </row>
    <row r="17" spans="1:52" ht="18.75" customHeight="1">
      <c r="A17" s="4">
        <v>12</v>
      </c>
      <c r="B17" s="11" t="s">
        <v>88</v>
      </c>
      <c r="C17" s="12"/>
      <c r="D17" s="12" t="s">
        <v>1512</v>
      </c>
      <c r="E17" s="12" t="s">
        <v>1513</v>
      </c>
      <c r="F17" s="18" t="s">
        <v>1514</v>
      </c>
      <c r="G17" s="34" t="s">
        <v>552</v>
      </c>
      <c r="H17" s="12" t="s">
        <v>1512</v>
      </c>
      <c r="I17" s="12" t="s">
        <v>1499</v>
      </c>
      <c r="J17" s="14"/>
      <c r="K17" s="27">
        <v>0</v>
      </c>
      <c r="L17" s="10"/>
      <c r="M17" s="12" t="s">
        <v>1485</v>
      </c>
      <c r="N17" s="12" t="s">
        <v>1486</v>
      </c>
      <c r="O17" s="8">
        <f t="shared" si="0"/>
        <v>0</v>
      </c>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2"/>
    </row>
    <row r="18" spans="1:52" ht="30.75" customHeight="1">
      <c r="A18" s="4">
        <v>13</v>
      </c>
      <c r="B18" s="11" t="s">
        <v>88</v>
      </c>
      <c r="C18" s="12"/>
      <c r="D18" s="12" t="s">
        <v>1515</v>
      </c>
      <c r="E18" s="12" t="s">
        <v>1516</v>
      </c>
      <c r="F18" s="18" t="s">
        <v>1517</v>
      </c>
      <c r="G18" s="34" t="s">
        <v>552</v>
      </c>
      <c r="H18" s="12" t="s">
        <v>1515</v>
      </c>
      <c r="I18" s="12" t="s">
        <v>1518</v>
      </c>
      <c r="J18" s="14"/>
      <c r="K18" s="27">
        <v>0</v>
      </c>
      <c r="L18" s="10"/>
      <c r="M18" s="12" t="s">
        <v>1485</v>
      </c>
      <c r="N18" s="12" t="s">
        <v>1486</v>
      </c>
      <c r="O18" s="8">
        <f t="shared" si="0"/>
        <v>14</v>
      </c>
      <c r="P18" s="17"/>
      <c r="Q18" s="17"/>
      <c r="R18" s="17"/>
      <c r="S18" s="17"/>
      <c r="T18" s="17"/>
      <c r="U18" s="17"/>
      <c r="V18" s="17">
        <v>2</v>
      </c>
      <c r="W18" s="17">
        <v>4</v>
      </c>
      <c r="X18" s="17"/>
      <c r="Y18" s="17"/>
      <c r="Z18" s="17">
        <v>2</v>
      </c>
      <c r="AA18" s="17"/>
      <c r="AB18" s="17"/>
      <c r="AC18" s="17"/>
      <c r="AD18" s="17"/>
      <c r="AE18" s="17"/>
      <c r="AF18" s="17">
        <v>2</v>
      </c>
      <c r="AG18" s="17">
        <v>4</v>
      </c>
      <c r="AH18" s="17"/>
      <c r="AI18" s="17"/>
      <c r="AJ18" s="17"/>
      <c r="AK18" s="17"/>
      <c r="AL18" s="17"/>
      <c r="AM18" s="17"/>
      <c r="AN18" s="17"/>
      <c r="AO18" s="17"/>
      <c r="AP18" s="17"/>
      <c r="AQ18" s="17"/>
      <c r="AR18" s="17"/>
      <c r="AS18" s="17"/>
      <c r="AT18" s="17"/>
      <c r="AU18" s="17"/>
      <c r="AV18" s="17"/>
      <c r="AW18" s="17"/>
      <c r="AX18" s="12"/>
    </row>
    <row r="19" spans="1:52" ht="30.75" customHeight="1">
      <c r="A19" s="4">
        <v>14</v>
      </c>
      <c r="B19" s="11" t="s">
        <v>88</v>
      </c>
      <c r="C19" s="12"/>
      <c r="D19" s="12" t="s">
        <v>1519</v>
      </c>
      <c r="E19" s="12" t="s">
        <v>1520</v>
      </c>
      <c r="F19" s="18" t="s">
        <v>1521</v>
      </c>
      <c r="G19" s="34" t="s">
        <v>552</v>
      </c>
      <c r="H19" s="12" t="s">
        <v>1519</v>
      </c>
      <c r="I19" s="12" t="s">
        <v>1518</v>
      </c>
      <c r="J19" s="14"/>
      <c r="K19" s="27">
        <v>0</v>
      </c>
      <c r="L19" s="10"/>
      <c r="M19" s="12" t="s">
        <v>1485</v>
      </c>
      <c r="N19" s="12" t="s">
        <v>1486</v>
      </c>
      <c r="O19" s="8">
        <f t="shared" si="0"/>
        <v>0</v>
      </c>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2"/>
    </row>
    <row r="20" spans="1:52" ht="30.75" customHeight="1">
      <c r="A20" s="4">
        <v>15</v>
      </c>
      <c r="B20" s="11" t="s">
        <v>88</v>
      </c>
      <c r="C20" s="12"/>
      <c r="D20" s="12" t="s">
        <v>1522</v>
      </c>
      <c r="E20" s="12" t="s">
        <v>1523</v>
      </c>
      <c r="F20" s="18" t="s">
        <v>1524</v>
      </c>
      <c r="G20" s="34" t="s">
        <v>552</v>
      </c>
      <c r="H20" s="12" t="s">
        <v>1522</v>
      </c>
      <c r="I20" s="12" t="s">
        <v>1518</v>
      </c>
      <c r="J20" s="14"/>
      <c r="K20" s="27">
        <v>0</v>
      </c>
      <c r="L20" s="10"/>
      <c r="M20" s="12" t="s">
        <v>1485</v>
      </c>
      <c r="N20" s="12" t="s">
        <v>1486</v>
      </c>
      <c r="O20" s="8">
        <f t="shared" si="0"/>
        <v>0</v>
      </c>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2"/>
    </row>
    <row r="21" spans="1:52" ht="30.75" customHeight="1">
      <c r="A21" s="4">
        <v>16</v>
      </c>
      <c r="B21" s="11" t="s">
        <v>88</v>
      </c>
      <c r="C21" s="12"/>
      <c r="D21" s="12" t="s">
        <v>1525</v>
      </c>
      <c r="E21" s="12" t="s">
        <v>1526</v>
      </c>
      <c r="F21" s="18" t="s">
        <v>1527</v>
      </c>
      <c r="G21" s="34" t="s">
        <v>552</v>
      </c>
      <c r="H21" s="12" t="s">
        <v>1525</v>
      </c>
      <c r="I21" s="12" t="s">
        <v>1518</v>
      </c>
      <c r="J21" s="14"/>
      <c r="K21" s="27">
        <v>0</v>
      </c>
      <c r="L21" s="10"/>
      <c r="M21" s="12" t="s">
        <v>1485</v>
      </c>
      <c r="N21" s="12" t="s">
        <v>1486</v>
      </c>
      <c r="O21" s="8">
        <f t="shared" si="0"/>
        <v>0</v>
      </c>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2"/>
    </row>
    <row r="22" spans="1:52" ht="18.75" customHeight="1">
      <c r="A22" s="4">
        <v>17</v>
      </c>
      <c r="B22" s="11" t="s">
        <v>88</v>
      </c>
      <c r="C22" s="12"/>
      <c r="D22" s="12" t="s">
        <v>1528</v>
      </c>
      <c r="E22" s="12" t="s">
        <v>1529</v>
      </c>
      <c r="F22" s="18" t="s">
        <v>1530</v>
      </c>
      <c r="G22" s="34" t="s">
        <v>552</v>
      </c>
      <c r="H22" s="12" t="s">
        <v>1528</v>
      </c>
      <c r="I22" s="12" t="s">
        <v>1518</v>
      </c>
      <c r="J22" s="14"/>
      <c r="K22" s="27">
        <v>0</v>
      </c>
      <c r="L22" s="10"/>
      <c r="M22" s="12" t="s">
        <v>1485</v>
      </c>
      <c r="N22" s="12" t="s">
        <v>1486</v>
      </c>
      <c r="O22" s="8">
        <f t="shared" si="0"/>
        <v>10</v>
      </c>
      <c r="P22" s="17"/>
      <c r="Q22" s="17"/>
      <c r="R22" s="17"/>
      <c r="S22" s="17"/>
      <c r="T22" s="17"/>
      <c r="U22" s="17"/>
      <c r="V22" s="17">
        <v>2</v>
      </c>
      <c r="W22" s="17">
        <v>2</v>
      </c>
      <c r="X22" s="17"/>
      <c r="Y22" s="17"/>
      <c r="Z22" s="17">
        <v>2</v>
      </c>
      <c r="AA22" s="17"/>
      <c r="AB22" s="17"/>
      <c r="AC22" s="17"/>
      <c r="AD22" s="17"/>
      <c r="AE22" s="17"/>
      <c r="AF22" s="17">
        <v>2</v>
      </c>
      <c r="AG22" s="17">
        <v>2</v>
      </c>
      <c r="AH22" s="17"/>
      <c r="AI22" s="17"/>
      <c r="AJ22" s="17"/>
      <c r="AK22" s="17"/>
      <c r="AL22" s="17"/>
      <c r="AM22" s="17"/>
      <c r="AN22" s="17"/>
      <c r="AO22" s="17"/>
      <c r="AP22" s="17"/>
      <c r="AQ22" s="17"/>
      <c r="AR22" s="17"/>
      <c r="AS22" s="17"/>
      <c r="AT22" s="17"/>
      <c r="AU22" s="17"/>
      <c r="AV22" s="17"/>
      <c r="AW22" s="17"/>
      <c r="AX22" s="12"/>
      <c r="AZ22" t="s">
        <v>1531</v>
      </c>
    </row>
    <row r="23" spans="1:52" ht="18.75" customHeight="1">
      <c r="A23" s="4">
        <v>18</v>
      </c>
      <c r="B23" s="5" t="s">
        <v>88</v>
      </c>
      <c r="C23" s="6"/>
      <c r="D23" s="6" t="s">
        <v>1532</v>
      </c>
      <c r="E23" s="6" t="s">
        <v>1533</v>
      </c>
      <c r="F23" s="7"/>
      <c r="G23" s="9"/>
      <c r="H23" s="12" t="s">
        <v>1532</v>
      </c>
      <c r="I23" s="9"/>
      <c r="J23" s="9"/>
      <c r="K23" s="20">
        <v>0</v>
      </c>
      <c r="L23" s="4"/>
      <c r="M23" s="9" t="s">
        <v>1485</v>
      </c>
      <c r="N23" s="9"/>
      <c r="O23" s="8">
        <f t="shared" si="0"/>
        <v>0</v>
      </c>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9"/>
    </row>
    <row r="24" spans="1:52" ht="18.75" customHeight="1">
      <c r="A24" s="4">
        <v>19</v>
      </c>
      <c r="B24" s="11" t="s">
        <v>88</v>
      </c>
      <c r="C24" s="12"/>
      <c r="D24" s="12" t="s">
        <v>1534</v>
      </c>
      <c r="E24" s="12" t="s">
        <v>1535</v>
      </c>
      <c r="F24" s="18" t="s">
        <v>1536</v>
      </c>
      <c r="G24" s="34" t="s">
        <v>552</v>
      </c>
      <c r="H24" s="12" t="s">
        <v>1534</v>
      </c>
      <c r="I24" s="12" t="s">
        <v>1537</v>
      </c>
      <c r="J24" s="14"/>
      <c r="K24" s="27">
        <v>0</v>
      </c>
      <c r="L24" s="10"/>
      <c r="M24" s="12" t="s">
        <v>1485</v>
      </c>
      <c r="N24" s="12" t="s">
        <v>1486</v>
      </c>
      <c r="O24" s="8">
        <f t="shared" si="0"/>
        <v>6</v>
      </c>
      <c r="P24" s="17"/>
      <c r="Q24" s="17"/>
      <c r="R24" s="17"/>
      <c r="S24" s="17"/>
      <c r="T24" s="17"/>
      <c r="U24" s="17"/>
      <c r="V24" s="17">
        <v>2</v>
      </c>
      <c r="W24" s="17"/>
      <c r="X24" s="17"/>
      <c r="Y24" s="17"/>
      <c r="Z24" s="17">
        <v>2</v>
      </c>
      <c r="AA24" s="17"/>
      <c r="AB24" s="17"/>
      <c r="AC24" s="17"/>
      <c r="AD24" s="17"/>
      <c r="AE24" s="17"/>
      <c r="AF24" s="17">
        <v>2</v>
      </c>
      <c r="AG24" s="17"/>
      <c r="AH24" s="17"/>
      <c r="AI24" s="17"/>
      <c r="AJ24" s="17"/>
      <c r="AK24" s="17"/>
      <c r="AL24" s="17"/>
      <c r="AM24" s="17"/>
      <c r="AN24" s="17"/>
      <c r="AO24" s="17"/>
      <c r="AP24" s="17"/>
      <c r="AQ24" s="17"/>
      <c r="AR24" s="17"/>
      <c r="AS24" s="17"/>
      <c r="AT24" s="17"/>
      <c r="AU24" s="17"/>
      <c r="AV24" s="17"/>
      <c r="AW24" s="17"/>
      <c r="AX24" s="14"/>
      <c r="AZ24" t="s">
        <v>1538</v>
      </c>
    </row>
    <row r="25" spans="1:52" ht="18.75" customHeight="1">
      <c r="A25" s="4">
        <v>20</v>
      </c>
      <c r="B25" s="11" t="s">
        <v>88</v>
      </c>
      <c r="C25" s="12"/>
      <c r="D25" s="12" t="s">
        <v>1539</v>
      </c>
      <c r="E25" s="12" t="s">
        <v>1540</v>
      </c>
      <c r="F25" s="18" t="s">
        <v>1541</v>
      </c>
      <c r="G25" s="34" t="s">
        <v>552</v>
      </c>
      <c r="H25" s="12" t="s">
        <v>1539</v>
      </c>
      <c r="I25" s="12" t="s">
        <v>1537</v>
      </c>
      <c r="J25" s="14"/>
      <c r="K25" s="27">
        <v>0</v>
      </c>
      <c r="L25" s="10"/>
      <c r="M25" s="12" t="s">
        <v>1485</v>
      </c>
      <c r="N25" s="12" t="s">
        <v>1486</v>
      </c>
      <c r="O25" s="8">
        <f t="shared" si="0"/>
        <v>0</v>
      </c>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4"/>
      <c r="AZ25" t="s">
        <v>1542</v>
      </c>
    </row>
    <row r="26" spans="1:52" ht="18.75" customHeight="1">
      <c r="A26" s="4">
        <v>21</v>
      </c>
      <c r="B26" s="11" t="s">
        <v>88</v>
      </c>
      <c r="C26" s="12"/>
      <c r="D26" s="12" t="s">
        <v>1543</v>
      </c>
      <c r="E26" s="12" t="s">
        <v>1544</v>
      </c>
      <c r="F26" s="18" t="s">
        <v>1545</v>
      </c>
      <c r="G26" s="34" t="s">
        <v>552</v>
      </c>
      <c r="H26" s="12" t="s">
        <v>1543</v>
      </c>
      <c r="I26" s="12" t="s">
        <v>1537</v>
      </c>
      <c r="J26" s="14"/>
      <c r="K26" s="27">
        <v>0</v>
      </c>
      <c r="L26" s="10"/>
      <c r="M26" s="12" t="s">
        <v>1485</v>
      </c>
      <c r="N26" s="12" t="s">
        <v>1486</v>
      </c>
      <c r="O26" s="8">
        <f t="shared" si="0"/>
        <v>0</v>
      </c>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4"/>
      <c r="AZ26" t="s">
        <v>1546</v>
      </c>
    </row>
    <row r="27" spans="1:52" ht="18.75" customHeight="1">
      <c r="A27" s="4"/>
      <c r="B27" s="11" t="s">
        <v>88</v>
      </c>
      <c r="C27" s="12"/>
      <c r="D27" s="12" t="s">
        <v>1547</v>
      </c>
      <c r="E27" s="12" t="s">
        <v>1548</v>
      </c>
      <c r="F27" s="18" t="s">
        <v>1549</v>
      </c>
      <c r="G27" s="34"/>
      <c r="H27" s="12" t="s">
        <v>1547</v>
      </c>
      <c r="I27" s="12" t="s">
        <v>1537</v>
      </c>
      <c r="J27" s="14"/>
      <c r="K27" s="27">
        <v>0</v>
      </c>
      <c r="L27" s="10"/>
      <c r="M27" s="12" t="s">
        <v>1485</v>
      </c>
      <c r="N27" s="12" t="s">
        <v>1486</v>
      </c>
      <c r="O27" s="8">
        <f t="shared" si="0"/>
        <v>0</v>
      </c>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4"/>
      <c r="AZ27" t="s">
        <v>1550</v>
      </c>
    </row>
    <row r="28" spans="1:52" ht="18.75" customHeight="1">
      <c r="A28" s="4"/>
      <c r="B28" s="11" t="s">
        <v>88</v>
      </c>
      <c r="C28" s="12"/>
      <c r="D28" s="12" t="s">
        <v>1551</v>
      </c>
      <c r="E28" s="12" t="s">
        <v>1552</v>
      </c>
      <c r="F28" s="18" t="s">
        <v>1553</v>
      </c>
      <c r="G28" s="34"/>
      <c r="H28" s="12" t="s">
        <v>1551</v>
      </c>
      <c r="I28" s="12" t="s">
        <v>1537</v>
      </c>
      <c r="J28" s="14"/>
      <c r="K28" s="27">
        <v>0</v>
      </c>
      <c r="L28" s="10"/>
      <c r="M28" s="12" t="s">
        <v>1485</v>
      </c>
      <c r="N28" s="12" t="s">
        <v>1486</v>
      </c>
      <c r="O28" s="8">
        <f t="shared" si="0"/>
        <v>0</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4"/>
      <c r="AZ28" t="s">
        <v>1554</v>
      </c>
    </row>
    <row r="29" spans="1:52" ht="18.75" customHeight="1">
      <c r="A29" s="4"/>
      <c r="B29" s="11" t="s">
        <v>88</v>
      </c>
      <c r="C29" s="12"/>
      <c r="D29" s="12" t="s">
        <v>1555</v>
      </c>
      <c r="E29" s="12" t="s">
        <v>1556</v>
      </c>
      <c r="F29" s="18" t="s">
        <v>1557</v>
      </c>
      <c r="G29" s="34"/>
      <c r="H29" s="12" t="s">
        <v>1555</v>
      </c>
      <c r="I29" s="12" t="s">
        <v>1537</v>
      </c>
      <c r="J29" s="14"/>
      <c r="K29" s="27">
        <v>0</v>
      </c>
      <c r="L29" s="10"/>
      <c r="M29" s="12" t="s">
        <v>1485</v>
      </c>
      <c r="N29" s="12" t="s">
        <v>1486</v>
      </c>
      <c r="O29" s="8">
        <f t="shared" si="0"/>
        <v>12</v>
      </c>
      <c r="P29" s="17"/>
      <c r="Q29" s="17"/>
      <c r="R29" s="17"/>
      <c r="S29" s="17"/>
      <c r="T29" s="17"/>
      <c r="U29" s="17"/>
      <c r="V29" s="17"/>
      <c r="W29" s="17">
        <v>4</v>
      </c>
      <c r="X29" s="17"/>
      <c r="Y29" s="17"/>
      <c r="Z29" s="17"/>
      <c r="AA29" s="17"/>
      <c r="AB29" s="17"/>
      <c r="AC29" s="17"/>
      <c r="AD29" s="17"/>
      <c r="AE29" s="17"/>
      <c r="AF29" s="17"/>
      <c r="AG29" s="17">
        <v>4</v>
      </c>
      <c r="AH29" s="17"/>
      <c r="AI29" s="17"/>
      <c r="AJ29" s="17"/>
      <c r="AK29" s="17"/>
      <c r="AL29" s="17"/>
      <c r="AM29" s="17"/>
      <c r="AN29" s="17"/>
      <c r="AO29" s="17"/>
      <c r="AP29" s="17">
        <v>2</v>
      </c>
      <c r="AQ29" s="17"/>
      <c r="AR29" s="17">
        <v>2</v>
      </c>
      <c r="AS29" s="17"/>
      <c r="AT29" s="17"/>
      <c r="AU29" s="17"/>
      <c r="AV29" s="17"/>
      <c r="AW29" s="17"/>
      <c r="AX29" s="14"/>
      <c r="AZ29" t="s">
        <v>1558</v>
      </c>
    </row>
    <row r="30" spans="1:52" ht="39.6" customHeight="1">
      <c r="A30" s="4">
        <v>22</v>
      </c>
      <c r="B30" s="5" t="s">
        <v>88</v>
      </c>
      <c r="C30" s="6"/>
      <c r="D30" s="6" t="s">
        <v>1559</v>
      </c>
      <c r="E30" s="6" t="s">
        <v>1560</v>
      </c>
      <c r="F30" s="7" t="s">
        <v>1561</v>
      </c>
      <c r="G30" s="9"/>
      <c r="H30" s="6" t="s">
        <v>1559</v>
      </c>
      <c r="I30" s="9"/>
      <c r="J30" s="9"/>
      <c r="K30" s="20">
        <v>0</v>
      </c>
      <c r="L30" s="4"/>
      <c r="M30" s="9" t="s">
        <v>1485</v>
      </c>
      <c r="N30" s="12" t="s">
        <v>1486</v>
      </c>
      <c r="O30" s="8">
        <f t="shared" si="0"/>
        <v>0</v>
      </c>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9"/>
    </row>
    <row r="31" spans="1:52" ht="18.75" customHeight="1">
      <c r="A31" s="4">
        <v>23</v>
      </c>
      <c r="B31" s="11" t="s">
        <v>88</v>
      </c>
      <c r="C31" s="12"/>
      <c r="D31" s="12" t="s">
        <v>1562</v>
      </c>
      <c r="E31" s="12" t="s">
        <v>1563</v>
      </c>
      <c r="F31" s="18" t="s">
        <v>1564</v>
      </c>
      <c r="G31" s="34" t="s">
        <v>552</v>
      </c>
      <c r="H31" s="12" t="s">
        <v>1562</v>
      </c>
      <c r="I31" s="12" t="s">
        <v>1537</v>
      </c>
      <c r="J31" s="14"/>
      <c r="K31" s="27">
        <v>0</v>
      </c>
      <c r="L31" s="10"/>
      <c r="M31" s="12" t="s">
        <v>1485</v>
      </c>
      <c r="N31" s="12" t="s">
        <v>1486</v>
      </c>
      <c r="O31" s="8">
        <f t="shared" si="0"/>
        <v>0</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2"/>
      <c r="AZ31" t="s">
        <v>1508</v>
      </c>
    </row>
    <row r="32" spans="1:52" ht="18.75" customHeight="1">
      <c r="A32" s="4">
        <v>24</v>
      </c>
      <c r="B32" s="11" t="s">
        <v>88</v>
      </c>
      <c r="C32" s="12"/>
      <c r="D32" s="12" t="s">
        <v>1565</v>
      </c>
      <c r="E32" s="12" t="s">
        <v>1566</v>
      </c>
      <c r="F32" s="18" t="s">
        <v>1567</v>
      </c>
      <c r="G32" s="34" t="s">
        <v>552</v>
      </c>
      <c r="H32" s="12" t="s">
        <v>1565</v>
      </c>
      <c r="I32" s="12" t="s">
        <v>1537</v>
      </c>
      <c r="J32" s="14"/>
      <c r="K32" s="27">
        <v>0</v>
      </c>
      <c r="L32" s="10"/>
      <c r="M32" s="12" t="s">
        <v>1485</v>
      </c>
      <c r="N32" s="12" t="s">
        <v>1486</v>
      </c>
      <c r="O32" s="8">
        <f t="shared" si="0"/>
        <v>3</v>
      </c>
      <c r="P32" s="17"/>
      <c r="Q32" s="17"/>
      <c r="R32" s="17"/>
      <c r="S32" s="17"/>
      <c r="T32" s="17"/>
      <c r="U32" s="17"/>
      <c r="V32" s="17">
        <v>1</v>
      </c>
      <c r="W32" s="17"/>
      <c r="X32" s="17"/>
      <c r="Y32" s="17"/>
      <c r="Z32" s="17">
        <v>1</v>
      </c>
      <c r="AA32" s="17"/>
      <c r="AB32" s="17"/>
      <c r="AC32" s="17"/>
      <c r="AD32" s="17"/>
      <c r="AE32" s="17"/>
      <c r="AF32" s="17">
        <v>1</v>
      </c>
      <c r="AG32" s="17"/>
      <c r="AH32" s="17"/>
      <c r="AI32" s="17"/>
      <c r="AJ32" s="17"/>
      <c r="AK32" s="17"/>
      <c r="AL32" s="17"/>
      <c r="AM32" s="17"/>
      <c r="AN32" s="17"/>
      <c r="AO32" s="17"/>
      <c r="AP32" s="17"/>
      <c r="AQ32" s="17"/>
      <c r="AR32" s="17"/>
      <c r="AS32" s="17"/>
      <c r="AT32" s="17"/>
      <c r="AU32" s="17"/>
      <c r="AV32" s="17"/>
      <c r="AW32" s="17"/>
      <c r="AX32" s="12"/>
    </row>
    <row r="33" spans="1:52" ht="18.75" customHeight="1">
      <c r="A33" s="4">
        <v>25</v>
      </c>
      <c r="B33" s="11" t="s">
        <v>88</v>
      </c>
      <c r="C33" s="12"/>
      <c r="D33" s="12" t="s">
        <v>1568</v>
      </c>
      <c r="E33" s="12" t="s">
        <v>1569</v>
      </c>
      <c r="F33" s="18" t="s">
        <v>1570</v>
      </c>
      <c r="G33" s="34" t="s">
        <v>552</v>
      </c>
      <c r="H33" s="12" t="s">
        <v>1568</v>
      </c>
      <c r="I33" s="12" t="s">
        <v>1537</v>
      </c>
      <c r="J33" s="14"/>
      <c r="K33" s="27">
        <v>0</v>
      </c>
      <c r="L33" s="10"/>
      <c r="M33" s="12" t="s">
        <v>1485</v>
      </c>
      <c r="N33" s="12" t="s">
        <v>1486</v>
      </c>
      <c r="O33" s="8">
        <f t="shared" si="0"/>
        <v>2</v>
      </c>
      <c r="P33" s="17"/>
      <c r="Q33" s="17"/>
      <c r="R33" s="17"/>
      <c r="S33" s="17"/>
      <c r="T33" s="17"/>
      <c r="U33" s="17"/>
      <c r="V33" s="17"/>
      <c r="W33" s="17">
        <v>1</v>
      </c>
      <c r="X33" s="17"/>
      <c r="Y33" s="17"/>
      <c r="Z33" s="17"/>
      <c r="AA33" s="17"/>
      <c r="AB33" s="17"/>
      <c r="AC33" s="17"/>
      <c r="AD33" s="17"/>
      <c r="AE33" s="17"/>
      <c r="AF33" s="17"/>
      <c r="AG33" s="17">
        <v>1</v>
      </c>
      <c r="AH33" s="17"/>
      <c r="AI33" s="17"/>
      <c r="AJ33" s="17"/>
      <c r="AK33" s="17"/>
      <c r="AL33" s="17"/>
      <c r="AM33" s="17"/>
      <c r="AN33" s="17"/>
      <c r="AO33" s="17"/>
      <c r="AP33" s="17"/>
      <c r="AQ33" s="17"/>
      <c r="AR33" s="17"/>
      <c r="AS33" s="17"/>
      <c r="AT33" s="17"/>
      <c r="AU33" s="17"/>
      <c r="AV33" s="17"/>
      <c r="AW33" s="17"/>
      <c r="AX33" s="12"/>
    </row>
    <row r="34" spans="1:52" ht="26.45" customHeight="1">
      <c r="A34" s="4">
        <v>26</v>
      </c>
      <c r="B34" s="5" t="s">
        <v>88</v>
      </c>
      <c r="C34" s="6"/>
      <c r="D34" s="38" t="s">
        <v>1571</v>
      </c>
      <c r="E34" s="38" t="s">
        <v>1572</v>
      </c>
      <c r="F34" s="37" t="s">
        <v>1573</v>
      </c>
      <c r="G34" s="9"/>
      <c r="H34" s="9" t="s">
        <v>1571</v>
      </c>
      <c r="I34" s="9"/>
      <c r="J34" s="9"/>
      <c r="K34" s="20">
        <v>0</v>
      </c>
      <c r="L34" s="4"/>
      <c r="M34" s="9" t="s">
        <v>1485</v>
      </c>
      <c r="N34" s="9"/>
      <c r="O34" s="8">
        <f t="shared" si="0"/>
        <v>0</v>
      </c>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9"/>
    </row>
    <row r="35" spans="1:52" ht="18.75" customHeight="1">
      <c r="A35" s="4">
        <v>27</v>
      </c>
      <c r="B35" s="11" t="s">
        <v>88</v>
      </c>
      <c r="C35" s="12"/>
      <c r="D35" s="12" t="s">
        <v>1574</v>
      </c>
      <c r="E35" s="12" t="s">
        <v>1575</v>
      </c>
      <c r="F35" s="18" t="s">
        <v>1576</v>
      </c>
      <c r="G35" s="34" t="s">
        <v>552</v>
      </c>
      <c r="H35" s="12" t="s">
        <v>1574</v>
      </c>
      <c r="I35" s="12" t="s">
        <v>1577</v>
      </c>
      <c r="J35" s="14"/>
      <c r="K35" s="27">
        <v>0</v>
      </c>
      <c r="L35" s="10"/>
      <c r="M35" s="12" t="s">
        <v>1485</v>
      </c>
      <c r="N35" s="12" t="s">
        <v>1486</v>
      </c>
      <c r="O35" s="8">
        <f t="shared" si="0"/>
        <v>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2"/>
    </row>
    <row r="36" spans="1:52" ht="18.75" customHeight="1">
      <c r="A36" s="4">
        <v>28</v>
      </c>
      <c r="B36" s="11" t="s">
        <v>88</v>
      </c>
      <c r="C36" s="12"/>
      <c r="D36" s="12" t="s">
        <v>1578</v>
      </c>
      <c r="E36" s="12" t="s">
        <v>1579</v>
      </c>
      <c r="F36" s="18" t="s">
        <v>1580</v>
      </c>
      <c r="G36" s="34" t="s">
        <v>552</v>
      </c>
      <c r="H36" s="12" t="s">
        <v>1578</v>
      </c>
      <c r="I36" s="12" t="s">
        <v>1577</v>
      </c>
      <c r="J36" s="14"/>
      <c r="K36" s="27">
        <v>0</v>
      </c>
      <c r="L36" s="10"/>
      <c r="M36" s="12" t="s">
        <v>1485</v>
      </c>
      <c r="N36" s="12" t="s">
        <v>1486</v>
      </c>
      <c r="O36" s="8">
        <f t="shared" si="0"/>
        <v>3</v>
      </c>
      <c r="P36" s="17"/>
      <c r="Q36" s="17"/>
      <c r="R36" s="17"/>
      <c r="S36" s="17"/>
      <c r="T36" s="17"/>
      <c r="U36" s="17"/>
      <c r="V36" s="106">
        <v>1</v>
      </c>
      <c r="W36" s="106">
        <v>1</v>
      </c>
      <c r="X36" s="17"/>
      <c r="Y36" s="17"/>
      <c r="Z36" s="106">
        <v>1</v>
      </c>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2"/>
    </row>
    <row r="37" spans="1:52" ht="18.75" customHeight="1">
      <c r="A37" s="4">
        <v>29</v>
      </c>
      <c r="B37" s="11" t="s">
        <v>88</v>
      </c>
      <c r="C37" s="12"/>
      <c r="D37" s="12" t="s">
        <v>1581</v>
      </c>
      <c r="E37" s="12" t="s">
        <v>1582</v>
      </c>
      <c r="F37" s="108" t="s">
        <v>1583</v>
      </c>
      <c r="G37" s="34" t="s">
        <v>552</v>
      </c>
      <c r="H37" s="12" t="s">
        <v>1581</v>
      </c>
      <c r="I37" s="12" t="s">
        <v>1577</v>
      </c>
      <c r="J37" s="14"/>
      <c r="K37" s="27">
        <v>0</v>
      </c>
      <c r="L37" s="10"/>
      <c r="M37" s="12" t="s">
        <v>1485</v>
      </c>
      <c r="N37" s="12" t="s">
        <v>1486</v>
      </c>
      <c r="O37" s="8">
        <f t="shared" si="0"/>
        <v>2</v>
      </c>
      <c r="P37" s="17"/>
      <c r="Q37" s="17"/>
      <c r="R37" s="17"/>
      <c r="S37" s="17"/>
      <c r="T37" s="17"/>
      <c r="U37" s="17"/>
      <c r="V37" s="17"/>
      <c r="W37" s="17"/>
      <c r="X37" s="17"/>
      <c r="Y37" s="17"/>
      <c r="Z37" s="17"/>
      <c r="AA37" s="17"/>
      <c r="AB37" s="17"/>
      <c r="AC37" s="17"/>
      <c r="AD37" s="17"/>
      <c r="AE37" s="17"/>
      <c r="AF37" s="106">
        <v>1</v>
      </c>
      <c r="AG37" s="106">
        <v>1</v>
      </c>
      <c r="AH37" s="17"/>
      <c r="AI37" s="17"/>
      <c r="AJ37" s="17"/>
      <c r="AK37" s="17"/>
      <c r="AL37" s="17"/>
      <c r="AM37" s="17"/>
      <c r="AN37" s="17"/>
      <c r="AO37" s="17"/>
      <c r="AP37" s="17"/>
      <c r="AQ37" s="17"/>
      <c r="AR37" s="17"/>
      <c r="AS37" s="17"/>
      <c r="AT37" s="17"/>
      <c r="AU37" s="17"/>
      <c r="AV37" s="17"/>
      <c r="AW37" s="17"/>
      <c r="AX37" s="12"/>
    </row>
    <row r="38" spans="1:52" ht="18.75" customHeight="1">
      <c r="A38" s="4">
        <v>30</v>
      </c>
      <c r="B38" s="11" t="s">
        <v>88</v>
      </c>
      <c r="C38" s="12"/>
      <c r="D38" s="12" t="s">
        <v>1584</v>
      </c>
      <c r="E38" s="12" t="s">
        <v>1585</v>
      </c>
      <c r="F38" s="18" t="s">
        <v>1586</v>
      </c>
      <c r="G38" s="34" t="s">
        <v>552</v>
      </c>
      <c r="H38" s="12" t="s">
        <v>1584</v>
      </c>
      <c r="I38" s="12" t="s">
        <v>1577</v>
      </c>
      <c r="J38" s="14"/>
      <c r="K38" s="27">
        <v>0</v>
      </c>
      <c r="L38" s="10"/>
      <c r="M38" s="12" t="s">
        <v>1485</v>
      </c>
      <c r="N38" s="12" t="s">
        <v>1486</v>
      </c>
      <c r="O38" s="8">
        <f t="shared" si="0"/>
        <v>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2"/>
    </row>
    <row r="39" spans="1:52" ht="18.75" customHeight="1">
      <c r="A39" s="4">
        <v>31</v>
      </c>
      <c r="B39" s="11" t="s">
        <v>88</v>
      </c>
      <c r="C39" s="12"/>
      <c r="D39" s="12" t="s">
        <v>1587</v>
      </c>
      <c r="E39" s="12" t="s">
        <v>1588</v>
      </c>
      <c r="F39" s="18" t="s">
        <v>1589</v>
      </c>
      <c r="G39" s="34" t="s">
        <v>552</v>
      </c>
      <c r="H39" s="12" t="s">
        <v>1587</v>
      </c>
      <c r="I39" s="12" t="s">
        <v>1577</v>
      </c>
      <c r="J39" s="14"/>
      <c r="K39" s="27">
        <v>0</v>
      </c>
      <c r="L39" s="10"/>
      <c r="M39" s="12" t="s">
        <v>1485</v>
      </c>
      <c r="N39" s="12" t="s">
        <v>1486</v>
      </c>
      <c r="O39" s="8">
        <f t="shared" si="0"/>
        <v>0</v>
      </c>
      <c r="P39" s="17"/>
      <c r="Q39" s="17"/>
      <c r="R39" s="17"/>
      <c r="S39" s="17"/>
      <c r="T39" s="17"/>
      <c r="U39" s="17"/>
      <c r="V39" s="106"/>
      <c r="W39" s="106"/>
      <c r="X39" s="17"/>
      <c r="Y39" s="17"/>
      <c r="Z39" s="106"/>
      <c r="AA39" s="17"/>
      <c r="AB39" s="17"/>
      <c r="AC39" s="17"/>
      <c r="AD39" s="17"/>
      <c r="AE39" s="17"/>
      <c r="AF39" s="106"/>
      <c r="AG39" s="106"/>
      <c r="AH39" s="17"/>
      <c r="AI39" s="17"/>
      <c r="AJ39" s="17"/>
      <c r="AK39" s="17"/>
      <c r="AL39" s="17"/>
      <c r="AM39" s="17"/>
      <c r="AN39" s="17"/>
      <c r="AO39" s="17"/>
      <c r="AP39" s="17"/>
      <c r="AQ39" s="17"/>
      <c r="AR39" s="17"/>
      <c r="AS39" s="17"/>
      <c r="AT39" s="17"/>
      <c r="AU39" s="17"/>
      <c r="AV39" s="17"/>
      <c r="AW39" s="17"/>
      <c r="AX39" s="12"/>
    </row>
    <row r="40" spans="1:52" ht="18.75" customHeight="1">
      <c r="A40" s="4">
        <v>32</v>
      </c>
      <c r="B40" s="11" t="s">
        <v>88</v>
      </c>
      <c r="C40" s="12"/>
      <c r="D40" s="12" t="s">
        <v>1590</v>
      </c>
      <c r="E40" s="12" t="s">
        <v>1591</v>
      </c>
      <c r="F40" s="18" t="s">
        <v>1592</v>
      </c>
      <c r="G40" s="34" t="s">
        <v>552</v>
      </c>
      <c r="H40" s="12" t="s">
        <v>1590</v>
      </c>
      <c r="I40" s="12" t="s">
        <v>1577</v>
      </c>
      <c r="J40" s="14"/>
      <c r="K40" s="27">
        <v>0</v>
      </c>
      <c r="L40" s="10"/>
      <c r="M40" s="12" t="s">
        <v>1485</v>
      </c>
      <c r="N40" s="12" t="s">
        <v>1486</v>
      </c>
      <c r="O40" s="8">
        <f t="shared" si="0"/>
        <v>3</v>
      </c>
      <c r="P40" s="17"/>
      <c r="Q40" s="17"/>
      <c r="R40" s="17"/>
      <c r="S40" s="17"/>
      <c r="T40" s="17"/>
      <c r="U40" s="17"/>
      <c r="V40" s="106">
        <v>1</v>
      </c>
      <c r="W40" s="106">
        <v>1</v>
      </c>
      <c r="X40" s="17"/>
      <c r="Y40" s="17"/>
      <c r="Z40" s="106">
        <v>1</v>
      </c>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2"/>
    </row>
    <row r="41" spans="1:52" ht="18.75" customHeight="1">
      <c r="A41" s="4">
        <v>33</v>
      </c>
      <c r="B41" s="11" t="s">
        <v>88</v>
      </c>
      <c r="C41" s="12"/>
      <c r="D41" s="12" t="s">
        <v>1593</v>
      </c>
      <c r="E41" s="12" t="s">
        <v>1591</v>
      </c>
      <c r="F41" s="108" t="s">
        <v>1594</v>
      </c>
      <c r="G41" s="34" t="s">
        <v>552</v>
      </c>
      <c r="H41" s="12" t="s">
        <v>1593</v>
      </c>
      <c r="I41" s="12" t="s">
        <v>1577</v>
      </c>
      <c r="J41" s="14"/>
      <c r="K41" s="27">
        <v>0</v>
      </c>
      <c r="L41" s="10"/>
      <c r="M41" s="12" t="s">
        <v>1485</v>
      </c>
      <c r="N41" s="12" t="s">
        <v>1486</v>
      </c>
      <c r="O41" s="8">
        <f t="shared" si="0"/>
        <v>2</v>
      </c>
      <c r="P41" s="17"/>
      <c r="Q41" s="17"/>
      <c r="R41" s="17"/>
      <c r="S41" s="17"/>
      <c r="T41" s="17"/>
      <c r="U41" s="17"/>
      <c r="V41" s="17"/>
      <c r="W41" s="17"/>
      <c r="X41" s="17"/>
      <c r="Y41" s="17"/>
      <c r="Z41" s="17"/>
      <c r="AA41" s="17"/>
      <c r="AB41" s="17"/>
      <c r="AC41" s="17"/>
      <c r="AD41" s="17"/>
      <c r="AE41" s="17"/>
      <c r="AF41" s="106">
        <v>1</v>
      </c>
      <c r="AG41" s="106">
        <v>1</v>
      </c>
      <c r="AH41" s="17"/>
      <c r="AI41" s="17"/>
      <c r="AJ41" s="17"/>
      <c r="AK41" s="17"/>
      <c r="AL41" s="17"/>
      <c r="AM41" s="17"/>
      <c r="AN41" s="17"/>
      <c r="AO41" s="17"/>
      <c r="AP41" s="17"/>
      <c r="AQ41" s="17"/>
      <c r="AR41" s="17"/>
      <c r="AS41" s="17"/>
      <c r="AT41" s="17"/>
      <c r="AU41" s="17"/>
      <c r="AV41" s="17"/>
      <c r="AW41" s="17"/>
      <c r="AX41" s="12"/>
    </row>
    <row r="42" spans="1:52" ht="18.75" customHeight="1">
      <c r="A42" s="4">
        <v>34</v>
      </c>
      <c r="B42" s="11" t="s">
        <v>88</v>
      </c>
      <c r="C42" s="12"/>
      <c r="D42" s="12" t="s">
        <v>1595</v>
      </c>
      <c r="E42" s="12" t="s">
        <v>1591</v>
      </c>
      <c r="F42" s="18" t="s">
        <v>1596</v>
      </c>
      <c r="G42" s="34" t="s">
        <v>552</v>
      </c>
      <c r="H42" s="12" t="s">
        <v>1595</v>
      </c>
      <c r="I42" s="12" t="s">
        <v>1577</v>
      </c>
      <c r="J42" s="14"/>
      <c r="K42" s="27">
        <v>0</v>
      </c>
      <c r="L42" s="10"/>
      <c r="M42" s="12" t="s">
        <v>1485</v>
      </c>
      <c r="N42" s="12" t="s">
        <v>1486</v>
      </c>
      <c r="O42" s="8">
        <f t="shared" si="0"/>
        <v>0</v>
      </c>
      <c r="P42" s="17"/>
      <c r="Q42" s="17"/>
      <c r="R42" s="17"/>
      <c r="S42" s="17"/>
      <c r="T42" s="17"/>
      <c r="U42" s="17"/>
      <c r="V42" s="106"/>
      <c r="W42" s="106"/>
      <c r="X42" s="17"/>
      <c r="Y42" s="17"/>
      <c r="Z42" s="106"/>
      <c r="AA42" s="17"/>
      <c r="AB42" s="17"/>
      <c r="AC42" s="17"/>
      <c r="AD42" s="17"/>
      <c r="AE42" s="17"/>
      <c r="AF42" s="106"/>
      <c r="AG42" s="106"/>
      <c r="AH42" s="17"/>
      <c r="AI42" s="17"/>
      <c r="AJ42" s="17"/>
      <c r="AK42" s="17"/>
      <c r="AL42" s="17"/>
      <c r="AM42" s="17"/>
      <c r="AN42" s="17"/>
      <c r="AO42" s="17"/>
      <c r="AP42" s="17"/>
      <c r="AQ42" s="17"/>
      <c r="AR42" s="17"/>
      <c r="AS42" s="17"/>
      <c r="AT42" s="17"/>
      <c r="AU42" s="17"/>
      <c r="AV42" s="17"/>
      <c r="AW42" s="17"/>
      <c r="AX42" s="12"/>
      <c r="AZ42" t="s">
        <v>1597</v>
      </c>
    </row>
    <row r="43" spans="1:52" ht="18.75" customHeight="1">
      <c r="A43" s="4">
        <v>35</v>
      </c>
      <c r="B43" s="5" t="s">
        <v>88</v>
      </c>
      <c r="C43" s="6"/>
      <c r="D43" s="38" t="s">
        <v>1598</v>
      </c>
      <c r="E43" s="38" t="s">
        <v>1599</v>
      </c>
      <c r="F43" s="7"/>
      <c r="G43" s="9"/>
      <c r="H43" s="9"/>
      <c r="I43" s="9"/>
      <c r="J43" s="9"/>
      <c r="K43" s="20">
        <v>0</v>
      </c>
      <c r="L43" s="4"/>
      <c r="M43" s="9" t="s">
        <v>1485</v>
      </c>
      <c r="N43" s="9"/>
      <c r="O43" s="8">
        <f t="shared" si="0"/>
        <v>0</v>
      </c>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9"/>
    </row>
    <row r="44" spans="1:52" ht="18.75" customHeight="1">
      <c r="A44" s="4">
        <v>36</v>
      </c>
      <c r="B44" s="11" t="s">
        <v>88</v>
      </c>
      <c r="C44" s="12"/>
      <c r="D44" s="12" t="s">
        <v>1600</v>
      </c>
      <c r="E44" s="12" t="s">
        <v>1601</v>
      </c>
      <c r="F44" s="18" t="s">
        <v>1602</v>
      </c>
      <c r="G44" s="34" t="s">
        <v>552</v>
      </c>
      <c r="H44" s="12" t="s">
        <v>1600</v>
      </c>
      <c r="I44" s="12" t="s">
        <v>1603</v>
      </c>
      <c r="J44" s="14"/>
      <c r="K44" s="27">
        <v>0</v>
      </c>
      <c r="L44" s="10"/>
      <c r="M44" s="12" t="s">
        <v>1485</v>
      </c>
      <c r="N44" s="12" t="s">
        <v>1486</v>
      </c>
      <c r="O44" s="8">
        <f t="shared" si="0"/>
        <v>50</v>
      </c>
      <c r="P44" s="17"/>
      <c r="Q44" s="17"/>
      <c r="R44" s="17"/>
      <c r="S44" s="17"/>
      <c r="T44" s="17"/>
      <c r="U44" s="17"/>
      <c r="V44" s="17">
        <v>10</v>
      </c>
      <c r="W44" s="17">
        <v>10</v>
      </c>
      <c r="X44" s="17"/>
      <c r="Y44" s="17"/>
      <c r="Z44" s="17">
        <v>10</v>
      </c>
      <c r="AA44" s="17"/>
      <c r="AB44" s="17"/>
      <c r="AC44" s="17"/>
      <c r="AD44" s="17"/>
      <c r="AE44" s="17"/>
      <c r="AF44" s="17">
        <v>10</v>
      </c>
      <c r="AG44" s="17">
        <v>10</v>
      </c>
      <c r="AH44" s="17"/>
      <c r="AI44" s="17"/>
      <c r="AJ44" s="17"/>
      <c r="AK44" s="17"/>
      <c r="AL44" s="17"/>
      <c r="AM44" s="17"/>
      <c r="AN44" s="17"/>
      <c r="AO44" s="17"/>
      <c r="AP44" s="17"/>
      <c r="AQ44" s="17"/>
      <c r="AR44" s="17"/>
      <c r="AS44" s="17"/>
      <c r="AT44" s="17"/>
      <c r="AU44" s="17"/>
      <c r="AV44" s="17"/>
      <c r="AW44" s="17"/>
      <c r="AX44" s="12"/>
      <c r="AZ44" t="s">
        <v>1604</v>
      </c>
    </row>
    <row r="45" spans="1:52" ht="18.75" customHeight="1">
      <c r="A45" s="4">
        <v>37</v>
      </c>
      <c r="B45" s="11" t="s">
        <v>88</v>
      </c>
      <c r="C45" s="12"/>
      <c r="D45" s="12" t="s">
        <v>1605</v>
      </c>
      <c r="E45" s="12" t="s">
        <v>1606</v>
      </c>
      <c r="F45" s="18" t="s">
        <v>1607</v>
      </c>
      <c r="G45" s="34" t="s">
        <v>552</v>
      </c>
      <c r="H45" s="12" t="s">
        <v>1605</v>
      </c>
      <c r="I45" s="12" t="s">
        <v>1608</v>
      </c>
      <c r="J45" s="14"/>
      <c r="K45" s="27">
        <v>0</v>
      </c>
      <c r="L45" s="10"/>
      <c r="M45" s="12" t="s">
        <v>1485</v>
      </c>
      <c r="N45" s="12" t="s">
        <v>1486</v>
      </c>
      <c r="O45" s="8">
        <f t="shared" si="0"/>
        <v>120</v>
      </c>
      <c r="P45" s="17"/>
      <c r="Q45" s="17"/>
      <c r="R45" s="17"/>
      <c r="S45" s="17"/>
      <c r="T45" s="17"/>
      <c r="U45" s="17"/>
      <c r="V45" s="17">
        <v>20</v>
      </c>
      <c r="W45" s="17">
        <v>20</v>
      </c>
      <c r="X45" s="17"/>
      <c r="Y45" s="17"/>
      <c r="Z45" s="17">
        <v>20</v>
      </c>
      <c r="AA45" s="17"/>
      <c r="AB45" s="17"/>
      <c r="AC45" s="17"/>
      <c r="AD45" s="17"/>
      <c r="AE45" s="17"/>
      <c r="AF45" s="17">
        <v>20</v>
      </c>
      <c r="AG45" s="17">
        <v>20</v>
      </c>
      <c r="AH45" s="17"/>
      <c r="AI45" s="17"/>
      <c r="AJ45" s="17"/>
      <c r="AK45" s="17"/>
      <c r="AL45" s="17"/>
      <c r="AM45" s="17"/>
      <c r="AN45" s="17"/>
      <c r="AO45" s="17"/>
      <c r="AP45" s="17">
        <v>10</v>
      </c>
      <c r="AQ45" s="17"/>
      <c r="AR45" s="17">
        <v>10</v>
      </c>
      <c r="AS45" s="17"/>
      <c r="AT45" s="17"/>
      <c r="AU45" s="17"/>
      <c r="AV45" s="17"/>
      <c r="AW45" s="17"/>
      <c r="AX45" s="12"/>
      <c r="AZ45" t="s">
        <v>1609</v>
      </c>
    </row>
    <row r="46" spans="1:52" ht="18.75" customHeight="1">
      <c r="A46" s="4">
        <v>38</v>
      </c>
      <c r="B46" s="11" t="s">
        <v>88</v>
      </c>
      <c r="C46" s="12"/>
      <c r="D46" s="12" t="s">
        <v>1610</v>
      </c>
      <c r="E46" s="12" t="s">
        <v>1611</v>
      </c>
      <c r="F46" s="18" t="s">
        <v>1612</v>
      </c>
      <c r="G46" s="34" t="s">
        <v>552</v>
      </c>
      <c r="H46" s="12" t="s">
        <v>1610</v>
      </c>
      <c r="I46" s="12" t="s">
        <v>1608</v>
      </c>
      <c r="J46" s="14"/>
      <c r="K46" s="27">
        <v>0</v>
      </c>
      <c r="L46" s="10"/>
      <c r="M46" s="12" t="s">
        <v>1485</v>
      </c>
      <c r="N46" s="12" t="s">
        <v>1486</v>
      </c>
      <c r="O46" s="8">
        <f t="shared" si="0"/>
        <v>70</v>
      </c>
      <c r="P46" s="17"/>
      <c r="Q46" s="17"/>
      <c r="R46" s="17"/>
      <c r="S46" s="17"/>
      <c r="T46" s="17"/>
      <c r="U46" s="17"/>
      <c r="V46" s="17">
        <v>10</v>
      </c>
      <c r="W46" s="17">
        <v>10</v>
      </c>
      <c r="X46" s="17"/>
      <c r="Y46" s="17"/>
      <c r="Z46" s="17">
        <v>10</v>
      </c>
      <c r="AA46" s="17"/>
      <c r="AB46" s="17"/>
      <c r="AC46" s="17"/>
      <c r="AD46" s="17"/>
      <c r="AE46" s="17"/>
      <c r="AF46" s="17">
        <v>10</v>
      </c>
      <c r="AG46" s="17">
        <v>10</v>
      </c>
      <c r="AH46" s="17"/>
      <c r="AI46" s="17"/>
      <c r="AJ46" s="17"/>
      <c r="AK46" s="17"/>
      <c r="AL46" s="17"/>
      <c r="AM46" s="17"/>
      <c r="AN46" s="17"/>
      <c r="AO46" s="17"/>
      <c r="AP46" s="17">
        <v>10</v>
      </c>
      <c r="AQ46" s="17"/>
      <c r="AR46" s="17">
        <v>10</v>
      </c>
      <c r="AS46" s="17"/>
      <c r="AT46" s="17"/>
      <c r="AU46" s="17"/>
      <c r="AV46" s="17"/>
      <c r="AW46" s="17"/>
      <c r="AX46" s="12"/>
    </row>
    <row r="47" spans="1:52" ht="18.75" customHeight="1">
      <c r="A47" s="4">
        <v>39</v>
      </c>
      <c r="B47" s="5" t="s">
        <v>88</v>
      </c>
      <c r="C47" s="6"/>
      <c r="D47" s="38" t="s">
        <v>1613</v>
      </c>
      <c r="E47" s="38" t="s">
        <v>1614</v>
      </c>
      <c r="F47" s="7" t="s">
        <v>1615</v>
      </c>
      <c r="G47" s="9"/>
      <c r="H47" s="9"/>
      <c r="I47" s="9"/>
      <c r="J47" s="9"/>
      <c r="K47" s="20">
        <v>0</v>
      </c>
      <c r="L47" s="4"/>
      <c r="M47" s="9" t="s">
        <v>1485</v>
      </c>
      <c r="N47" s="9"/>
      <c r="O47" s="8">
        <f t="shared" si="0"/>
        <v>0</v>
      </c>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9"/>
    </row>
    <row r="48" spans="1:52" ht="18.75" customHeight="1">
      <c r="A48" s="4">
        <v>40</v>
      </c>
      <c r="B48" s="11" t="s">
        <v>88</v>
      </c>
      <c r="C48" s="12"/>
      <c r="D48" s="12" t="s">
        <v>1616</v>
      </c>
      <c r="E48" s="12" t="s">
        <v>1617</v>
      </c>
      <c r="F48" s="18" t="s">
        <v>1618</v>
      </c>
      <c r="G48" s="34" t="s">
        <v>552</v>
      </c>
      <c r="H48" s="12" t="s">
        <v>1616</v>
      </c>
      <c r="I48" s="12" t="s">
        <v>1619</v>
      </c>
      <c r="J48" s="14"/>
      <c r="K48" s="27">
        <v>0</v>
      </c>
      <c r="L48" s="10"/>
      <c r="M48" s="12" t="s">
        <v>1485</v>
      </c>
      <c r="N48" s="12" t="s">
        <v>1486</v>
      </c>
      <c r="O48" s="8">
        <f t="shared" si="0"/>
        <v>0</v>
      </c>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4"/>
    </row>
    <row r="49" spans="1:50" ht="30.75" customHeight="1">
      <c r="A49" s="4">
        <v>41</v>
      </c>
      <c r="B49" s="11" t="s">
        <v>88</v>
      </c>
      <c r="C49" s="12"/>
      <c r="D49" s="12" t="s">
        <v>1620</v>
      </c>
      <c r="E49" s="12" t="s">
        <v>1621</v>
      </c>
      <c r="F49" s="18" t="s">
        <v>1517</v>
      </c>
      <c r="G49" s="34" t="s">
        <v>552</v>
      </c>
      <c r="H49" s="12" t="s">
        <v>1620</v>
      </c>
      <c r="I49" s="12" t="s">
        <v>1518</v>
      </c>
      <c r="J49" s="14"/>
      <c r="K49" s="27">
        <v>0</v>
      </c>
      <c r="L49" s="10"/>
      <c r="M49" s="12" t="s">
        <v>1485</v>
      </c>
      <c r="N49" s="12" t="s">
        <v>1486</v>
      </c>
      <c r="O49" s="8">
        <f t="shared" si="0"/>
        <v>0</v>
      </c>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4"/>
    </row>
    <row r="50" spans="1:50" ht="18.75" customHeight="1">
      <c r="A50" s="4">
        <v>42</v>
      </c>
      <c r="B50" s="11" t="s">
        <v>88</v>
      </c>
      <c r="C50" s="12"/>
      <c r="D50" s="12" t="s">
        <v>1622</v>
      </c>
      <c r="E50" s="12" t="s">
        <v>1623</v>
      </c>
      <c r="F50" s="18" t="s">
        <v>1624</v>
      </c>
      <c r="G50" s="34" t="s">
        <v>552</v>
      </c>
      <c r="H50" s="12" t="s">
        <v>1622</v>
      </c>
      <c r="I50" s="12" t="s">
        <v>1537</v>
      </c>
      <c r="J50" s="14"/>
      <c r="K50" s="27">
        <v>0</v>
      </c>
      <c r="L50" s="10"/>
      <c r="M50" s="12" t="s">
        <v>1485</v>
      </c>
      <c r="N50" s="12" t="s">
        <v>1486</v>
      </c>
      <c r="O50" s="8">
        <f t="shared" si="0"/>
        <v>0</v>
      </c>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4"/>
    </row>
    <row r="51" spans="1:50" ht="18.75" customHeight="1">
      <c r="A51" s="4">
        <v>43</v>
      </c>
      <c r="B51" s="11" t="s">
        <v>88</v>
      </c>
      <c r="C51" s="12"/>
      <c r="D51" s="12" t="s">
        <v>1625</v>
      </c>
      <c r="E51" s="12" t="s">
        <v>1623</v>
      </c>
      <c r="F51" s="18" t="s">
        <v>1626</v>
      </c>
      <c r="G51" s="34" t="s">
        <v>552</v>
      </c>
      <c r="H51" s="12" t="s">
        <v>1625</v>
      </c>
      <c r="I51" s="12" t="s">
        <v>1537</v>
      </c>
      <c r="J51" s="14"/>
      <c r="K51" s="27">
        <v>0</v>
      </c>
      <c r="L51" s="10"/>
      <c r="M51" s="12" t="s">
        <v>1485</v>
      </c>
      <c r="N51" s="12" t="s">
        <v>1486</v>
      </c>
      <c r="O51" s="8">
        <f t="shared" si="0"/>
        <v>0</v>
      </c>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2"/>
    </row>
    <row r="52" spans="1:50" ht="18.75" customHeight="1">
      <c r="A52" s="4">
        <v>44</v>
      </c>
      <c r="B52" s="11" t="s">
        <v>88</v>
      </c>
      <c r="C52" s="12"/>
      <c r="D52" s="12" t="s">
        <v>1627</v>
      </c>
      <c r="E52" s="12" t="s">
        <v>1628</v>
      </c>
      <c r="F52" s="18" t="s">
        <v>1629</v>
      </c>
      <c r="G52" s="34" t="s">
        <v>552</v>
      </c>
      <c r="H52" s="12" t="s">
        <v>1627</v>
      </c>
      <c r="I52" s="12" t="s">
        <v>1630</v>
      </c>
      <c r="J52" s="14"/>
      <c r="K52" s="27">
        <v>0</v>
      </c>
      <c r="L52" s="10"/>
      <c r="M52" s="12" t="s">
        <v>1485</v>
      </c>
      <c r="N52" s="12" t="s">
        <v>1486</v>
      </c>
      <c r="O52" s="8">
        <f t="shared" si="0"/>
        <v>0</v>
      </c>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4"/>
    </row>
    <row r="53" spans="1:50" ht="18.75" customHeight="1">
      <c r="A53" s="4">
        <v>45</v>
      </c>
      <c r="B53" s="11" t="s">
        <v>88</v>
      </c>
      <c r="C53" s="12"/>
      <c r="D53" s="12" t="s">
        <v>1631</v>
      </c>
      <c r="E53" s="12" t="s">
        <v>1632</v>
      </c>
      <c r="F53" s="18" t="s">
        <v>1633</v>
      </c>
      <c r="G53" s="34" t="s">
        <v>552</v>
      </c>
      <c r="H53" s="12" t="s">
        <v>1631</v>
      </c>
      <c r="I53" s="12" t="s">
        <v>1518</v>
      </c>
      <c r="J53" s="14"/>
      <c r="K53" s="27">
        <v>0</v>
      </c>
      <c r="L53" s="10"/>
      <c r="M53" s="12" t="s">
        <v>1485</v>
      </c>
      <c r="N53" s="12" t="s">
        <v>1486</v>
      </c>
      <c r="O53" s="8">
        <f t="shared" si="0"/>
        <v>0</v>
      </c>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2"/>
    </row>
    <row r="54" spans="1:50" ht="18.75" customHeight="1">
      <c r="A54" s="4">
        <v>46</v>
      </c>
      <c r="B54" s="11" t="s">
        <v>88</v>
      </c>
      <c r="C54" s="12"/>
      <c r="D54" s="12" t="s">
        <v>1634</v>
      </c>
      <c r="E54" s="12" t="s">
        <v>1632</v>
      </c>
      <c r="F54" s="18" t="s">
        <v>1635</v>
      </c>
      <c r="G54" s="34" t="s">
        <v>552</v>
      </c>
      <c r="H54" s="12" t="s">
        <v>1634</v>
      </c>
      <c r="I54" s="12" t="s">
        <v>1630</v>
      </c>
      <c r="J54" s="14"/>
      <c r="K54" s="27">
        <v>0</v>
      </c>
      <c r="L54" s="10"/>
      <c r="M54" s="12" t="s">
        <v>1485</v>
      </c>
      <c r="N54" s="12" t="s">
        <v>1486</v>
      </c>
      <c r="O54" s="8">
        <f t="shared" si="0"/>
        <v>0</v>
      </c>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4"/>
    </row>
    <row r="55" spans="1:50" ht="18.75" customHeight="1">
      <c r="A55" s="4">
        <v>47</v>
      </c>
      <c r="B55" s="5" t="s">
        <v>88</v>
      </c>
      <c r="C55" s="6"/>
      <c r="D55" s="35" t="s">
        <v>1636</v>
      </c>
      <c r="E55" s="35" t="s">
        <v>1637</v>
      </c>
      <c r="F55" s="7"/>
      <c r="G55" s="9"/>
      <c r="H55" s="9"/>
      <c r="I55" s="9"/>
      <c r="J55" s="9"/>
      <c r="K55" s="20">
        <v>0</v>
      </c>
      <c r="L55" s="4"/>
      <c r="M55" s="9" t="s">
        <v>1485</v>
      </c>
      <c r="N55" s="9"/>
      <c r="O55" s="8">
        <f t="shared" si="0"/>
        <v>0</v>
      </c>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9"/>
    </row>
    <row r="56" spans="1:50" ht="18.75" customHeight="1">
      <c r="A56" s="4">
        <v>48</v>
      </c>
      <c r="B56" s="11" t="s">
        <v>88</v>
      </c>
      <c r="C56" s="12"/>
      <c r="D56" s="12" t="s">
        <v>1638</v>
      </c>
      <c r="E56" s="12" t="s">
        <v>1639</v>
      </c>
      <c r="F56" s="18"/>
      <c r="G56" s="34" t="s">
        <v>552</v>
      </c>
      <c r="H56" s="12" t="s">
        <v>1638</v>
      </c>
      <c r="I56" s="12" t="s">
        <v>1640</v>
      </c>
      <c r="J56" s="14"/>
      <c r="K56" s="27">
        <v>0</v>
      </c>
      <c r="L56" s="10"/>
      <c r="M56" s="12" t="s">
        <v>1485</v>
      </c>
      <c r="N56" s="12" t="s">
        <v>1486</v>
      </c>
      <c r="O56" s="8">
        <f t="shared" si="0"/>
        <v>23</v>
      </c>
      <c r="P56" s="17"/>
      <c r="Q56" s="17"/>
      <c r="R56" s="17"/>
      <c r="S56" s="17"/>
      <c r="T56" s="17"/>
      <c r="U56" s="17"/>
      <c r="V56" s="17">
        <v>7</v>
      </c>
      <c r="W56" s="17">
        <v>4</v>
      </c>
      <c r="X56" s="17"/>
      <c r="Y56" s="17"/>
      <c r="Z56" s="17">
        <v>6</v>
      </c>
      <c r="AA56" s="17"/>
      <c r="AB56" s="17"/>
      <c r="AC56" s="17"/>
      <c r="AD56" s="17"/>
      <c r="AE56" s="17"/>
      <c r="AF56" s="17">
        <v>3</v>
      </c>
      <c r="AG56" s="17">
        <v>3</v>
      </c>
      <c r="AH56" s="17"/>
      <c r="AI56" s="17"/>
      <c r="AJ56" s="17"/>
      <c r="AK56" s="17"/>
      <c r="AL56" s="17"/>
      <c r="AM56" s="17"/>
      <c r="AN56" s="17"/>
      <c r="AO56" s="17"/>
      <c r="AP56" s="17"/>
      <c r="AQ56" s="17"/>
      <c r="AR56" s="17"/>
      <c r="AS56" s="17"/>
      <c r="AT56" s="17"/>
      <c r="AU56" s="17"/>
      <c r="AV56" s="17"/>
      <c r="AW56" s="17"/>
      <c r="AX56" s="14"/>
    </row>
    <row r="57" spans="1:50" ht="18.75" customHeight="1">
      <c r="A57" s="4">
        <v>49</v>
      </c>
      <c r="B57" s="11" t="s">
        <v>88</v>
      </c>
      <c r="C57" s="12"/>
      <c r="D57" s="12" t="s">
        <v>1641</v>
      </c>
      <c r="E57" s="12" t="s">
        <v>1642</v>
      </c>
      <c r="F57" s="18"/>
      <c r="G57" s="34" t="s">
        <v>552</v>
      </c>
      <c r="H57" s="12" t="s">
        <v>1641</v>
      </c>
      <c r="I57" s="12" t="s">
        <v>1643</v>
      </c>
      <c r="J57" s="14"/>
      <c r="K57" s="27">
        <v>0</v>
      </c>
      <c r="L57" s="10"/>
      <c r="M57" s="12" t="s">
        <v>1485</v>
      </c>
      <c r="N57" s="12" t="s">
        <v>1486</v>
      </c>
      <c r="O57" s="8">
        <f t="shared" si="0"/>
        <v>49</v>
      </c>
      <c r="P57" s="17"/>
      <c r="Q57" s="17"/>
      <c r="R57" s="17"/>
      <c r="S57" s="17"/>
      <c r="T57" s="17"/>
      <c r="U57" s="17"/>
      <c r="V57" s="17">
        <v>2</v>
      </c>
      <c r="W57" s="17">
        <v>42</v>
      </c>
      <c r="X57" s="17"/>
      <c r="Y57" s="17"/>
      <c r="Z57" s="17">
        <v>1</v>
      </c>
      <c r="AA57" s="17"/>
      <c r="AB57" s="17"/>
      <c r="AC57" s="17"/>
      <c r="AD57" s="17"/>
      <c r="AE57" s="17"/>
      <c r="AF57" s="17">
        <v>1</v>
      </c>
      <c r="AG57" s="17">
        <v>3</v>
      </c>
      <c r="AH57" s="17"/>
      <c r="AI57" s="17"/>
      <c r="AJ57" s="17"/>
      <c r="AK57" s="17"/>
      <c r="AL57" s="17"/>
      <c r="AM57" s="17"/>
      <c r="AN57" s="17"/>
      <c r="AO57" s="17"/>
      <c r="AP57" s="17"/>
      <c r="AQ57" s="17"/>
      <c r="AR57" s="17"/>
      <c r="AS57" s="17"/>
      <c r="AT57" s="17"/>
      <c r="AU57" s="17"/>
      <c r="AV57" s="17"/>
      <c r="AW57" s="17"/>
      <c r="AX57" s="14"/>
    </row>
    <row r="58" spans="1:50" ht="18.75" customHeight="1">
      <c r="A58" s="4">
        <v>50</v>
      </c>
      <c r="B58" s="11" t="s">
        <v>88</v>
      </c>
      <c r="C58" s="12"/>
      <c r="D58" s="12" t="s">
        <v>1644</v>
      </c>
      <c r="E58" s="12" t="s">
        <v>1645</v>
      </c>
      <c r="F58" s="18" t="s">
        <v>1646</v>
      </c>
      <c r="G58" s="34" t="s">
        <v>552</v>
      </c>
      <c r="H58" s="12" t="s">
        <v>1644</v>
      </c>
      <c r="I58" s="12" t="s">
        <v>1643</v>
      </c>
      <c r="J58" s="14"/>
      <c r="K58" s="27">
        <v>0</v>
      </c>
      <c r="L58" s="10"/>
      <c r="M58" s="12" t="s">
        <v>1485</v>
      </c>
      <c r="N58" s="12" t="s">
        <v>1486</v>
      </c>
      <c r="O58" s="8">
        <f t="shared" si="0"/>
        <v>0</v>
      </c>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4"/>
    </row>
    <row r="59" spans="1:50" ht="30.75" customHeight="1">
      <c r="A59" s="4">
        <v>51</v>
      </c>
      <c r="B59" s="11" t="s">
        <v>88</v>
      </c>
      <c r="C59" s="12"/>
      <c r="D59" s="12" t="s">
        <v>1647</v>
      </c>
      <c r="E59" s="12" t="s">
        <v>1648</v>
      </c>
      <c r="F59" s="18" t="s">
        <v>1649</v>
      </c>
      <c r="G59" s="34" t="s">
        <v>552</v>
      </c>
      <c r="H59" s="12" t="s">
        <v>1647</v>
      </c>
      <c r="I59" s="12" t="s">
        <v>1650</v>
      </c>
      <c r="J59" s="14"/>
      <c r="K59" s="27">
        <v>0</v>
      </c>
      <c r="L59" s="10"/>
      <c r="M59" s="12" t="s">
        <v>1485</v>
      </c>
      <c r="N59" s="12" t="s">
        <v>1486</v>
      </c>
      <c r="O59" s="8">
        <f t="shared" si="0"/>
        <v>0</v>
      </c>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4"/>
    </row>
    <row r="60" spans="1:50" ht="18.75" customHeight="1">
      <c r="A60" s="4">
        <v>52</v>
      </c>
      <c r="B60" s="11" t="s">
        <v>88</v>
      </c>
      <c r="C60" s="12"/>
      <c r="D60" s="12" t="s">
        <v>1651</v>
      </c>
      <c r="E60" s="12" t="s">
        <v>1652</v>
      </c>
      <c r="F60" s="18" t="s">
        <v>1653</v>
      </c>
      <c r="G60" s="34" t="s">
        <v>552</v>
      </c>
      <c r="H60" s="12" t="s">
        <v>1651</v>
      </c>
      <c r="I60" s="12" t="s">
        <v>1654</v>
      </c>
      <c r="J60" s="14"/>
      <c r="K60" s="27">
        <v>0</v>
      </c>
      <c r="L60" s="10"/>
      <c r="M60" s="12" t="s">
        <v>1485</v>
      </c>
      <c r="N60" s="12" t="s">
        <v>1486</v>
      </c>
      <c r="O60" s="8">
        <f t="shared" si="0"/>
        <v>0</v>
      </c>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2"/>
    </row>
    <row r="61" spans="1:50" ht="18.75" customHeight="1">
      <c r="A61" s="4"/>
      <c r="B61" s="11"/>
      <c r="C61" s="12"/>
      <c r="D61" s="12" t="s">
        <v>1655</v>
      </c>
      <c r="E61" s="12" t="s">
        <v>1639</v>
      </c>
      <c r="F61" s="18" t="s">
        <v>1656</v>
      </c>
      <c r="G61" s="34"/>
      <c r="H61" s="12"/>
      <c r="I61" s="12"/>
      <c r="J61" s="14"/>
      <c r="K61" s="27"/>
      <c r="L61" s="10"/>
      <c r="M61" s="12"/>
      <c r="N61" s="12" t="s">
        <v>1486</v>
      </c>
      <c r="O61" s="8">
        <f t="shared" si="0"/>
        <v>1</v>
      </c>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v>1</v>
      </c>
      <c r="AX61" s="12" t="s">
        <v>1657</v>
      </c>
    </row>
    <row r="62" spans="1:50" ht="18.75" customHeight="1">
      <c r="A62" s="4">
        <v>53</v>
      </c>
      <c r="B62" s="5" t="s">
        <v>88</v>
      </c>
      <c r="C62" s="6"/>
      <c r="D62" s="35" t="s">
        <v>1658</v>
      </c>
      <c r="E62" s="35" t="s">
        <v>1659</v>
      </c>
      <c r="F62" s="7"/>
      <c r="G62" s="9"/>
      <c r="H62" s="9"/>
      <c r="I62" s="9"/>
      <c r="J62" s="9"/>
      <c r="K62" s="20">
        <v>0</v>
      </c>
      <c r="L62" s="4"/>
      <c r="M62" s="9" t="s">
        <v>1485</v>
      </c>
      <c r="N62" s="9"/>
      <c r="O62" s="8">
        <f t="shared" si="0"/>
        <v>0</v>
      </c>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9"/>
    </row>
    <row r="63" spans="1:50" ht="18.75" customHeight="1">
      <c r="A63" s="4">
        <v>54</v>
      </c>
      <c r="B63" s="5" t="s">
        <v>88</v>
      </c>
      <c r="C63" s="6"/>
      <c r="D63" s="38" t="s">
        <v>1660</v>
      </c>
      <c r="E63" s="38" t="s">
        <v>1661</v>
      </c>
      <c r="F63" s="7"/>
      <c r="G63" s="9"/>
      <c r="H63" s="9"/>
      <c r="I63" s="9"/>
      <c r="J63" s="9"/>
      <c r="K63" s="20">
        <v>0</v>
      </c>
      <c r="L63" s="4"/>
      <c r="M63" s="9" t="s">
        <v>1485</v>
      </c>
      <c r="N63" s="9"/>
      <c r="O63" s="8">
        <f t="shared" si="0"/>
        <v>0</v>
      </c>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9"/>
    </row>
    <row r="64" spans="1:50" ht="18.75" customHeight="1">
      <c r="A64" s="4">
        <v>55</v>
      </c>
      <c r="B64" s="11" t="s">
        <v>88</v>
      </c>
      <c r="C64" s="12"/>
      <c r="D64" s="12" t="s">
        <v>1662</v>
      </c>
      <c r="E64" s="12" t="s">
        <v>1663</v>
      </c>
      <c r="F64" s="18" t="s">
        <v>1664</v>
      </c>
      <c r="G64" s="34" t="s">
        <v>552</v>
      </c>
      <c r="H64" s="12" t="s">
        <v>1662</v>
      </c>
      <c r="I64" s="12" t="s">
        <v>1665</v>
      </c>
      <c r="J64" s="14"/>
      <c r="K64" s="27">
        <v>0</v>
      </c>
      <c r="L64" s="10"/>
      <c r="M64" s="12" t="s">
        <v>1485</v>
      </c>
      <c r="N64" s="12" t="s">
        <v>1486</v>
      </c>
      <c r="O64" s="8">
        <f t="shared" si="0"/>
        <v>0</v>
      </c>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4"/>
    </row>
    <row r="65" spans="1:50" ht="18.75" customHeight="1">
      <c r="A65" s="4">
        <v>56</v>
      </c>
      <c r="B65" s="11" t="s">
        <v>88</v>
      </c>
      <c r="C65" s="12"/>
      <c r="D65" s="12" t="s">
        <v>1666</v>
      </c>
      <c r="E65" s="12" t="s">
        <v>1667</v>
      </c>
      <c r="F65" s="18" t="s">
        <v>1668</v>
      </c>
      <c r="G65" s="34" t="s">
        <v>552</v>
      </c>
      <c r="H65" s="12" t="s">
        <v>1666</v>
      </c>
      <c r="I65" s="12" t="s">
        <v>1669</v>
      </c>
      <c r="J65" s="14"/>
      <c r="K65" s="27">
        <v>0</v>
      </c>
      <c r="L65" s="10"/>
      <c r="M65" s="12" t="s">
        <v>1485</v>
      </c>
      <c r="N65" s="12" t="s">
        <v>1486</v>
      </c>
      <c r="O65" s="8">
        <f t="shared" si="0"/>
        <v>5</v>
      </c>
      <c r="P65" s="17"/>
      <c r="Q65" s="17"/>
      <c r="R65" s="17"/>
      <c r="S65" s="17"/>
      <c r="T65" s="17"/>
      <c r="U65" s="17"/>
      <c r="V65" s="17">
        <v>1</v>
      </c>
      <c r="W65" s="17">
        <v>1</v>
      </c>
      <c r="X65" s="17"/>
      <c r="Y65" s="17"/>
      <c r="Z65" s="17">
        <v>1</v>
      </c>
      <c r="AA65" s="17"/>
      <c r="AB65" s="17"/>
      <c r="AC65" s="17"/>
      <c r="AD65" s="17"/>
      <c r="AE65" s="17"/>
      <c r="AF65" s="17">
        <v>1</v>
      </c>
      <c r="AG65" s="17">
        <v>1</v>
      </c>
      <c r="AH65" s="17"/>
      <c r="AI65" s="17"/>
      <c r="AJ65" s="17"/>
      <c r="AK65" s="17"/>
      <c r="AL65" s="17"/>
      <c r="AM65" s="17"/>
      <c r="AN65" s="17"/>
      <c r="AO65" s="17"/>
      <c r="AP65" s="17"/>
      <c r="AQ65" s="17"/>
      <c r="AR65" s="17"/>
      <c r="AS65" s="17"/>
      <c r="AT65" s="17"/>
      <c r="AU65" s="17"/>
      <c r="AV65" s="17"/>
      <c r="AW65" s="17"/>
      <c r="AX65" s="14"/>
    </row>
    <row r="66" spans="1:50" ht="18.75" customHeight="1">
      <c r="A66" s="4">
        <v>57</v>
      </c>
      <c r="B66" s="11" t="s">
        <v>88</v>
      </c>
      <c r="C66" s="12"/>
      <c r="D66" s="12" t="s">
        <v>1670</v>
      </c>
      <c r="E66" s="12" t="s">
        <v>1671</v>
      </c>
      <c r="F66" s="18" t="s">
        <v>1672</v>
      </c>
      <c r="G66" s="34" t="s">
        <v>552</v>
      </c>
      <c r="H66" s="12" t="s">
        <v>1670</v>
      </c>
      <c r="I66" s="12" t="s">
        <v>1665</v>
      </c>
      <c r="J66" s="14"/>
      <c r="K66" s="27">
        <v>0</v>
      </c>
      <c r="L66" s="10"/>
      <c r="M66" s="12" t="s">
        <v>1485</v>
      </c>
      <c r="N66" s="12" t="s">
        <v>1486</v>
      </c>
      <c r="O66" s="8">
        <f t="shared" si="0"/>
        <v>5</v>
      </c>
      <c r="P66" s="17"/>
      <c r="Q66" s="17"/>
      <c r="R66" s="17"/>
      <c r="S66" s="17"/>
      <c r="T66" s="17"/>
      <c r="U66" s="17"/>
      <c r="V66" s="17">
        <v>1</v>
      </c>
      <c r="W66" s="17">
        <v>1</v>
      </c>
      <c r="X66" s="17"/>
      <c r="Y66" s="17"/>
      <c r="Z66" s="17">
        <v>1</v>
      </c>
      <c r="AA66" s="17"/>
      <c r="AB66" s="17"/>
      <c r="AC66" s="17"/>
      <c r="AD66" s="17"/>
      <c r="AE66" s="17"/>
      <c r="AF66" s="17">
        <v>1</v>
      </c>
      <c r="AG66" s="17">
        <v>1</v>
      </c>
      <c r="AH66" s="17"/>
      <c r="AI66" s="17"/>
      <c r="AJ66" s="17"/>
      <c r="AK66" s="17"/>
      <c r="AL66" s="17"/>
      <c r="AM66" s="17"/>
      <c r="AN66" s="17"/>
      <c r="AO66" s="17"/>
      <c r="AP66" s="17"/>
      <c r="AQ66" s="17"/>
      <c r="AR66" s="17"/>
      <c r="AS66" s="17"/>
      <c r="AT66" s="17"/>
      <c r="AU66" s="17"/>
      <c r="AV66" s="17"/>
      <c r="AW66" s="17"/>
      <c r="AX66" s="14"/>
    </row>
    <row r="67" spans="1:50" ht="18.75" customHeight="1">
      <c r="A67" s="4">
        <v>58</v>
      </c>
      <c r="B67" s="11" t="s">
        <v>88</v>
      </c>
      <c r="C67" s="12"/>
      <c r="D67" s="12" t="s">
        <v>1673</v>
      </c>
      <c r="E67" s="12" t="s">
        <v>1674</v>
      </c>
      <c r="F67" s="18" t="s">
        <v>1675</v>
      </c>
      <c r="G67" s="34" t="s">
        <v>552</v>
      </c>
      <c r="H67" s="12" t="s">
        <v>1673</v>
      </c>
      <c r="I67" s="12" t="s">
        <v>1676</v>
      </c>
      <c r="J67" s="14"/>
      <c r="K67" s="27">
        <v>0</v>
      </c>
      <c r="L67" s="10"/>
      <c r="M67" s="12" t="s">
        <v>1485</v>
      </c>
      <c r="N67" s="12" t="s">
        <v>109</v>
      </c>
      <c r="O67" s="8">
        <f t="shared" si="0"/>
        <v>1000</v>
      </c>
      <c r="P67" s="17"/>
      <c r="Q67" s="17"/>
      <c r="R67" s="17"/>
      <c r="S67" s="17"/>
      <c r="T67" s="17"/>
      <c r="U67" s="17"/>
      <c r="V67" s="17">
        <v>200</v>
      </c>
      <c r="W67" s="17">
        <v>200</v>
      </c>
      <c r="X67" s="17"/>
      <c r="Y67" s="17"/>
      <c r="Z67" s="17">
        <v>200</v>
      </c>
      <c r="AA67" s="17"/>
      <c r="AB67" s="17"/>
      <c r="AC67" s="17"/>
      <c r="AD67" s="17"/>
      <c r="AE67" s="17"/>
      <c r="AF67" s="17">
        <v>200</v>
      </c>
      <c r="AG67" s="17">
        <v>200</v>
      </c>
      <c r="AH67" s="17"/>
      <c r="AI67" s="17"/>
      <c r="AJ67" s="17"/>
      <c r="AK67" s="17"/>
      <c r="AL67" s="17"/>
      <c r="AM67" s="17"/>
      <c r="AN67" s="17"/>
      <c r="AO67" s="17"/>
      <c r="AP67" s="17"/>
      <c r="AQ67" s="17"/>
      <c r="AR67" s="17"/>
      <c r="AS67" s="17"/>
      <c r="AT67" s="17"/>
      <c r="AU67" s="17"/>
      <c r="AV67" s="17"/>
      <c r="AW67" s="17"/>
      <c r="AX67" s="14"/>
    </row>
    <row r="68" spans="1:50" ht="18.75" customHeight="1">
      <c r="A68" s="4">
        <v>59</v>
      </c>
      <c r="B68" s="11" t="s">
        <v>88</v>
      </c>
      <c r="C68" s="12"/>
      <c r="D68" s="12" t="s">
        <v>1677</v>
      </c>
      <c r="E68" s="12" t="s">
        <v>1678</v>
      </c>
      <c r="F68" s="18" t="s">
        <v>1679</v>
      </c>
      <c r="G68" s="34" t="s">
        <v>552</v>
      </c>
      <c r="H68" s="12" t="s">
        <v>1677</v>
      </c>
      <c r="I68" s="12" t="s">
        <v>1608</v>
      </c>
      <c r="J68" s="14"/>
      <c r="K68" s="27">
        <v>0</v>
      </c>
      <c r="L68" s="10"/>
      <c r="M68" s="12" t="s">
        <v>1485</v>
      </c>
      <c r="N68" s="12" t="s">
        <v>1486</v>
      </c>
      <c r="O68" s="8">
        <f t="shared" si="0"/>
        <v>0</v>
      </c>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4"/>
    </row>
    <row r="69" spans="1:50" ht="18.75" customHeight="1">
      <c r="A69" s="4">
        <v>60</v>
      </c>
      <c r="B69" s="11" t="s">
        <v>88</v>
      </c>
      <c r="C69" s="12"/>
      <c r="D69" s="12" t="s">
        <v>1680</v>
      </c>
      <c r="E69" s="12" t="s">
        <v>1681</v>
      </c>
      <c r="F69" s="18" t="s">
        <v>1682</v>
      </c>
      <c r="G69" s="34" t="s">
        <v>552</v>
      </c>
      <c r="H69" s="12" t="s">
        <v>1680</v>
      </c>
      <c r="I69" s="12" t="s">
        <v>1608</v>
      </c>
      <c r="J69" s="14"/>
      <c r="K69" s="27">
        <v>0</v>
      </c>
      <c r="L69" s="10"/>
      <c r="M69" s="12" t="s">
        <v>1485</v>
      </c>
      <c r="N69" s="12" t="s">
        <v>1486</v>
      </c>
      <c r="O69" s="8">
        <f t="shared" si="0"/>
        <v>0</v>
      </c>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4"/>
    </row>
    <row r="70" spans="1:50" ht="18.75" customHeight="1">
      <c r="A70" s="4">
        <v>61</v>
      </c>
      <c r="B70" s="11" t="s">
        <v>88</v>
      </c>
      <c r="C70" s="12"/>
      <c r="D70" s="12" t="s">
        <v>1683</v>
      </c>
      <c r="E70" s="12" t="s">
        <v>1684</v>
      </c>
      <c r="F70" s="18" t="s">
        <v>1685</v>
      </c>
      <c r="G70" s="34" t="s">
        <v>552</v>
      </c>
      <c r="H70" s="12" t="s">
        <v>1683</v>
      </c>
      <c r="I70" s="12" t="s">
        <v>1686</v>
      </c>
      <c r="J70" s="34" t="s">
        <v>552</v>
      </c>
      <c r="K70" s="33">
        <v>2</v>
      </c>
      <c r="L70" s="13" t="s">
        <v>89</v>
      </c>
      <c r="M70" s="12" t="s">
        <v>1485</v>
      </c>
      <c r="N70" s="12" t="s">
        <v>1486</v>
      </c>
      <c r="O70" s="8">
        <f t="shared" si="0"/>
        <v>5</v>
      </c>
      <c r="P70" s="17"/>
      <c r="Q70" s="17"/>
      <c r="R70" s="17"/>
      <c r="S70" s="17"/>
      <c r="T70" s="17"/>
      <c r="U70" s="17"/>
      <c r="V70" s="17">
        <v>1</v>
      </c>
      <c r="W70" s="17">
        <v>1</v>
      </c>
      <c r="X70" s="17"/>
      <c r="Y70" s="17"/>
      <c r="Z70" s="17">
        <v>1</v>
      </c>
      <c r="AA70" s="17"/>
      <c r="AB70" s="17"/>
      <c r="AC70" s="17"/>
      <c r="AD70" s="17"/>
      <c r="AE70" s="17"/>
      <c r="AF70" s="17">
        <v>1</v>
      </c>
      <c r="AG70" s="17">
        <v>1</v>
      </c>
      <c r="AH70" s="17"/>
      <c r="AI70" s="17"/>
      <c r="AJ70" s="17"/>
      <c r="AK70" s="17"/>
      <c r="AL70" s="17"/>
      <c r="AM70" s="17"/>
      <c r="AN70" s="17"/>
      <c r="AO70" s="17"/>
      <c r="AP70" s="17"/>
      <c r="AQ70" s="17"/>
      <c r="AR70" s="17"/>
      <c r="AS70" s="17"/>
      <c r="AT70" s="17"/>
      <c r="AU70" s="17"/>
      <c r="AV70" s="17"/>
      <c r="AW70" s="17"/>
      <c r="AX70" s="14"/>
    </row>
    <row r="71" spans="1:50" ht="18.75" customHeight="1">
      <c r="A71" s="4">
        <v>62</v>
      </c>
      <c r="B71" s="11" t="s">
        <v>88</v>
      </c>
      <c r="C71" s="12"/>
      <c r="D71" s="12" t="s">
        <v>1687</v>
      </c>
      <c r="E71" s="12" t="s">
        <v>1688</v>
      </c>
      <c r="F71" s="18" t="s">
        <v>1689</v>
      </c>
      <c r="G71" s="34" t="s">
        <v>552</v>
      </c>
      <c r="H71" s="12" t="s">
        <v>1687</v>
      </c>
      <c r="I71" s="12" t="s">
        <v>1665</v>
      </c>
      <c r="J71" s="14"/>
      <c r="K71" s="27">
        <v>0</v>
      </c>
      <c r="L71" s="10"/>
      <c r="M71" s="12" t="s">
        <v>1485</v>
      </c>
      <c r="N71" s="12" t="s">
        <v>1486</v>
      </c>
      <c r="O71" s="8">
        <f t="shared" si="0"/>
        <v>5</v>
      </c>
      <c r="P71" s="17"/>
      <c r="Q71" s="17"/>
      <c r="R71" s="17"/>
      <c r="S71" s="17"/>
      <c r="T71" s="17"/>
      <c r="U71" s="17"/>
      <c r="V71" s="17">
        <v>1</v>
      </c>
      <c r="W71" s="17">
        <v>1</v>
      </c>
      <c r="X71" s="17"/>
      <c r="Y71" s="17"/>
      <c r="Z71" s="17">
        <v>1</v>
      </c>
      <c r="AA71" s="17"/>
      <c r="AB71" s="17"/>
      <c r="AC71" s="17"/>
      <c r="AD71" s="17"/>
      <c r="AE71" s="17"/>
      <c r="AF71" s="17">
        <v>1</v>
      </c>
      <c r="AG71" s="17">
        <v>1</v>
      </c>
      <c r="AH71" s="17"/>
      <c r="AI71" s="17"/>
      <c r="AJ71" s="17"/>
      <c r="AK71" s="17"/>
      <c r="AL71" s="17"/>
      <c r="AM71" s="17"/>
      <c r="AN71" s="17"/>
      <c r="AO71" s="17"/>
      <c r="AP71" s="17"/>
      <c r="AQ71" s="17"/>
      <c r="AR71" s="17"/>
      <c r="AS71" s="17"/>
      <c r="AT71" s="17"/>
      <c r="AU71" s="17"/>
      <c r="AV71" s="17"/>
      <c r="AW71" s="17"/>
      <c r="AX71" s="14"/>
    </row>
    <row r="72" spans="1:50" ht="18.75" customHeight="1">
      <c r="A72" s="4">
        <v>63</v>
      </c>
      <c r="B72" s="11" t="s">
        <v>88</v>
      </c>
      <c r="C72" s="12"/>
      <c r="D72" s="12" t="s">
        <v>1690</v>
      </c>
      <c r="E72" s="12" t="s">
        <v>1691</v>
      </c>
      <c r="F72" s="18" t="s">
        <v>1692</v>
      </c>
      <c r="G72" s="34" t="s">
        <v>552</v>
      </c>
      <c r="H72" s="12" t="s">
        <v>1690</v>
      </c>
      <c r="I72" s="12" t="s">
        <v>1665</v>
      </c>
      <c r="J72" s="14"/>
      <c r="K72" s="27">
        <v>0</v>
      </c>
      <c r="L72" s="10"/>
      <c r="M72" s="12" t="s">
        <v>1485</v>
      </c>
      <c r="N72" s="12" t="s">
        <v>1486</v>
      </c>
      <c r="O72" s="8">
        <f t="shared" si="0"/>
        <v>5</v>
      </c>
      <c r="P72" s="17"/>
      <c r="Q72" s="17"/>
      <c r="R72" s="17"/>
      <c r="S72" s="17"/>
      <c r="T72" s="17"/>
      <c r="U72" s="17"/>
      <c r="V72" s="17">
        <v>1</v>
      </c>
      <c r="W72" s="17">
        <v>1</v>
      </c>
      <c r="X72" s="17"/>
      <c r="Y72" s="17"/>
      <c r="Z72" s="17">
        <v>1</v>
      </c>
      <c r="AA72" s="17"/>
      <c r="AB72" s="17"/>
      <c r="AC72" s="17"/>
      <c r="AD72" s="17"/>
      <c r="AE72" s="17"/>
      <c r="AF72" s="17">
        <v>1</v>
      </c>
      <c r="AG72" s="17">
        <v>1</v>
      </c>
      <c r="AH72" s="17"/>
      <c r="AI72" s="17"/>
      <c r="AJ72" s="17"/>
      <c r="AK72" s="17"/>
      <c r="AL72" s="17"/>
      <c r="AM72" s="17"/>
      <c r="AN72" s="17"/>
      <c r="AO72" s="17"/>
      <c r="AP72" s="17"/>
      <c r="AQ72" s="17"/>
      <c r="AR72" s="17"/>
      <c r="AS72" s="17"/>
      <c r="AT72" s="17"/>
      <c r="AU72" s="17"/>
      <c r="AV72" s="17"/>
      <c r="AW72" s="17"/>
      <c r="AX72" s="14"/>
    </row>
    <row r="73" spans="1:50" ht="18.75" customHeight="1">
      <c r="A73" s="4">
        <v>64</v>
      </c>
      <c r="B73" s="11" t="s">
        <v>88</v>
      </c>
      <c r="C73" s="12"/>
      <c r="D73" s="12" t="s">
        <v>1693</v>
      </c>
      <c r="E73" s="12" t="s">
        <v>1691</v>
      </c>
      <c r="F73" s="18" t="s">
        <v>1694</v>
      </c>
      <c r="G73" s="34" t="s">
        <v>552</v>
      </c>
      <c r="H73" s="12" t="s">
        <v>1693</v>
      </c>
      <c r="I73" s="12" t="s">
        <v>1665</v>
      </c>
      <c r="J73" s="14"/>
      <c r="K73" s="27">
        <v>0</v>
      </c>
      <c r="L73" s="10"/>
      <c r="M73" s="12" t="s">
        <v>1485</v>
      </c>
      <c r="N73" s="12" t="s">
        <v>1486</v>
      </c>
      <c r="O73" s="8">
        <f t="shared" si="0"/>
        <v>5</v>
      </c>
      <c r="P73" s="17"/>
      <c r="Q73" s="17"/>
      <c r="R73" s="17"/>
      <c r="S73" s="17"/>
      <c r="T73" s="17"/>
      <c r="U73" s="17"/>
      <c r="V73" s="17">
        <v>1</v>
      </c>
      <c r="W73" s="17">
        <v>1</v>
      </c>
      <c r="X73" s="17"/>
      <c r="Y73" s="17"/>
      <c r="Z73" s="17">
        <v>1</v>
      </c>
      <c r="AA73" s="17"/>
      <c r="AB73" s="17"/>
      <c r="AC73" s="17"/>
      <c r="AD73" s="17"/>
      <c r="AE73" s="17"/>
      <c r="AF73" s="17">
        <v>1</v>
      </c>
      <c r="AG73" s="17">
        <v>1</v>
      </c>
      <c r="AH73" s="17"/>
      <c r="AI73" s="17"/>
      <c r="AJ73" s="17"/>
      <c r="AK73" s="17"/>
      <c r="AL73" s="17"/>
      <c r="AM73" s="17"/>
      <c r="AN73" s="17"/>
      <c r="AO73" s="17"/>
      <c r="AP73" s="17"/>
      <c r="AQ73" s="17"/>
      <c r="AR73" s="17"/>
      <c r="AS73" s="17"/>
      <c r="AT73" s="17"/>
      <c r="AU73" s="17"/>
      <c r="AV73" s="17"/>
      <c r="AW73" s="17"/>
      <c r="AX73" s="14"/>
    </row>
    <row r="74" spans="1:50" ht="18.75" customHeight="1">
      <c r="A74" s="4">
        <v>65</v>
      </c>
      <c r="B74" s="11" t="s">
        <v>88</v>
      </c>
      <c r="C74" s="12"/>
      <c r="D74" s="12" t="s">
        <v>1695</v>
      </c>
      <c r="E74" s="12" t="s">
        <v>1691</v>
      </c>
      <c r="F74" s="18" t="s">
        <v>1696</v>
      </c>
      <c r="G74" s="34" t="s">
        <v>552</v>
      </c>
      <c r="H74" s="12" t="s">
        <v>1695</v>
      </c>
      <c r="I74" s="12" t="s">
        <v>1665</v>
      </c>
      <c r="J74" s="14"/>
      <c r="K74" s="27">
        <v>0</v>
      </c>
      <c r="L74" s="10"/>
      <c r="M74" s="12" t="s">
        <v>1485</v>
      </c>
      <c r="N74" s="12" t="s">
        <v>1486</v>
      </c>
      <c r="O74" s="8">
        <f t="shared" ref="O74:O137" si="1">SUM(P74:AW74)</f>
        <v>5</v>
      </c>
      <c r="P74" s="17"/>
      <c r="Q74" s="17"/>
      <c r="R74" s="17"/>
      <c r="S74" s="17"/>
      <c r="T74" s="17"/>
      <c r="U74" s="17"/>
      <c r="V74" s="17">
        <v>1</v>
      </c>
      <c r="W74" s="17">
        <v>1</v>
      </c>
      <c r="X74" s="17"/>
      <c r="Y74" s="17"/>
      <c r="Z74" s="17">
        <v>1</v>
      </c>
      <c r="AA74" s="17"/>
      <c r="AB74" s="17"/>
      <c r="AC74" s="17"/>
      <c r="AD74" s="17"/>
      <c r="AE74" s="17"/>
      <c r="AF74" s="17">
        <v>1</v>
      </c>
      <c r="AG74" s="17">
        <v>1</v>
      </c>
      <c r="AH74" s="17"/>
      <c r="AI74" s="17"/>
      <c r="AJ74" s="17"/>
      <c r="AK74" s="17"/>
      <c r="AL74" s="17"/>
      <c r="AM74" s="17"/>
      <c r="AN74" s="17"/>
      <c r="AO74" s="17"/>
      <c r="AP74" s="17"/>
      <c r="AQ74" s="17"/>
      <c r="AR74" s="17"/>
      <c r="AS74" s="17"/>
      <c r="AT74" s="17"/>
      <c r="AU74" s="17"/>
      <c r="AV74" s="17"/>
      <c r="AW74" s="17"/>
      <c r="AX74" s="14"/>
    </row>
    <row r="75" spans="1:50" ht="18.75" customHeight="1">
      <c r="A75" s="4">
        <v>66</v>
      </c>
      <c r="B75" s="11" t="s">
        <v>88</v>
      </c>
      <c r="C75" s="12"/>
      <c r="D75" s="12" t="s">
        <v>1697</v>
      </c>
      <c r="E75" s="12" t="s">
        <v>1698</v>
      </c>
      <c r="F75" s="18" t="s">
        <v>1699</v>
      </c>
      <c r="G75" s="34" t="s">
        <v>552</v>
      </c>
      <c r="H75" s="12" t="s">
        <v>1697</v>
      </c>
      <c r="I75" s="12" t="s">
        <v>1518</v>
      </c>
      <c r="J75" s="14"/>
      <c r="K75" s="27">
        <v>0</v>
      </c>
      <c r="L75" s="10"/>
      <c r="M75" s="12" t="s">
        <v>1485</v>
      </c>
      <c r="N75" s="12" t="s">
        <v>1486</v>
      </c>
      <c r="O75" s="8">
        <f t="shared" si="1"/>
        <v>5</v>
      </c>
      <c r="P75" s="17"/>
      <c r="Q75" s="17"/>
      <c r="R75" s="17"/>
      <c r="S75" s="17"/>
      <c r="T75" s="17"/>
      <c r="U75" s="17"/>
      <c r="V75" s="17">
        <v>1</v>
      </c>
      <c r="W75" s="17">
        <v>1</v>
      </c>
      <c r="X75" s="17"/>
      <c r="Y75" s="17"/>
      <c r="Z75" s="17">
        <v>1</v>
      </c>
      <c r="AA75" s="17"/>
      <c r="AB75" s="17"/>
      <c r="AC75" s="17"/>
      <c r="AD75" s="17"/>
      <c r="AE75" s="17"/>
      <c r="AF75" s="17">
        <v>1</v>
      </c>
      <c r="AG75" s="17">
        <v>1</v>
      </c>
      <c r="AH75" s="17"/>
      <c r="AI75" s="17"/>
      <c r="AJ75" s="17"/>
      <c r="AK75" s="17"/>
      <c r="AL75" s="17"/>
      <c r="AM75" s="17"/>
      <c r="AN75" s="17"/>
      <c r="AO75" s="17"/>
      <c r="AP75" s="17"/>
      <c r="AQ75" s="17"/>
      <c r="AR75" s="17"/>
      <c r="AS75" s="17"/>
      <c r="AT75" s="17"/>
      <c r="AU75" s="17"/>
      <c r="AV75" s="17"/>
      <c r="AW75" s="17"/>
      <c r="AX75" s="12"/>
    </row>
    <row r="76" spans="1:50" ht="18.75" customHeight="1">
      <c r="A76" s="4">
        <v>67</v>
      </c>
      <c r="B76" s="11" t="s">
        <v>88</v>
      </c>
      <c r="C76" s="12"/>
      <c r="D76" s="12" t="s">
        <v>1700</v>
      </c>
      <c r="E76" s="12" t="s">
        <v>1698</v>
      </c>
      <c r="F76" s="18" t="s">
        <v>1701</v>
      </c>
      <c r="G76" s="34" t="s">
        <v>552</v>
      </c>
      <c r="H76" s="12" t="s">
        <v>1700</v>
      </c>
      <c r="I76" s="12" t="s">
        <v>1608</v>
      </c>
      <c r="J76" s="14"/>
      <c r="K76" s="27">
        <v>0</v>
      </c>
      <c r="L76" s="10"/>
      <c r="M76" s="12" t="s">
        <v>1485</v>
      </c>
      <c r="N76" s="12" t="s">
        <v>1486</v>
      </c>
      <c r="O76" s="8">
        <f t="shared" si="1"/>
        <v>5</v>
      </c>
      <c r="P76" s="17"/>
      <c r="Q76" s="17"/>
      <c r="R76" s="17"/>
      <c r="S76" s="17"/>
      <c r="T76" s="17"/>
      <c r="U76" s="17"/>
      <c r="V76" s="17">
        <v>1</v>
      </c>
      <c r="W76" s="17">
        <v>1</v>
      </c>
      <c r="X76" s="17"/>
      <c r="Y76" s="17"/>
      <c r="Z76" s="17">
        <v>1</v>
      </c>
      <c r="AA76" s="17"/>
      <c r="AB76" s="17"/>
      <c r="AC76" s="17"/>
      <c r="AD76" s="17"/>
      <c r="AE76" s="17"/>
      <c r="AF76" s="17">
        <v>1</v>
      </c>
      <c r="AG76" s="17">
        <v>1</v>
      </c>
      <c r="AH76" s="17"/>
      <c r="AI76" s="17"/>
      <c r="AJ76" s="17"/>
      <c r="AK76" s="17"/>
      <c r="AL76" s="17"/>
      <c r="AM76" s="17"/>
      <c r="AN76" s="17"/>
      <c r="AO76" s="17"/>
      <c r="AP76" s="17"/>
      <c r="AQ76" s="17"/>
      <c r="AR76" s="17"/>
      <c r="AS76" s="17"/>
      <c r="AT76" s="17"/>
      <c r="AU76" s="17"/>
      <c r="AV76" s="17"/>
      <c r="AW76" s="17"/>
      <c r="AX76" s="12"/>
    </row>
    <row r="77" spans="1:50" ht="26.45" customHeight="1">
      <c r="A77" s="4">
        <v>68</v>
      </c>
      <c r="B77" s="11" t="s">
        <v>88</v>
      </c>
      <c r="C77" s="12"/>
      <c r="D77" s="12" t="s">
        <v>1702</v>
      </c>
      <c r="E77" s="12" t="s">
        <v>1703</v>
      </c>
      <c r="F77" s="18" t="s">
        <v>1704</v>
      </c>
      <c r="G77" s="34" t="s">
        <v>552</v>
      </c>
      <c r="H77" s="12" t="s">
        <v>1702</v>
      </c>
      <c r="I77" s="12" t="s">
        <v>1665</v>
      </c>
      <c r="J77" s="14"/>
      <c r="K77" s="27">
        <v>0</v>
      </c>
      <c r="L77" s="10"/>
      <c r="M77" s="12" t="s">
        <v>1485</v>
      </c>
      <c r="N77" s="12" t="s">
        <v>1705</v>
      </c>
      <c r="O77" s="8">
        <f t="shared" si="1"/>
        <v>5</v>
      </c>
      <c r="P77" s="17"/>
      <c r="Q77" s="17"/>
      <c r="R77" s="17"/>
      <c r="S77" s="17"/>
      <c r="T77" s="17"/>
      <c r="U77" s="17"/>
      <c r="V77" s="17">
        <v>1</v>
      </c>
      <c r="W77" s="17">
        <v>1</v>
      </c>
      <c r="X77" s="17"/>
      <c r="Y77" s="17"/>
      <c r="Z77" s="17">
        <v>1</v>
      </c>
      <c r="AA77" s="17"/>
      <c r="AB77" s="17"/>
      <c r="AC77" s="17"/>
      <c r="AD77" s="17"/>
      <c r="AE77" s="17"/>
      <c r="AF77" s="17">
        <v>1</v>
      </c>
      <c r="AG77" s="17">
        <v>1</v>
      </c>
      <c r="AH77" s="17"/>
      <c r="AI77" s="17"/>
      <c r="AJ77" s="17"/>
      <c r="AK77" s="17"/>
      <c r="AL77" s="17"/>
      <c r="AM77" s="17"/>
      <c r="AN77" s="17"/>
      <c r="AO77" s="17"/>
      <c r="AP77" s="17"/>
      <c r="AQ77" s="17"/>
      <c r="AR77" s="17"/>
      <c r="AS77" s="17"/>
      <c r="AT77" s="17"/>
      <c r="AU77" s="17"/>
      <c r="AV77" s="17"/>
      <c r="AW77" s="17"/>
      <c r="AX77" s="12"/>
    </row>
    <row r="78" spans="1:50" ht="18.75" customHeight="1">
      <c r="A78" s="4">
        <v>69</v>
      </c>
      <c r="B78" s="11" t="s">
        <v>88</v>
      </c>
      <c r="C78" s="12"/>
      <c r="D78" s="12" t="s">
        <v>1706</v>
      </c>
      <c r="E78" s="12" t="s">
        <v>1707</v>
      </c>
      <c r="F78" s="18" t="s">
        <v>1708</v>
      </c>
      <c r="G78" s="34" t="s">
        <v>552</v>
      </c>
      <c r="H78" s="12" t="s">
        <v>1706</v>
      </c>
      <c r="I78" s="12" t="s">
        <v>1665</v>
      </c>
      <c r="J78" s="14"/>
      <c r="K78" s="27">
        <v>0</v>
      </c>
      <c r="L78" s="10"/>
      <c r="M78" s="12" t="s">
        <v>1485</v>
      </c>
      <c r="N78" s="12" t="s">
        <v>1486</v>
      </c>
      <c r="O78" s="8">
        <f t="shared" si="1"/>
        <v>5</v>
      </c>
      <c r="P78" s="17"/>
      <c r="Q78" s="17"/>
      <c r="R78" s="17"/>
      <c r="S78" s="17"/>
      <c r="T78" s="17"/>
      <c r="U78" s="17"/>
      <c r="V78" s="17">
        <v>1</v>
      </c>
      <c r="W78" s="17">
        <v>1</v>
      </c>
      <c r="X78" s="17"/>
      <c r="Y78" s="17"/>
      <c r="Z78" s="17">
        <v>1</v>
      </c>
      <c r="AA78" s="17"/>
      <c r="AB78" s="17"/>
      <c r="AC78" s="17"/>
      <c r="AD78" s="17"/>
      <c r="AE78" s="17"/>
      <c r="AF78" s="17">
        <v>1</v>
      </c>
      <c r="AG78" s="17">
        <v>1</v>
      </c>
      <c r="AH78" s="17"/>
      <c r="AI78" s="17"/>
      <c r="AJ78" s="17"/>
      <c r="AK78" s="17"/>
      <c r="AL78" s="17"/>
      <c r="AM78" s="17"/>
      <c r="AN78" s="17"/>
      <c r="AO78" s="17"/>
      <c r="AP78" s="17"/>
      <c r="AQ78" s="17"/>
      <c r="AR78" s="17"/>
      <c r="AS78" s="17"/>
      <c r="AT78" s="17"/>
      <c r="AU78" s="17"/>
      <c r="AV78" s="17"/>
      <c r="AW78" s="17"/>
      <c r="AX78" s="12"/>
    </row>
    <row r="79" spans="1:50" ht="18.75" customHeight="1">
      <c r="A79" s="4">
        <v>70</v>
      </c>
      <c r="B79" s="11" t="s">
        <v>88</v>
      </c>
      <c r="C79" s="12"/>
      <c r="D79" s="12" t="s">
        <v>1709</v>
      </c>
      <c r="E79" s="12" t="s">
        <v>1710</v>
      </c>
      <c r="F79" s="18" t="s">
        <v>1711</v>
      </c>
      <c r="G79" s="34" t="s">
        <v>552</v>
      </c>
      <c r="H79" s="12" t="s">
        <v>1709</v>
      </c>
      <c r="I79" s="12" t="s">
        <v>1665</v>
      </c>
      <c r="J79" s="14"/>
      <c r="K79" s="27">
        <v>0</v>
      </c>
      <c r="L79" s="10"/>
      <c r="M79" s="12" t="s">
        <v>1485</v>
      </c>
      <c r="N79" s="12" t="s">
        <v>1486</v>
      </c>
      <c r="O79" s="8">
        <f t="shared" si="1"/>
        <v>5</v>
      </c>
      <c r="P79" s="17"/>
      <c r="Q79" s="17"/>
      <c r="R79" s="17"/>
      <c r="S79" s="17"/>
      <c r="T79" s="17"/>
      <c r="U79" s="17"/>
      <c r="V79" s="17">
        <v>1</v>
      </c>
      <c r="W79" s="17">
        <v>1</v>
      </c>
      <c r="X79" s="17"/>
      <c r="Y79" s="17"/>
      <c r="Z79" s="17">
        <v>1</v>
      </c>
      <c r="AA79" s="17"/>
      <c r="AB79" s="17"/>
      <c r="AC79" s="17"/>
      <c r="AD79" s="17"/>
      <c r="AE79" s="17"/>
      <c r="AF79" s="17">
        <v>1</v>
      </c>
      <c r="AG79" s="17">
        <v>1</v>
      </c>
      <c r="AH79" s="17"/>
      <c r="AI79" s="17"/>
      <c r="AJ79" s="17"/>
      <c r="AK79" s="17"/>
      <c r="AL79" s="17"/>
      <c r="AM79" s="17"/>
      <c r="AN79" s="17"/>
      <c r="AO79" s="17"/>
      <c r="AP79" s="17"/>
      <c r="AQ79" s="17"/>
      <c r="AR79" s="17"/>
      <c r="AS79" s="17"/>
      <c r="AT79" s="17"/>
      <c r="AU79" s="17"/>
      <c r="AV79" s="17"/>
      <c r="AW79" s="17"/>
      <c r="AX79" s="12"/>
    </row>
    <row r="80" spans="1:50" ht="18.75" customHeight="1">
      <c r="A80" s="4">
        <v>71</v>
      </c>
      <c r="B80" s="11" t="s">
        <v>88</v>
      </c>
      <c r="C80" s="12"/>
      <c r="D80" s="12" t="s">
        <v>1712</v>
      </c>
      <c r="E80" s="12" t="s">
        <v>1713</v>
      </c>
      <c r="F80" s="18" t="s">
        <v>1714</v>
      </c>
      <c r="G80" s="34" t="s">
        <v>552</v>
      </c>
      <c r="H80" s="12" t="s">
        <v>1712</v>
      </c>
      <c r="I80" s="12" t="s">
        <v>1665</v>
      </c>
      <c r="J80" s="14"/>
      <c r="K80" s="27">
        <v>0</v>
      </c>
      <c r="L80" s="10"/>
      <c r="M80" s="12" t="s">
        <v>1485</v>
      </c>
      <c r="N80" s="12" t="s">
        <v>1486</v>
      </c>
      <c r="O80" s="8">
        <f t="shared" si="1"/>
        <v>5</v>
      </c>
      <c r="P80" s="17"/>
      <c r="Q80" s="17"/>
      <c r="R80" s="17"/>
      <c r="S80" s="17"/>
      <c r="T80" s="17"/>
      <c r="U80" s="17"/>
      <c r="V80" s="17">
        <v>1</v>
      </c>
      <c r="W80" s="17">
        <v>1</v>
      </c>
      <c r="X80" s="17"/>
      <c r="Y80" s="17"/>
      <c r="Z80" s="17">
        <v>1</v>
      </c>
      <c r="AA80" s="17"/>
      <c r="AB80" s="17"/>
      <c r="AC80" s="17"/>
      <c r="AD80" s="17"/>
      <c r="AE80" s="17"/>
      <c r="AF80" s="17">
        <v>1</v>
      </c>
      <c r="AG80" s="17">
        <v>1</v>
      </c>
      <c r="AH80" s="17"/>
      <c r="AI80" s="17"/>
      <c r="AJ80" s="17"/>
      <c r="AK80" s="17"/>
      <c r="AL80" s="17"/>
      <c r="AM80" s="17"/>
      <c r="AN80" s="17"/>
      <c r="AO80" s="17"/>
      <c r="AP80" s="17"/>
      <c r="AQ80" s="17"/>
      <c r="AR80" s="17"/>
      <c r="AS80" s="17"/>
      <c r="AT80" s="17"/>
      <c r="AU80" s="17"/>
      <c r="AV80" s="17"/>
      <c r="AW80" s="17"/>
      <c r="AX80" s="12"/>
    </row>
    <row r="81" spans="1:52" ht="18.75" customHeight="1">
      <c r="A81" s="4">
        <v>72</v>
      </c>
      <c r="B81" s="11" t="s">
        <v>88</v>
      </c>
      <c r="C81" s="12"/>
      <c r="D81" s="12" t="s">
        <v>1715</v>
      </c>
      <c r="E81" s="12" t="s">
        <v>1716</v>
      </c>
      <c r="F81" s="18" t="s">
        <v>1717</v>
      </c>
      <c r="G81" s="34" t="s">
        <v>552</v>
      </c>
      <c r="H81" s="12" t="s">
        <v>1715</v>
      </c>
      <c r="I81" s="12" t="s">
        <v>1665</v>
      </c>
      <c r="J81" s="14"/>
      <c r="K81" s="27">
        <v>0</v>
      </c>
      <c r="L81" s="10"/>
      <c r="M81" s="12" t="s">
        <v>1485</v>
      </c>
      <c r="N81" s="12" t="s">
        <v>1486</v>
      </c>
      <c r="O81" s="8">
        <f t="shared" si="1"/>
        <v>5</v>
      </c>
      <c r="P81" s="17"/>
      <c r="Q81" s="17"/>
      <c r="R81" s="17"/>
      <c r="S81" s="17"/>
      <c r="T81" s="17"/>
      <c r="U81" s="17"/>
      <c r="V81" s="17">
        <v>1</v>
      </c>
      <c r="W81" s="17">
        <v>1</v>
      </c>
      <c r="X81" s="17"/>
      <c r="Y81" s="17"/>
      <c r="Z81" s="17">
        <v>1</v>
      </c>
      <c r="AA81" s="17"/>
      <c r="AB81" s="17"/>
      <c r="AC81" s="17"/>
      <c r="AD81" s="17"/>
      <c r="AE81" s="17"/>
      <c r="AF81" s="17">
        <v>1</v>
      </c>
      <c r="AG81" s="17">
        <v>1</v>
      </c>
      <c r="AH81" s="17"/>
      <c r="AI81" s="17"/>
      <c r="AJ81" s="17"/>
      <c r="AK81" s="17"/>
      <c r="AL81" s="17"/>
      <c r="AM81" s="17"/>
      <c r="AN81" s="17"/>
      <c r="AO81" s="17"/>
      <c r="AP81" s="17"/>
      <c r="AQ81" s="17"/>
      <c r="AR81" s="17"/>
      <c r="AS81" s="17"/>
      <c r="AT81" s="17"/>
      <c r="AU81" s="17"/>
      <c r="AV81" s="17"/>
      <c r="AW81" s="17"/>
      <c r="AX81" s="12"/>
    </row>
    <row r="82" spans="1:52" ht="18.75" customHeight="1">
      <c r="A82" s="4">
        <v>73</v>
      </c>
      <c r="B82" s="5" t="s">
        <v>88</v>
      </c>
      <c r="C82" s="6"/>
      <c r="D82" s="38" t="s">
        <v>1718</v>
      </c>
      <c r="E82" s="38" t="s">
        <v>1719</v>
      </c>
      <c r="F82" s="7"/>
      <c r="G82" s="9"/>
      <c r="H82" s="9"/>
      <c r="I82" s="9"/>
      <c r="J82" s="9"/>
      <c r="K82" s="20">
        <v>0</v>
      </c>
      <c r="L82" s="4"/>
      <c r="M82" s="9" t="s">
        <v>1485</v>
      </c>
      <c r="N82" s="9"/>
      <c r="O82" s="8">
        <f t="shared" si="1"/>
        <v>0</v>
      </c>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9"/>
    </row>
    <row r="83" spans="1:52" ht="18.75" customHeight="1">
      <c r="A83" s="4">
        <v>74</v>
      </c>
      <c r="B83" s="11" t="s">
        <v>88</v>
      </c>
      <c r="C83" s="12"/>
      <c r="D83" s="12" t="s">
        <v>1720</v>
      </c>
      <c r="E83" s="12" t="s">
        <v>1721</v>
      </c>
      <c r="F83" s="18" t="s">
        <v>1722</v>
      </c>
      <c r="G83" s="34" t="s">
        <v>552</v>
      </c>
      <c r="H83" s="12" t="s">
        <v>1720</v>
      </c>
      <c r="I83" s="12" t="s">
        <v>1723</v>
      </c>
      <c r="J83" s="14"/>
      <c r="K83" s="27">
        <v>0</v>
      </c>
      <c r="L83" s="10"/>
      <c r="M83" s="12" t="s">
        <v>1485</v>
      </c>
      <c r="N83" s="12" t="s">
        <v>1486</v>
      </c>
      <c r="O83" s="8">
        <f t="shared" si="1"/>
        <v>100</v>
      </c>
      <c r="P83" s="17"/>
      <c r="Q83" s="17"/>
      <c r="R83" s="17"/>
      <c r="S83" s="17"/>
      <c r="T83" s="17"/>
      <c r="U83" s="17"/>
      <c r="V83" s="17"/>
      <c r="W83" s="106">
        <v>100</v>
      </c>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2"/>
    </row>
    <row r="84" spans="1:52" ht="18.75" customHeight="1">
      <c r="A84" s="4">
        <v>75</v>
      </c>
      <c r="B84" s="11" t="s">
        <v>88</v>
      </c>
      <c r="C84" s="12"/>
      <c r="D84" s="12" t="s">
        <v>1724</v>
      </c>
      <c r="E84" s="12" t="s">
        <v>1725</v>
      </c>
      <c r="F84" s="18" t="s">
        <v>1726</v>
      </c>
      <c r="G84" s="34" t="s">
        <v>552</v>
      </c>
      <c r="H84" s="12" t="s">
        <v>1724</v>
      </c>
      <c r="I84" s="12" t="s">
        <v>1723</v>
      </c>
      <c r="J84" s="14"/>
      <c r="K84" s="27">
        <v>0</v>
      </c>
      <c r="L84" s="10"/>
      <c r="M84" s="12" t="s">
        <v>1485</v>
      </c>
      <c r="N84" s="12" t="s">
        <v>1486</v>
      </c>
      <c r="O84" s="8">
        <f t="shared" si="1"/>
        <v>7</v>
      </c>
      <c r="P84" s="17"/>
      <c r="Q84" s="17"/>
      <c r="R84" s="17"/>
      <c r="S84" s="17"/>
      <c r="T84" s="17"/>
      <c r="U84" s="17"/>
      <c r="V84" s="17"/>
      <c r="W84" s="106">
        <v>7</v>
      </c>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2"/>
    </row>
    <row r="85" spans="1:52" ht="18.75" customHeight="1">
      <c r="A85" s="4">
        <v>76</v>
      </c>
      <c r="B85" s="5" t="s">
        <v>88</v>
      </c>
      <c r="C85" s="6"/>
      <c r="D85" s="38" t="s">
        <v>1727</v>
      </c>
      <c r="E85" s="38" t="s">
        <v>1728</v>
      </c>
      <c r="F85" s="7"/>
      <c r="G85" s="9"/>
      <c r="H85" s="9"/>
      <c r="I85" s="9"/>
      <c r="J85" s="9"/>
      <c r="K85" s="20">
        <v>0</v>
      </c>
      <c r="L85" s="4"/>
      <c r="M85" s="9" t="s">
        <v>1485</v>
      </c>
      <c r="N85" s="9"/>
      <c r="O85" s="8">
        <f t="shared" si="1"/>
        <v>0</v>
      </c>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9"/>
    </row>
    <row r="86" spans="1:52" ht="30.75" customHeight="1">
      <c r="A86" s="4">
        <v>77</v>
      </c>
      <c r="B86" s="11" t="s">
        <v>88</v>
      </c>
      <c r="C86" s="12"/>
      <c r="D86" s="12" t="s">
        <v>1729</v>
      </c>
      <c r="E86" s="12" t="s">
        <v>1730</v>
      </c>
      <c r="F86" s="18" t="s">
        <v>1731</v>
      </c>
      <c r="G86" s="34" t="s">
        <v>552</v>
      </c>
      <c r="H86" s="12" t="s">
        <v>1729</v>
      </c>
      <c r="I86" s="12" t="s">
        <v>1732</v>
      </c>
      <c r="J86" s="14"/>
      <c r="K86" s="27">
        <v>0</v>
      </c>
      <c r="L86" s="10"/>
      <c r="M86" s="12" t="s">
        <v>1485</v>
      </c>
      <c r="N86" s="12" t="s">
        <v>1486</v>
      </c>
      <c r="O86" s="8">
        <f t="shared" si="1"/>
        <v>0</v>
      </c>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2"/>
    </row>
    <row r="87" spans="1:52" ht="18.75" customHeight="1">
      <c r="A87" s="4">
        <v>78</v>
      </c>
      <c r="B87" s="11" t="s">
        <v>88</v>
      </c>
      <c r="C87" s="12"/>
      <c r="D87" s="12" t="s">
        <v>1733</v>
      </c>
      <c r="E87" s="12" t="s">
        <v>1734</v>
      </c>
      <c r="F87" s="18" t="s">
        <v>1735</v>
      </c>
      <c r="G87" s="34" t="s">
        <v>552</v>
      </c>
      <c r="H87" s="12" t="s">
        <v>1733</v>
      </c>
      <c r="I87" s="12" t="s">
        <v>1732</v>
      </c>
      <c r="J87" s="14"/>
      <c r="K87" s="27">
        <v>0</v>
      </c>
      <c r="L87" s="10"/>
      <c r="M87" s="12" t="s">
        <v>1485</v>
      </c>
      <c r="N87" s="12" t="s">
        <v>1486</v>
      </c>
      <c r="O87" s="8">
        <f t="shared" si="1"/>
        <v>0</v>
      </c>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2"/>
    </row>
    <row r="88" spans="1:52" ht="26.45" customHeight="1">
      <c r="A88" s="4">
        <v>79</v>
      </c>
      <c r="B88" s="11" t="s">
        <v>88</v>
      </c>
      <c r="C88" s="12"/>
      <c r="D88" s="12" t="s">
        <v>1736</v>
      </c>
      <c r="E88" s="12" t="s">
        <v>1737</v>
      </c>
      <c r="F88" s="18" t="s">
        <v>1738</v>
      </c>
      <c r="G88" s="34" t="s">
        <v>552</v>
      </c>
      <c r="H88" s="12" t="s">
        <v>1736</v>
      </c>
      <c r="I88" s="12" t="s">
        <v>1732</v>
      </c>
      <c r="J88" s="14"/>
      <c r="K88" s="27">
        <v>0</v>
      </c>
      <c r="L88" s="10"/>
      <c r="M88" s="12" t="s">
        <v>1485</v>
      </c>
      <c r="N88" s="12" t="s">
        <v>1486</v>
      </c>
      <c r="O88" s="8">
        <f t="shared" si="1"/>
        <v>0</v>
      </c>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2"/>
    </row>
    <row r="89" spans="1:52" ht="18.75" customHeight="1">
      <c r="A89" s="4">
        <v>80</v>
      </c>
      <c r="B89" s="11" t="s">
        <v>88</v>
      </c>
      <c r="C89" s="12"/>
      <c r="D89" s="12" t="s">
        <v>1739</v>
      </c>
      <c r="E89" s="12" t="s">
        <v>1740</v>
      </c>
      <c r="F89" s="18" t="s">
        <v>1741</v>
      </c>
      <c r="G89" s="34" t="s">
        <v>552</v>
      </c>
      <c r="H89" s="12" t="s">
        <v>1739</v>
      </c>
      <c r="I89" s="12" t="s">
        <v>1669</v>
      </c>
      <c r="J89" s="14"/>
      <c r="K89" s="27">
        <v>0</v>
      </c>
      <c r="L89" s="10"/>
      <c r="M89" s="12" t="s">
        <v>1485</v>
      </c>
      <c r="N89" s="12" t="s">
        <v>1486</v>
      </c>
      <c r="O89" s="8">
        <f t="shared" si="1"/>
        <v>19</v>
      </c>
      <c r="P89" s="17"/>
      <c r="Q89" s="17"/>
      <c r="R89" s="17"/>
      <c r="S89" s="17"/>
      <c r="T89" s="17"/>
      <c r="U89" s="17"/>
      <c r="V89" s="17">
        <v>3</v>
      </c>
      <c r="W89" s="17">
        <v>5</v>
      </c>
      <c r="X89" s="17"/>
      <c r="Y89" s="17"/>
      <c r="Z89" s="17">
        <v>3</v>
      </c>
      <c r="AA89" s="17"/>
      <c r="AB89" s="17"/>
      <c r="AC89" s="17"/>
      <c r="AD89" s="17"/>
      <c r="AE89" s="17"/>
      <c r="AF89" s="17">
        <v>3</v>
      </c>
      <c r="AG89" s="17">
        <v>5</v>
      </c>
      <c r="AH89" s="17"/>
      <c r="AI89" s="17"/>
      <c r="AJ89" s="17"/>
      <c r="AK89" s="17"/>
      <c r="AL89" s="17"/>
      <c r="AM89" s="17"/>
      <c r="AN89" s="17"/>
      <c r="AO89" s="17"/>
      <c r="AP89" s="17"/>
      <c r="AQ89" s="17"/>
      <c r="AR89" s="17"/>
      <c r="AS89" s="17"/>
      <c r="AT89" s="17"/>
      <c r="AU89" s="17"/>
      <c r="AV89" s="17"/>
      <c r="AW89" s="17"/>
      <c r="AX89" s="12"/>
      <c r="AZ89" t="s">
        <v>1742</v>
      </c>
    </row>
    <row r="90" spans="1:52" ht="18.75" customHeight="1">
      <c r="A90" s="4">
        <v>81</v>
      </c>
      <c r="B90" s="11" t="s">
        <v>88</v>
      </c>
      <c r="C90" s="12"/>
      <c r="D90" s="12" t="s">
        <v>1743</v>
      </c>
      <c r="E90" s="12" t="s">
        <v>1744</v>
      </c>
      <c r="F90" s="18" t="s">
        <v>1745</v>
      </c>
      <c r="G90" s="34" t="s">
        <v>552</v>
      </c>
      <c r="H90" s="12" t="s">
        <v>1743</v>
      </c>
      <c r="I90" s="12" t="s">
        <v>1746</v>
      </c>
      <c r="J90" s="14"/>
      <c r="K90" s="27">
        <v>0</v>
      </c>
      <c r="L90" s="10"/>
      <c r="M90" s="12" t="s">
        <v>1485</v>
      </c>
      <c r="N90" s="12" t="s">
        <v>1486</v>
      </c>
      <c r="O90" s="8">
        <f t="shared" si="1"/>
        <v>19</v>
      </c>
      <c r="P90" s="17"/>
      <c r="Q90" s="17"/>
      <c r="R90" s="17"/>
      <c r="S90" s="17"/>
      <c r="T90" s="17"/>
      <c r="U90" s="17"/>
      <c r="V90" s="17">
        <v>3</v>
      </c>
      <c r="W90" s="17">
        <v>5</v>
      </c>
      <c r="X90" s="17"/>
      <c r="Y90" s="17"/>
      <c r="Z90" s="17">
        <v>3</v>
      </c>
      <c r="AA90" s="17"/>
      <c r="AB90" s="17"/>
      <c r="AC90" s="17"/>
      <c r="AD90" s="17"/>
      <c r="AE90" s="17"/>
      <c r="AF90" s="17">
        <v>3</v>
      </c>
      <c r="AG90" s="17">
        <v>5</v>
      </c>
      <c r="AH90" s="17"/>
      <c r="AI90" s="17"/>
      <c r="AJ90" s="17"/>
      <c r="AK90" s="17"/>
      <c r="AL90" s="17"/>
      <c r="AM90" s="17"/>
      <c r="AN90" s="17"/>
      <c r="AO90" s="17"/>
      <c r="AP90" s="17"/>
      <c r="AQ90" s="17"/>
      <c r="AR90" s="17"/>
      <c r="AS90" s="17"/>
      <c r="AT90" s="17"/>
      <c r="AU90" s="17"/>
      <c r="AV90" s="17"/>
      <c r="AW90" s="17"/>
      <c r="AX90" s="12"/>
      <c r="AZ90" t="s">
        <v>1742</v>
      </c>
    </row>
    <row r="91" spans="1:52" ht="18.75" customHeight="1">
      <c r="A91" s="4">
        <v>82</v>
      </c>
      <c r="B91" s="11" t="s">
        <v>88</v>
      </c>
      <c r="C91" s="12"/>
      <c r="D91" s="12" t="s">
        <v>1747</v>
      </c>
      <c r="E91" s="12" t="s">
        <v>1748</v>
      </c>
      <c r="F91" s="18" t="s">
        <v>1749</v>
      </c>
      <c r="G91" s="34" t="s">
        <v>552</v>
      </c>
      <c r="H91" s="12" t="s">
        <v>1747</v>
      </c>
      <c r="I91" s="12" t="s">
        <v>1665</v>
      </c>
      <c r="J91" s="14"/>
      <c r="K91" s="27">
        <v>0</v>
      </c>
      <c r="L91" s="10"/>
      <c r="M91" s="12" t="s">
        <v>1485</v>
      </c>
      <c r="N91" s="12" t="s">
        <v>1486</v>
      </c>
      <c r="O91" s="8">
        <f t="shared" si="1"/>
        <v>19</v>
      </c>
      <c r="P91" s="17"/>
      <c r="Q91" s="17"/>
      <c r="R91" s="17"/>
      <c r="S91" s="17"/>
      <c r="T91" s="17"/>
      <c r="U91" s="17"/>
      <c r="V91" s="17">
        <v>3</v>
      </c>
      <c r="W91" s="17">
        <v>5</v>
      </c>
      <c r="X91" s="17"/>
      <c r="Y91" s="17"/>
      <c r="Z91" s="17">
        <v>3</v>
      </c>
      <c r="AA91" s="17"/>
      <c r="AB91" s="17"/>
      <c r="AC91" s="17"/>
      <c r="AD91" s="17"/>
      <c r="AE91" s="17"/>
      <c r="AF91" s="17">
        <v>3</v>
      </c>
      <c r="AG91" s="17">
        <v>5</v>
      </c>
      <c r="AH91" s="17"/>
      <c r="AI91" s="17"/>
      <c r="AJ91" s="17"/>
      <c r="AK91" s="17"/>
      <c r="AL91" s="17"/>
      <c r="AM91" s="17"/>
      <c r="AN91" s="17"/>
      <c r="AO91" s="17"/>
      <c r="AP91" s="17"/>
      <c r="AQ91" s="17"/>
      <c r="AR91" s="17"/>
      <c r="AS91" s="17"/>
      <c r="AT91" s="17"/>
      <c r="AU91" s="17"/>
      <c r="AV91" s="17"/>
      <c r="AW91" s="17"/>
      <c r="AX91" s="12"/>
      <c r="AZ91" t="s">
        <v>1742</v>
      </c>
    </row>
    <row r="92" spans="1:52" ht="18.75" customHeight="1">
      <c r="A92" s="4">
        <v>83</v>
      </c>
      <c r="B92" s="11" t="s">
        <v>88</v>
      </c>
      <c r="C92" s="12"/>
      <c r="D92" s="12" t="s">
        <v>1750</v>
      </c>
      <c r="E92" s="12" t="s">
        <v>1751</v>
      </c>
      <c r="F92" s="18" t="s">
        <v>1752</v>
      </c>
      <c r="G92" s="34" t="s">
        <v>552</v>
      </c>
      <c r="H92" s="12" t="s">
        <v>1750</v>
      </c>
      <c r="I92" s="12" t="s">
        <v>1753</v>
      </c>
      <c r="J92" s="14"/>
      <c r="K92" s="27">
        <v>0</v>
      </c>
      <c r="L92" s="10"/>
      <c r="M92" s="12" t="s">
        <v>1485</v>
      </c>
      <c r="N92" s="12" t="s">
        <v>1486</v>
      </c>
      <c r="O92" s="8">
        <f t="shared" si="1"/>
        <v>5</v>
      </c>
      <c r="P92" s="17"/>
      <c r="Q92" s="17"/>
      <c r="R92" s="17"/>
      <c r="S92" s="17"/>
      <c r="T92" s="17"/>
      <c r="U92" s="17"/>
      <c r="V92" s="17">
        <v>1</v>
      </c>
      <c r="W92" s="17">
        <v>1</v>
      </c>
      <c r="X92" s="17"/>
      <c r="Y92" s="17"/>
      <c r="Z92" s="17">
        <v>1</v>
      </c>
      <c r="AA92" s="17"/>
      <c r="AB92" s="17"/>
      <c r="AC92" s="17"/>
      <c r="AD92" s="17"/>
      <c r="AE92" s="17"/>
      <c r="AF92" s="17">
        <v>1</v>
      </c>
      <c r="AG92" s="17">
        <v>1</v>
      </c>
      <c r="AH92" s="17"/>
      <c r="AI92" s="17"/>
      <c r="AJ92" s="17"/>
      <c r="AK92" s="17"/>
      <c r="AL92" s="17"/>
      <c r="AM92" s="17"/>
      <c r="AN92" s="17"/>
      <c r="AO92" s="17"/>
      <c r="AP92" s="17"/>
      <c r="AQ92" s="17"/>
      <c r="AR92" s="17"/>
      <c r="AS92" s="17"/>
      <c r="AT92" s="17"/>
      <c r="AU92" s="17"/>
      <c r="AV92" s="17"/>
      <c r="AW92" s="17"/>
      <c r="AX92" s="14"/>
    </row>
    <row r="93" spans="1:52" ht="18.75" customHeight="1">
      <c r="A93" s="4">
        <v>84</v>
      </c>
      <c r="B93" s="11" t="s">
        <v>88</v>
      </c>
      <c r="C93" s="12"/>
      <c r="D93" s="12" t="s">
        <v>1754</v>
      </c>
      <c r="E93" s="12" t="s">
        <v>1755</v>
      </c>
      <c r="F93" s="18" t="s">
        <v>1756</v>
      </c>
      <c r="G93" s="34" t="s">
        <v>552</v>
      </c>
      <c r="H93" s="12" t="s">
        <v>1754</v>
      </c>
      <c r="I93" s="12" t="s">
        <v>1676</v>
      </c>
      <c r="J93" s="14"/>
      <c r="K93" s="27">
        <v>0</v>
      </c>
      <c r="L93" s="10"/>
      <c r="M93" s="12" t="s">
        <v>1485</v>
      </c>
      <c r="N93" s="12" t="s">
        <v>109</v>
      </c>
      <c r="O93" s="8">
        <f t="shared" si="1"/>
        <v>1000</v>
      </c>
      <c r="P93" s="17"/>
      <c r="Q93" s="17"/>
      <c r="R93" s="17"/>
      <c r="S93" s="17"/>
      <c r="T93" s="17"/>
      <c r="U93" s="17"/>
      <c r="V93" s="17">
        <v>200</v>
      </c>
      <c r="W93" s="17">
        <v>200</v>
      </c>
      <c r="X93" s="17"/>
      <c r="Y93" s="17"/>
      <c r="Z93" s="17">
        <v>200</v>
      </c>
      <c r="AA93" s="17"/>
      <c r="AB93" s="17"/>
      <c r="AC93" s="17"/>
      <c r="AD93" s="17"/>
      <c r="AE93" s="17"/>
      <c r="AF93" s="17">
        <v>200</v>
      </c>
      <c r="AG93" s="17">
        <v>200</v>
      </c>
      <c r="AH93" s="17"/>
      <c r="AI93" s="17"/>
      <c r="AJ93" s="17"/>
      <c r="AK93" s="17"/>
      <c r="AL93" s="17"/>
      <c r="AM93" s="17"/>
      <c r="AN93" s="17"/>
      <c r="AO93" s="17"/>
      <c r="AP93" s="17"/>
      <c r="AQ93" s="17"/>
      <c r="AR93" s="17"/>
      <c r="AS93" s="17"/>
      <c r="AT93" s="17"/>
      <c r="AU93" s="17"/>
      <c r="AV93" s="17"/>
      <c r="AW93" s="17"/>
      <c r="AX93" s="12"/>
      <c r="AZ93" t="s">
        <v>1742</v>
      </c>
    </row>
    <row r="94" spans="1:52" ht="18.75" customHeight="1">
      <c r="A94" s="4">
        <v>85</v>
      </c>
      <c r="B94" s="11" t="s">
        <v>88</v>
      </c>
      <c r="C94" s="12"/>
      <c r="D94" s="12" t="s">
        <v>1757</v>
      </c>
      <c r="E94" s="12" t="s">
        <v>1758</v>
      </c>
      <c r="F94" s="18" t="s">
        <v>1759</v>
      </c>
      <c r="G94" s="34" t="s">
        <v>552</v>
      </c>
      <c r="H94" s="12" t="s">
        <v>1757</v>
      </c>
      <c r="I94" s="12" t="s">
        <v>1665</v>
      </c>
      <c r="J94" s="14"/>
      <c r="K94" s="27">
        <v>0</v>
      </c>
      <c r="L94" s="10"/>
      <c r="M94" s="12" t="s">
        <v>1485</v>
      </c>
      <c r="N94" s="12" t="s">
        <v>1486</v>
      </c>
      <c r="O94" s="8">
        <f t="shared" si="1"/>
        <v>5</v>
      </c>
      <c r="P94" s="17"/>
      <c r="Q94" s="17"/>
      <c r="R94" s="17"/>
      <c r="S94" s="17"/>
      <c r="T94" s="17"/>
      <c r="U94" s="17"/>
      <c r="V94" s="17">
        <v>1</v>
      </c>
      <c r="W94" s="17">
        <v>1</v>
      </c>
      <c r="X94" s="17"/>
      <c r="Y94" s="17"/>
      <c r="Z94" s="17">
        <v>1</v>
      </c>
      <c r="AA94" s="17"/>
      <c r="AB94" s="17"/>
      <c r="AC94" s="17"/>
      <c r="AD94" s="17"/>
      <c r="AE94" s="17"/>
      <c r="AF94" s="17">
        <v>1</v>
      </c>
      <c r="AG94" s="17">
        <v>1</v>
      </c>
      <c r="AH94" s="17"/>
      <c r="AI94" s="17"/>
      <c r="AJ94" s="17"/>
      <c r="AK94" s="17"/>
      <c r="AL94" s="17"/>
      <c r="AM94" s="17"/>
      <c r="AN94" s="17"/>
      <c r="AO94" s="17"/>
      <c r="AP94" s="17"/>
      <c r="AQ94" s="17"/>
      <c r="AR94" s="17"/>
      <c r="AS94" s="17"/>
      <c r="AT94" s="17"/>
      <c r="AU94" s="17"/>
      <c r="AV94" s="17"/>
      <c r="AW94" s="17"/>
      <c r="AX94" s="14"/>
    </row>
    <row r="95" spans="1:52" ht="18.75" customHeight="1">
      <c r="A95" s="4">
        <v>86</v>
      </c>
      <c r="B95" s="11" t="s">
        <v>88</v>
      </c>
      <c r="C95" s="12"/>
      <c r="D95" s="12" t="s">
        <v>1760</v>
      </c>
      <c r="E95" s="12" t="s">
        <v>1761</v>
      </c>
      <c r="F95" s="18" t="s">
        <v>1762</v>
      </c>
      <c r="G95" s="34" t="s">
        <v>552</v>
      </c>
      <c r="H95" s="12" t="s">
        <v>1760</v>
      </c>
      <c r="I95" s="12" t="s">
        <v>1537</v>
      </c>
      <c r="J95" s="14"/>
      <c r="K95" s="27">
        <v>0</v>
      </c>
      <c r="L95" s="10"/>
      <c r="M95" s="12" t="s">
        <v>1485</v>
      </c>
      <c r="N95" s="12" t="s">
        <v>1486</v>
      </c>
      <c r="O95" s="8">
        <f t="shared" si="1"/>
        <v>0</v>
      </c>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2"/>
    </row>
    <row r="96" spans="1:52" ht="18.75" customHeight="1">
      <c r="A96" s="4">
        <v>87</v>
      </c>
      <c r="B96" s="11" t="s">
        <v>88</v>
      </c>
      <c r="C96" s="12"/>
      <c r="D96" s="12" t="s">
        <v>1763</v>
      </c>
      <c r="E96" s="12" t="s">
        <v>1764</v>
      </c>
      <c r="F96" s="18" t="s">
        <v>1765</v>
      </c>
      <c r="G96" s="34" t="s">
        <v>552</v>
      </c>
      <c r="H96" s="12" t="s">
        <v>1763</v>
      </c>
      <c r="I96" s="12" t="s">
        <v>1499</v>
      </c>
      <c r="J96" s="14"/>
      <c r="K96" s="27">
        <v>0</v>
      </c>
      <c r="L96" s="10"/>
      <c r="M96" s="12" t="s">
        <v>1485</v>
      </c>
      <c r="N96" s="12" t="s">
        <v>1486</v>
      </c>
      <c r="O96" s="8">
        <f t="shared" si="1"/>
        <v>5</v>
      </c>
      <c r="P96" s="17"/>
      <c r="Q96" s="17"/>
      <c r="R96" s="17"/>
      <c r="S96" s="17"/>
      <c r="T96" s="17"/>
      <c r="U96" s="17"/>
      <c r="V96" s="17">
        <v>1</v>
      </c>
      <c r="W96" s="17">
        <v>1</v>
      </c>
      <c r="X96" s="17"/>
      <c r="Y96" s="17"/>
      <c r="Z96" s="17">
        <v>1</v>
      </c>
      <c r="AA96" s="17"/>
      <c r="AB96" s="17"/>
      <c r="AC96" s="17"/>
      <c r="AD96" s="17"/>
      <c r="AE96" s="17"/>
      <c r="AF96" s="17">
        <v>1</v>
      </c>
      <c r="AG96" s="17">
        <v>1</v>
      </c>
      <c r="AH96" s="17"/>
      <c r="AI96" s="17"/>
      <c r="AJ96" s="17"/>
      <c r="AK96" s="17"/>
      <c r="AL96" s="17"/>
      <c r="AM96" s="17"/>
      <c r="AN96" s="17"/>
      <c r="AO96" s="17"/>
      <c r="AP96" s="17"/>
      <c r="AQ96" s="17"/>
      <c r="AR96" s="17"/>
      <c r="AS96" s="17"/>
      <c r="AT96" s="17"/>
      <c r="AU96" s="17"/>
      <c r="AV96" s="17"/>
      <c r="AW96" s="17"/>
      <c r="AX96" s="12"/>
    </row>
    <row r="97" spans="1:50" ht="18.75" customHeight="1">
      <c r="A97" s="4">
        <v>88</v>
      </c>
      <c r="B97" s="11" t="s">
        <v>88</v>
      </c>
      <c r="C97" s="12"/>
      <c r="D97" s="12" t="s">
        <v>1766</v>
      </c>
      <c r="E97" s="12" t="s">
        <v>1767</v>
      </c>
      <c r="F97" s="18" t="s">
        <v>1768</v>
      </c>
      <c r="G97" s="34" t="s">
        <v>552</v>
      </c>
      <c r="H97" s="12" t="s">
        <v>1766</v>
      </c>
      <c r="I97" s="12" t="s">
        <v>1732</v>
      </c>
      <c r="J97" s="14"/>
      <c r="K97" s="27">
        <v>0</v>
      </c>
      <c r="L97" s="10"/>
      <c r="M97" s="12" t="s">
        <v>1485</v>
      </c>
      <c r="N97" s="12" t="s">
        <v>1486</v>
      </c>
      <c r="O97" s="8">
        <f t="shared" si="1"/>
        <v>0</v>
      </c>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2"/>
    </row>
    <row r="98" spans="1:50" ht="18.75" customHeight="1">
      <c r="A98" s="4">
        <v>89</v>
      </c>
      <c r="B98" s="5" t="s">
        <v>88</v>
      </c>
      <c r="C98" s="6"/>
      <c r="D98" s="35" t="s">
        <v>1769</v>
      </c>
      <c r="E98" s="35" t="s">
        <v>1770</v>
      </c>
      <c r="F98" s="7"/>
      <c r="G98" s="9"/>
      <c r="H98" s="9"/>
      <c r="I98" s="9"/>
      <c r="J98" s="9"/>
      <c r="K98" s="20">
        <v>0</v>
      </c>
      <c r="L98" s="4"/>
      <c r="M98" s="9" t="s">
        <v>1485</v>
      </c>
      <c r="N98" s="9"/>
      <c r="O98" s="8">
        <f t="shared" si="1"/>
        <v>0</v>
      </c>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9"/>
    </row>
    <row r="99" spans="1:50" ht="18.75" customHeight="1">
      <c r="A99" s="4">
        <v>90</v>
      </c>
      <c r="B99" s="11" t="s">
        <v>88</v>
      </c>
      <c r="C99" s="12"/>
      <c r="D99" s="12" t="s">
        <v>1771</v>
      </c>
      <c r="E99" s="12" t="s">
        <v>1772</v>
      </c>
      <c r="F99" s="18" t="s">
        <v>1773</v>
      </c>
      <c r="G99" s="34" t="s">
        <v>552</v>
      </c>
      <c r="H99" s="12" t="s">
        <v>1771</v>
      </c>
      <c r="I99" s="12" t="s">
        <v>1774</v>
      </c>
      <c r="J99" s="14"/>
      <c r="K99" s="27">
        <v>0</v>
      </c>
      <c r="L99" s="10"/>
      <c r="M99" s="12" t="s">
        <v>1485</v>
      </c>
      <c r="N99" s="12" t="s">
        <v>1486</v>
      </c>
      <c r="O99" s="8">
        <f t="shared" si="1"/>
        <v>27</v>
      </c>
      <c r="P99" s="17"/>
      <c r="Q99" s="17"/>
      <c r="R99" s="17"/>
      <c r="S99" s="17"/>
      <c r="T99" s="17"/>
      <c r="U99" s="17"/>
      <c r="V99" s="17">
        <v>6</v>
      </c>
      <c r="W99" s="17">
        <v>8</v>
      </c>
      <c r="X99" s="17"/>
      <c r="Y99" s="17"/>
      <c r="Z99" s="17">
        <v>5</v>
      </c>
      <c r="AA99" s="17"/>
      <c r="AB99" s="17"/>
      <c r="AC99" s="17"/>
      <c r="AD99" s="17"/>
      <c r="AE99" s="17"/>
      <c r="AF99" s="17">
        <v>4</v>
      </c>
      <c r="AG99" s="17">
        <v>4</v>
      </c>
      <c r="AH99" s="17"/>
      <c r="AI99" s="17"/>
      <c r="AJ99" s="17"/>
      <c r="AK99" s="17"/>
      <c r="AL99" s="17"/>
      <c r="AM99" s="17"/>
      <c r="AN99" s="17"/>
      <c r="AO99" s="17"/>
      <c r="AP99" s="17"/>
      <c r="AQ99" s="17"/>
      <c r="AR99" s="17"/>
      <c r="AS99" s="17"/>
      <c r="AT99" s="17"/>
      <c r="AU99" s="17"/>
      <c r="AV99" s="17"/>
      <c r="AW99" s="17"/>
      <c r="AX99" s="16"/>
    </row>
    <row r="100" spans="1:50" ht="18.75" customHeight="1">
      <c r="A100" s="4">
        <v>91</v>
      </c>
      <c r="B100" s="11" t="s">
        <v>88</v>
      </c>
      <c r="C100" s="12"/>
      <c r="D100" s="12" t="s">
        <v>1775</v>
      </c>
      <c r="E100" s="12" t="s">
        <v>1776</v>
      </c>
      <c r="F100" s="18" t="s">
        <v>1777</v>
      </c>
      <c r="G100" s="34" t="s">
        <v>552</v>
      </c>
      <c r="H100" s="12" t="s">
        <v>1775</v>
      </c>
      <c r="I100" s="12" t="s">
        <v>1774</v>
      </c>
      <c r="J100" s="14"/>
      <c r="K100" s="27">
        <v>0</v>
      </c>
      <c r="L100" s="10"/>
      <c r="M100" s="12" t="s">
        <v>1485</v>
      </c>
      <c r="N100" s="12" t="s">
        <v>1486</v>
      </c>
      <c r="O100" s="8">
        <f t="shared" si="1"/>
        <v>0</v>
      </c>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row>
    <row r="101" spans="1:50" ht="18.75" customHeight="1">
      <c r="A101" s="4">
        <v>92</v>
      </c>
      <c r="B101" s="11" t="s">
        <v>88</v>
      </c>
      <c r="C101" s="12"/>
      <c r="D101" s="12" t="s">
        <v>1778</v>
      </c>
      <c r="E101" s="12" t="s">
        <v>1779</v>
      </c>
      <c r="F101" s="18" t="s">
        <v>1780</v>
      </c>
      <c r="G101" s="34" t="s">
        <v>552</v>
      </c>
      <c r="H101" s="12" t="s">
        <v>1778</v>
      </c>
      <c r="I101" s="12" t="s">
        <v>1774</v>
      </c>
      <c r="J101" s="14"/>
      <c r="K101" s="27">
        <v>0</v>
      </c>
      <c r="L101" s="10"/>
      <c r="M101" s="12" t="s">
        <v>1485</v>
      </c>
      <c r="N101" s="12" t="s">
        <v>1486</v>
      </c>
      <c r="O101" s="8">
        <f t="shared" si="1"/>
        <v>0</v>
      </c>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row>
    <row r="102" spans="1:50" ht="18.75" customHeight="1">
      <c r="A102" s="4">
        <v>93</v>
      </c>
      <c r="B102" s="5" t="s">
        <v>88</v>
      </c>
      <c r="C102" s="6"/>
      <c r="D102" s="35" t="s">
        <v>1781</v>
      </c>
      <c r="E102" s="35" t="s">
        <v>1782</v>
      </c>
      <c r="F102" s="7" t="s">
        <v>1783</v>
      </c>
      <c r="G102" s="9"/>
      <c r="H102" s="9"/>
      <c r="I102" s="9"/>
      <c r="J102" s="9"/>
      <c r="K102" s="20">
        <v>0</v>
      </c>
      <c r="L102" s="4"/>
      <c r="M102" s="9" t="s">
        <v>1485</v>
      </c>
      <c r="N102" s="9"/>
      <c r="O102" s="8">
        <f t="shared" si="1"/>
        <v>0</v>
      </c>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9"/>
    </row>
    <row r="103" spans="1:50" ht="18.75" customHeight="1">
      <c r="A103" s="4">
        <v>94</v>
      </c>
      <c r="B103" s="11" t="s">
        <v>88</v>
      </c>
      <c r="C103" s="12"/>
      <c r="D103" s="12" t="s">
        <v>1784</v>
      </c>
      <c r="E103" s="12" t="s">
        <v>1785</v>
      </c>
      <c r="F103" s="18" t="s">
        <v>1786</v>
      </c>
      <c r="G103" s="34" t="s">
        <v>552</v>
      </c>
      <c r="H103" s="12" t="s">
        <v>1784</v>
      </c>
      <c r="I103" s="12" t="s">
        <v>1774</v>
      </c>
      <c r="J103" s="14"/>
      <c r="K103" s="27">
        <v>0</v>
      </c>
      <c r="L103" s="10"/>
      <c r="M103" s="12" t="s">
        <v>1485</v>
      </c>
      <c r="N103" s="12" t="s">
        <v>1486</v>
      </c>
      <c r="O103" s="8">
        <f t="shared" si="1"/>
        <v>0</v>
      </c>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6"/>
    </row>
    <row r="104" spans="1:50" ht="30.75" customHeight="1">
      <c r="A104" s="4">
        <v>95</v>
      </c>
      <c r="B104" s="11" t="s">
        <v>88</v>
      </c>
      <c r="C104" s="12"/>
      <c r="D104" s="12" t="s">
        <v>1787</v>
      </c>
      <c r="E104" s="12" t="s">
        <v>1788</v>
      </c>
      <c r="F104" s="18" t="s">
        <v>1789</v>
      </c>
      <c r="G104" s="34" t="s">
        <v>552</v>
      </c>
      <c r="H104" s="12" t="s">
        <v>1787</v>
      </c>
      <c r="I104" s="12" t="s">
        <v>1774</v>
      </c>
      <c r="J104" s="14"/>
      <c r="K104" s="27">
        <v>0</v>
      </c>
      <c r="L104" s="10"/>
      <c r="M104" s="12" t="s">
        <v>1485</v>
      </c>
      <c r="N104" s="12" t="s">
        <v>1486</v>
      </c>
      <c r="O104" s="8">
        <f t="shared" si="1"/>
        <v>16</v>
      </c>
      <c r="P104" s="17"/>
      <c r="Q104" s="106">
        <v>3</v>
      </c>
      <c r="R104" s="17"/>
      <c r="S104" s="106">
        <v>2</v>
      </c>
      <c r="T104" s="106">
        <v>1</v>
      </c>
      <c r="U104" s="106">
        <v>1</v>
      </c>
      <c r="V104" s="17"/>
      <c r="W104" s="17"/>
      <c r="X104" s="106">
        <v>2</v>
      </c>
      <c r="Y104" s="17"/>
      <c r="Z104" s="17"/>
      <c r="AA104" s="17"/>
      <c r="AB104" s="17"/>
      <c r="AC104" s="17">
        <v>3</v>
      </c>
      <c r="AD104" s="17">
        <v>3</v>
      </c>
      <c r="AE104" s="17"/>
      <c r="AF104" s="17"/>
      <c r="AG104" s="17"/>
      <c r="AH104" s="17"/>
      <c r="AI104" s="17"/>
      <c r="AJ104" s="17"/>
      <c r="AK104" s="17"/>
      <c r="AL104" s="17"/>
      <c r="AM104" s="17"/>
      <c r="AN104" s="17"/>
      <c r="AO104" s="17"/>
      <c r="AP104" s="17"/>
      <c r="AQ104" s="17"/>
      <c r="AR104" s="17"/>
      <c r="AS104" s="17"/>
      <c r="AT104" s="17"/>
      <c r="AU104" s="17"/>
      <c r="AV104" s="17"/>
      <c r="AW104" s="17">
        <v>1</v>
      </c>
      <c r="AX104" s="16"/>
    </row>
    <row r="105" spans="1:50" ht="18.75" customHeight="1">
      <c r="A105" s="4">
        <v>96</v>
      </c>
      <c r="B105" s="11" t="s">
        <v>88</v>
      </c>
      <c r="C105" s="12"/>
      <c r="D105" s="12" t="s">
        <v>1790</v>
      </c>
      <c r="E105" s="12" t="s">
        <v>1791</v>
      </c>
      <c r="F105" s="18" t="s">
        <v>1792</v>
      </c>
      <c r="G105" s="34" t="s">
        <v>552</v>
      </c>
      <c r="H105" s="12" t="s">
        <v>1790</v>
      </c>
      <c r="I105" s="12" t="s">
        <v>1774</v>
      </c>
      <c r="J105" s="14"/>
      <c r="K105" s="27">
        <v>0</v>
      </c>
      <c r="L105" s="10"/>
      <c r="M105" s="12" t="s">
        <v>1485</v>
      </c>
      <c r="N105" s="12" t="s">
        <v>1486</v>
      </c>
      <c r="O105" s="8">
        <f t="shared" si="1"/>
        <v>0</v>
      </c>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6"/>
    </row>
    <row r="106" spans="1:50" ht="18.75" customHeight="1">
      <c r="A106" s="4">
        <v>97</v>
      </c>
      <c r="B106" s="11" t="s">
        <v>88</v>
      </c>
      <c r="C106" s="12"/>
      <c r="D106" s="12" t="s">
        <v>1793</v>
      </c>
      <c r="E106" s="12" t="s">
        <v>1794</v>
      </c>
      <c r="F106" s="18" t="s">
        <v>1795</v>
      </c>
      <c r="G106" s="34" t="s">
        <v>552</v>
      </c>
      <c r="H106" s="12" t="s">
        <v>1793</v>
      </c>
      <c r="I106" s="12" t="s">
        <v>1796</v>
      </c>
      <c r="J106" s="34" t="s">
        <v>552</v>
      </c>
      <c r="K106" s="33">
        <v>2</v>
      </c>
      <c r="L106" s="13" t="s">
        <v>89</v>
      </c>
      <c r="M106" s="12" t="s">
        <v>1485</v>
      </c>
      <c r="N106" s="12" t="s">
        <v>109</v>
      </c>
      <c r="O106" s="8">
        <f t="shared" si="1"/>
        <v>0</v>
      </c>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6"/>
    </row>
    <row r="107" spans="1:50" ht="18.75" customHeight="1">
      <c r="A107" s="4">
        <v>98</v>
      </c>
      <c r="B107" s="11" t="s">
        <v>88</v>
      </c>
      <c r="C107" s="12"/>
      <c r="D107" s="12" t="s">
        <v>1797</v>
      </c>
      <c r="E107" s="12" t="s">
        <v>1798</v>
      </c>
      <c r="F107" s="18" t="s">
        <v>1799</v>
      </c>
      <c r="G107" s="34" t="s">
        <v>552</v>
      </c>
      <c r="H107" s="12" t="s">
        <v>1797</v>
      </c>
      <c r="I107" s="12" t="s">
        <v>1746</v>
      </c>
      <c r="J107" s="14"/>
      <c r="K107" s="27">
        <v>0</v>
      </c>
      <c r="L107" s="10"/>
      <c r="M107" s="12" t="s">
        <v>1485</v>
      </c>
      <c r="N107" s="12" t="s">
        <v>1486</v>
      </c>
      <c r="O107" s="8">
        <f t="shared" si="1"/>
        <v>16</v>
      </c>
      <c r="P107" s="17"/>
      <c r="Q107" s="106">
        <v>3</v>
      </c>
      <c r="R107" s="17"/>
      <c r="S107" s="106">
        <v>2</v>
      </c>
      <c r="T107" s="106">
        <v>1</v>
      </c>
      <c r="U107" s="106">
        <v>1</v>
      </c>
      <c r="V107" s="17"/>
      <c r="W107" s="17"/>
      <c r="X107" s="106">
        <v>2</v>
      </c>
      <c r="Y107" s="17"/>
      <c r="Z107" s="17"/>
      <c r="AA107" s="17"/>
      <c r="AB107" s="17"/>
      <c r="AC107" s="17">
        <v>3</v>
      </c>
      <c r="AD107" s="17">
        <v>3</v>
      </c>
      <c r="AE107" s="17"/>
      <c r="AF107" s="17"/>
      <c r="AG107" s="17"/>
      <c r="AH107" s="17"/>
      <c r="AI107" s="17"/>
      <c r="AJ107" s="17"/>
      <c r="AK107" s="17"/>
      <c r="AL107" s="17"/>
      <c r="AM107" s="17"/>
      <c r="AN107" s="17"/>
      <c r="AO107" s="17"/>
      <c r="AP107" s="17"/>
      <c r="AQ107" s="17"/>
      <c r="AR107" s="17"/>
      <c r="AS107" s="17"/>
      <c r="AT107" s="17"/>
      <c r="AU107" s="17"/>
      <c r="AV107" s="17"/>
      <c r="AW107" s="17">
        <v>1</v>
      </c>
      <c r="AX107" s="16"/>
    </row>
    <row r="108" spans="1:50" ht="30.75" customHeight="1">
      <c r="A108" s="4">
        <v>99</v>
      </c>
      <c r="B108" s="11" t="s">
        <v>88</v>
      </c>
      <c r="C108" s="12"/>
      <c r="D108" s="12" t="s">
        <v>1800</v>
      </c>
      <c r="E108" s="12" t="s">
        <v>1801</v>
      </c>
      <c r="F108" s="18" t="s">
        <v>1802</v>
      </c>
      <c r="G108" s="34" t="s">
        <v>552</v>
      </c>
      <c r="H108" s="12" t="s">
        <v>1800</v>
      </c>
      <c r="I108" s="12" t="s">
        <v>1746</v>
      </c>
      <c r="J108" s="14"/>
      <c r="K108" s="27">
        <v>0</v>
      </c>
      <c r="L108" s="10"/>
      <c r="M108" s="12" t="s">
        <v>1485</v>
      </c>
      <c r="N108" s="12" t="s">
        <v>1486</v>
      </c>
      <c r="O108" s="8">
        <f t="shared" si="1"/>
        <v>0</v>
      </c>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6"/>
    </row>
    <row r="109" spans="1:50" ht="30.75" customHeight="1">
      <c r="A109" s="4">
        <v>100</v>
      </c>
      <c r="B109" s="11" t="s">
        <v>88</v>
      </c>
      <c r="C109" s="12"/>
      <c r="D109" s="12" t="s">
        <v>1803</v>
      </c>
      <c r="E109" s="12" t="s">
        <v>1804</v>
      </c>
      <c r="F109" s="18" t="s">
        <v>1802</v>
      </c>
      <c r="G109" s="34" t="s">
        <v>552</v>
      </c>
      <c r="H109" s="12" t="s">
        <v>1803</v>
      </c>
      <c r="I109" s="12" t="s">
        <v>1746</v>
      </c>
      <c r="J109" s="14"/>
      <c r="K109" s="27">
        <v>0</v>
      </c>
      <c r="L109" s="10"/>
      <c r="M109" s="12" t="s">
        <v>1485</v>
      </c>
      <c r="N109" s="12" t="s">
        <v>1486</v>
      </c>
      <c r="O109" s="8">
        <f t="shared" si="1"/>
        <v>0</v>
      </c>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6"/>
    </row>
    <row r="110" spans="1:50" ht="18.75" customHeight="1">
      <c r="A110" s="4">
        <v>101</v>
      </c>
      <c r="B110" s="11" t="s">
        <v>88</v>
      </c>
      <c r="C110" s="12"/>
      <c r="D110" s="12" t="s">
        <v>1805</v>
      </c>
      <c r="E110" s="12" t="s">
        <v>1806</v>
      </c>
      <c r="F110" s="18" t="s">
        <v>1807</v>
      </c>
      <c r="G110" s="34" t="s">
        <v>552</v>
      </c>
      <c r="H110" s="12" t="s">
        <v>1805</v>
      </c>
      <c r="I110" s="12" t="s">
        <v>1630</v>
      </c>
      <c r="J110" s="14"/>
      <c r="K110" s="27">
        <v>0</v>
      </c>
      <c r="L110" s="10"/>
      <c r="M110" s="12" t="s">
        <v>1485</v>
      </c>
      <c r="N110" s="12" t="s">
        <v>1486</v>
      </c>
      <c r="O110" s="8">
        <f t="shared" si="1"/>
        <v>16</v>
      </c>
      <c r="P110" s="17"/>
      <c r="Q110" s="106">
        <v>3</v>
      </c>
      <c r="R110" s="17"/>
      <c r="S110" s="106">
        <v>2</v>
      </c>
      <c r="T110" s="106">
        <v>1</v>
      </c>
      <c r="U110" s="106">
        <v>1</v>
      </c>
      <c r="V110" s="17"/>
      <c r="W110" s="17"/>
      <c r="X110" s="106">
        <v>2</v>
      </c>
      <c r="Y110" s="17"/>
      <c r="Z110" s="17"/>
      <c r="AA110" s="17"/>
      <c r="AB110" s="17"/>
      <c r="AC110" s="17">
        <v>3</v>
      </c>
      <c r="AD110" s="17">
        <v>3</v>
      </c>
      <c r="AE110" s="17"/>
      <c r="AF110" s="17"/>
      <c r="AG110" s="17"/>
      <c r="AH110" s="17"/>
      <c r="AI110" s="17"/>
      <c r="AJ110" s="17"/>
      <c r="AK110" s="17"/>
      <c r="AL110" s="17"/>
      <c r="AM110" s="17"/>
      <c r="AN110" s="17"/>
      <c r="AO110" s="17"/>
      <c r="AP110" s="17"/>
      <c r="AQ110" s="17"/>
      <c r="AR110" s="17"/>
      <c r="AS110" s="17"/>
      <c r="AT110" s="17"/>
      <c r="AU110" s="17"/>
      <c r="AV110" s="17"/>
      <c r="AW110" s="17">
        <v>1</v>
      </c>
      <c r="AX110" s="16"/>
    </row>
    <row r="111" spans="1:50" ht="18.75" customHeight="1">
      <c r="A111" s="4">
        <v>102</v>
      </c>
      <c r="B111" s="5" t="s">
        <v>88</v>
      </c>
      <c r="C111" s="6"/>
      <c r="D111" s="6" t="s">
        <v>1808</v>
      </c>
      <c r="E111" s="6" t="s">
        <v>1809</v>
      </c>
      <c r="F111" s="7"/>
      <c r="G111" s="9"/>
      <c r="H111" s="9"/>
      <c r="I111" s="9"/>
      <c r="J111" s="9"/>
      <c r="K111" s="20">
        <v>0</v>
      </c>
      <c r="L111" s="4"/>
      <c r="M111" s="9" t="s">
        <v>1485</v>
      </c>
      <c r="N111" s="9"/>
      <c r="O111" s="8">
        <f t="shared" si="1"/>
        <v>0</v>
      </c>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row>
    <row r="112" spans="1:50" ht="18.75" customHeight="1">
      <c r="A112" s="4">
        <v>103</v>
      </c>
      <c r="B112" s="11" t="s">
        <v>88</v>
      </c>
      <c r="C112" s="12"/>
      <c r="D112" s="12" t="s">
        <v>1810</v>
      </c>
      <c r="E112" s="12" t="s">
        <v>1811</v>
      </c>
      <c r="F112" s="18" t="s">
        <v>1812</v>
      </c>
      <c r="G112" s="34" t="s">
        <v>552</v>
      </c>
      <c r="H112" s="12" t="s">
        <v>1810</v>
      </c>
      <c r="I112" s="12" t="s">
        <v>1619</v>
      </c>
      <c r="J112" s="14"/>
      <c r="K112" s="27">
        <v>0</v>
      </c>
      <c r="L112" s="10"/>
      <c r="M112" s="12" t="s">
        <v>1485</v>
      </c>
      <c r="N112" s="12" t="s">
        <v>1486</v>
      </c>
      <c r="O112" s="8">
        <f t="shared" si="1"/>
        <v>0</v>
      </c>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6"/>
    </row>
    <row r="113" spans="1:52" ht="18.75" customHeight="1">
      <c r="A113" s="4">
        <v>104</v>
      </c>
      <c r="B113" s="11" t="s">
        <v>88</v>
      </c>
      <c r="C113" s="12"/>
      <c r="D113" s="12" t="s">
        <v>1813</v>
      </c>
      <c r="E113" s="12" t="s">
        <v>1814</v>
      </c>
      <c r="F113" s="18" t="s">
        <v>1815</v>
      </c>
      <c r="G113" s="34" t="s">
        <v>552</v>
      </c>
      <c r="H113" s="12" t="s">
        <v>1813</v>
      </c>
      <c r="I113" s="12" t="s">
        <v>1619</v>
      </c>
      <c r="J113" s="14"/>
      <c r="K113" s="27">
        <v>0</v>
      </c>
      <c r="L113" s="10"/>
      <c r="M113" s="12" t="s">
        <v>1485</v>
      </c>
      <c r="N113" s="12" t="s">
        <v>1486</v>
      </c>
      <c r="O113" s="8">
        <f t="shared" si="1"/>
        <v>16</v>
      </c>
      <c r="P113" s="17"/>
      <c r="Q113" s="106">
        <v>3</v>
      </c>
      <c r="R113" s="17"/>
      <c r="S113" s="106">
        <v>2</v>
      </c>
      <c r="T113" s="106">
        <v>1</v>
      </c>
      <c r="U113" s="106">
        <v>1</v>
      </c>
      <c r="V113" s="17"/>
      <c r="W113" s="17"/>
      <c r="X113" s="106">
        <v>2</v>
      </c>
      <c r="Y113" s="17"/>
      <c r="Z113" s="17"/>
      <c r="AA113" s="17"/>
      <c r="AB113" s="17"/>
      <c r="AC113" s="17">
        <v>3</v>
      </c>
      <c r="AD113" s="17">
        <v>3</v>
      </c>
      <c r="AE113" s="17"/>
      <c r="AF113" s="17"/>
      <c r="AG113" s="17"/>
      <c r="AH113" s="17"/>
      <c r="AI113" s="17"/>
      <c r="AJ113" s="17"/>
      <c r="AK113" s="17"/>
      <c r="AL113" s="17"/>
      <c r="AM113" s="17"/>
      <c r="AN113" s="17"/>
      <c r="AO113" s="17"/>
      <c r="AP113" s="17"/>
      <c r="AQ113" s="17"/>
      <c r="AR113" s="17"/>
      <c r="AS113" s="17"/>
      <c r="AT113" s="17"/>
      <c r="AU113" s="17"/>
      <c r="AV113" s="17"/>
      <c r="AW113" s="17">
        <v>1</v>
      </c>
      <c r="AX113" s="16"/>
    </row>
    <row r="114" spans="1:52" ht="18.75" customHeight="1">
      <c r="A114" s="4">
        <v>105</v>
      </c>
      <c r="B114" s="11" t="s">
        <v>88</v>
      </c>
      <c r="C114" s="12"/>
      <c r="D114" s="12" t="s">
        <v>1816</v>
      </c>
      <c r="E114" s="12" t="s">
        <v>1817</v>
      </c>
      <c r="F114" s="18" t="s">
        <v>1818</v>
      </c>
      <c r="G114" s="34" t="s">
        <v>552</v>
      </c>
      <c r="H114" s="12" t="s">
        <v>1816</v>
      </c>
      <c r="I114" s="12" t="s">
        <v>1630</v>
      </c>
      <c r="J114" s="14"/>
      <c r="K114" s="27">
        <v>0</v>
      </c>
      <c r="L114" s="10"/>
      <c r="M114" s="12" t="s">
        <v>1485</v>
      </c>
      <c r="N114" s="12" t="s">
        <v>1486</v>
      </c>
      <c r="O114" s="8">
        <f t="shared" si="1"/>
        <v>0</v>
      </c>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6"/>
      <c r="AZ114" t="s">
        <v>1819</v>
      </c>
    </row>
    <row r="115" spans="1:52" ht="30.75" customHeight="1">
      <c r="A115" s="4">
        <v>106</v>
      </c>
      <c r="B115" s="11" t="s">
        <v>88</v>
      </c>
      <c r="C115" s="12"/>
      <c r="D115" s="12" t="s">
        <v>1820</v>
      </c>
      <c r="E115" s="12" t="s">
        <v>1821</v>
      </c>
      <c r="F115" s="18" t="s">
        <v>1822</v>
      </c>
      <c r="G115" s="34" t="s">
        <v>552</v>
      </c>
      <c r="H115" s="12" t="s">
        <v>1820</v>
      </c>
      <c r="I115" s="12" t="s">
        <v>1630</v>
      </c>
      <c r="J115" s="14"/>
      <c r="K115" s="27">
        <v>0</v>
      </c>
      <c r="L115" s="10"/>
      <c r="M115" s="12" t="s">
        <v>1485</v>
      </c>
      <c r="N115" s="12" t="s">
        <v>1486</v>
      </c>
      <c r="O115" s="8">
        <f t="shared" si="1"/>
        <v>16</v>
      </c>
      <c r="P115" s="17"/>
      <c r="Q115" s="106">
        <v>3</v>
      </c>
      <c r="R115" s="17"/>
      <c r="S115" s="106">
        <v>2</v>
      </c>
      <c r="T115" s="106">
        <v>1</v>
      </c>
      <c r="U115" s="106">
        <v>1</v>
      </c>
      <c r="V115" s="17"/>
      <c r="W115" s="17"/>
      <c r="X115" s="106">
        <v>2</v>
      </c>
      <c r="Y115" s="17"/>
      <c r="Z115" s="17"/>
      <c r="AA115" s="17"/>
      <c r="AB115" s="17"/>
      <c r="AC115" s="17">
        <v>3</v>
      </c>
      <c r="AD115" s="17">
        <v>3</v>
      </c>
      <c r="AE115" s="17"/>
      <c r="AF115" s="17"/>
      <c r="AG115" s="17"/>
      <c r="AH115" s="17"/>
      <c r="AI115" s="17"/>
      <c r="AJ115" s="17"/>
      <c r="AK115" s="17"/>
      <c r="AL115" s="17"/>
      <c r="AM115" s="17"/>
      <c r="AN115" s="17"/>
      <c r="AO115" s="17"/>
      <c r="AP115" s="17"/>
      <c r="AQ115" s="17"/>
      <c r="AR115" s="17"/>
      <c r="AS115" s="17"/>
      <c r="AT115" s="17"/>
      <c r="AU115" s="17"/>
      <c r="AV115" s="17"/>
      <c r="AW115" s="17">
        <v>1</v>
      </c>
      <c r="AX115" s="16"/>
      <c r="AZ115" t="s">
        <v>1823</v>
      </c>
    </row>
    <row r="116" spans="1:52" ht="30.75" customHeight="1">
      <c r="A116" s="4">
        <v>107</v>
      </c>
      <c r="B116" s="11" t="s">
        <v>88</v>
      </c>
      <c r="C116" s="12"/>
      <c r="D116" s="12" t="s">
        <v>1824</v>
      </c>
      <c r="E116" s="12" t="s">
        <v>1825</v>
      </c>
      <c r="F116" s="18" t="s">
        <v>1517</v>
      </c>
      <c r="G116" s="34" t="s">
        <v>552</v>
      </c>
      <c r="H116" s="12" t="s">
        <v>1824</v>
      </c>
      <c r="I116" s="12" t="s">
        <v>1619</v>
      </c>
      <c r="J116" s="14"/>
      <c r="K116" s="27">
        <v>0</v>
      </c>
      <c r="L116" s="10"/>
      <c r="M116" s="12" t="s">
        <v>1485</v>
      </c>
      <c r="N116" s="12" t="s">
        <v>1486</v>
      </c>
      <c r="O116" s="8">
        <f t="shared" si="1"/>
        <v>0</v>
      </c>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6"/>
    </row>
    <row r="117" spans="1:52" ht="18.75" customHeight="1">
      <c r="A117" s="4">
        <v>108</v>
      </c>
      <c r="B117" s="11" t="s">
        <v>88</v>
      </c>
      <c r="C117" s="12"/>
      <c r="D117" s="12" t="s">
        <v>1826</v>
      </c>
      <c r="E117" s="12" t="s">
        <v>1827</v>
      </c>
      <c r="F117" s="18" t="s">
        <v>1828</v>
      </c>
      <c r="G117" s="34" t="s">
        <v>552</v>
      </c>
      <c r="H117" s="12" t="s">
        <v>1826</v>
      </c>
      <c r="I117" s="12" t="s">
        <v>1518</v>
      </c>
      <c r="J117" s="14"/>
      <c r="K117" s="27">
        <v>0</v>
      </c>
      <c r="L117" s="10"/>
      <c r="M117" s="12" t="s">
        <v>1485</v>
      </c>
      <c r="N117" s="12" t="s">
        <v>1486</v>
      </c>
      <c r="O117" s="8">
        <f t="shared" si="1"/>
        <v>0</v>
      </c>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6"/>
    </row>
    <row r="118" spans="1:52" ht="18.75" customHeight="1">
      <c r="A118" s="4">
        <v>109</v>
      </c>
      <c r="B118" s="11" t="s">
        <v>88</v>
      </c>
      <c r="C118" s="12"/>
      <c r="D118" s="12" t="s">
        <v>1829</v>
      </c>
      <c r="E118" s="12" t="s">
        <v>1827</v>
      </c>
      <c r="F118" s="18" t="s">
        <v>1830</v>
      </c>
      <c r="G118" s="34" t="s">
        <v>552</v>
      </c>
      <c r="H118" s="12" t="s">
        <v>1829</v>
      </c>
      <c r="I118" s="12" t="s">
        <v>1608</v>
      </c>
      <c r="J118" s="14"/>
      <c r="K118" s="27">
        <v>0</v>
      </c>
      <c r="L118" s="10"/>
      <c r="M118" s="12" t="s">
        <v>1485</v>
      </c>
      <c r="N118" s="12" t="s">
        <v>1486</v>
      </c>
      <c r="O118" s="8">
        <f t="shared" si="1"/>
        <v>16</v>
      </c>
      <c r="P118" s="17"/>
      <c r="Q118" s="106">
        <v>3</v>
      </c>
      <c r="R118" s="17"/>
      <c r="S118" s="106">
        <v>2</v>
      </c>
      <c r="T118" s="106">
        <v>1</v>
      </c>
      <c r="U118" s="106">
        <v>1</v>
      </c>
      <c r="V118" s="17"/>
      <c r="W118" s="17"/>
      <c r="X118" s="106">
        <v>2</v>
      </c>
      <c r="Y118" s="17"/>
      <c r="Z118" s="17"/>
      <c r="AA118" s="17"/>
      <c r="AB118" s="17"/>
      <c r="AC118" s="17">
        <v>3</v>
      </c>
      <c r="AD118" s="17">
        <v>3</v>
      </c>
      <c r="AE118" s="17"/>
      <c r="AF118" s="17"/>
      <c r="AG118" s="17"/>
      <c r="AH118" s="17"/>
      <c r="AI118" s="17"/>
      <c r="AJ118" s="17"/>
      <c r="AK118" s="17"/>
      <c r="AL118" s="17"/>
      <c r="AM118" s="17"/>
      <c r="AN118" s="17"/>
      <c r="AO118" s="17"/>
      <c r="AP118" s="17"/>
      <c r="AQ118" s="17"/>
      <c r="AR118" s="17"/>
      <c r="AS118" s="17"/>
      <c r="AT118" s="17"/>
      <c r="AU118" s="17"/>
      <c r="AV118" s="17"/>
      <c r="AW118" s="17">
        <v>1</v>
      </c>
      <c r="AX118" s="16"/>
      <c r="AZ118" t="s">
        <v>1831</v>
      </c>
    </row>
    <row r="119" spans="1:52" ht="18.75" customHeight="1">
      <c r="A119" s="4">
        <v>110</v>
      </c>
      <c r="B119" s="11" t="s">
        <v>88</v>
      </c>
      <c r="C119" s="12"/>
      <c r="D119" s="12" t="s">
        <v>1832</v>
      </c>
      <c r="E119" s="12" t="s">
        <v>1827</v>
      </c>
      <c r="F119" s="18" t="s">
        <v>1833</v>
      </c>
      <c r="G119" s="34" t="s">
        <v>552</v>
      </c>
      <c r="H119" s="12" t="s">
        <v>1832</v>
      </c>
      <c r="I119" s="12" t="s">
        <v>1608</v>
      </c>
      <c r="J119" s="14"/>
      <c r="K119" s="27">
        <v>0</v>
      </c>
      <c r="L119" s="10"/>
      <c r="M119" s="12" t="s">
        <v>1485</v>
      </c>
      <c r="N119" s="12" t="s">
        <v>1486</v>
      </c>
      <c r="O119" s="8">
        <f t="shared" si="1"/>
        <v>16</v>
      </c>
      <c r="P119" s="17"/>
      <c r="Q119" s="106">
        <v>3</v>
      </c>
      <c r="R119" s="17"/>
      <c r="S119" s="106">
        <v>2</v>
      </c>
      <c r="T119" s="106">
        <v>1</v>
      </c>
      <c r="U119" s="106">
        <v>1</v>
      </c>
      <c r="V119" s="17"/>
      <c r="W119" s="17"/>
      <c r="X119" s="106">
        <v>2</v>
      </c>
      <c r="Y119" s="17"/>
      <c r="Z119" s="17"/>
      <c r="AA119" s="17"/>
      <c r="AB119" s="17"/>
      <c r="AC119" s="17">
        <v>3</v>
      </c>
      <c r="AD119" s="17">
        <v>3</v>
      </c>
      <c r="AE119" s="17"/>
      <c r="AF119" s="17"/>
      <c r="AG119" s="17"/>
      <c r="AH119" s="17"/>
      <c r="AI119" s="17"/>
      <c r="AJ119" s="17"/>
      <c r="AK119" s="17"/>
      <c r="AL119" s="17"/>
      <c r="AM119" s="17"/>
      <c r="AN119" s="17"/>
      <c r="AO119" s="17"/>
      <c r="AP119" s="17"/>
      <c r="AQ119" s="17"/>
      <c r="AR119" s="17"/>
      <c r="AS119" s="17"/>
      <c r="AT119" s="17"/>
      <c r="AU119" s="17"/>
      <c r="AV119" s="17"/>
      <c r="AW119" s="17">
        <v>1</v>
      </c>
      <c r="AX119" s="16"/>
      <c r="AZ119" t="s">
        <v>1834</v>
      </c>
    </row>
    <row r="120" spans="1:52" ht="18.75" customHeight="1">
      <c r="A120" s="4">
        <v>111</v>
      </c>
      <c r="B120" s="5" t="s">
        <v>88</v>
      </c>
      <c r="C120" s="6"/>
      <c r="D120" s="35" t="s">
        <v>1835</v>
      </c>
      <c r="E120" s="35" t="s">
        <v>1836</v>
      </c>
      <c r="F120" s="7"/>
      <c r="G120" s="9"/>
      <c r="H120" s="9"/>
      <c r="I120" s="9"/>
      <c r="J120" s="9"/>
      <c r="K120" s="20">
        <v>0</v>
      </c>
      <c r="L120" s="4"/>
      <c r="M120" s="9" t="s">
        <v>1485</v>
      </c>
      <c r="N120" s="9"/>
      <c r="O120" s="8">
        <f t="shared" si="1"/>
        <v>0</v>
      </c>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9"/>
    </row>
    <row r="121" spans="1:52" ht="18.75" customHeight="1">
      <c r="A121" s="4">
        <v>112</v>
      </c>
      <c r="B121" s="5" t="s">
        <v>88</v>
      </c>
      <c r="C121" s="6"/>
      <c r="D121" s="6" t="s">
        <v>1837</v>
      </c>
      <c r="E121" s="6" t="s">
        <v>1838</v>
      </c>
      <c r="F121" s="7"/>
      <c r="G121" s="9"/>
      <c r="H121" s="9"/>
      <c r="I121" s="9"/>
      <c r="J121" s="9"/>
      <c r="K121" s="20">
        <v>0</v>
      </c>
      <c r="L121" s="4"/>
      <c r="M121" s="9" t="s">
        <v>1485</v>
      </c>
      <c r="N121" s="9"/>
      <c r="O121" s="8">
        <f t="shared" si="1"/>
        <v>0</v>
      </c>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9"/>
    </row>
    <row r="122" spans="1:52" ht="30.75" customHeight="1">
      <c r="A122" s="4">
        <v>113</v>
      </c>
      <c r="B122" s="11" t="s">
        <v>88</v>
      </c>
      <c r="C122" s="12"/>
      <c r="D122" s="12" t="s">
        <v>1839</v>
      </c>
      <c r="E122" s="12" t="s">
        <v>1840</v>
      </c>
      <c r="F122" s="18" t="s">
        <v>1841</v>
      </c>
      <c r="G122" s="34" t="s">
        <v>552</v>
      </c>
      <c r="H122" s="12" t="s">
        <v>1839</v>
      </c>
      <c r="I122" s="12" t="s">
        <v>1842</v>
      </c>
      <c r="J122" s="14"/>
      <c r="K122" s="27">
        <v>0</v>
      </c>
      <c r="L122" s="10"/>
      <c r="M122" s="12" t="s">
        <v>1485</v>
      </c>
      <c r="N122" s="12" t="s">
        <v>1486</v>
      </c>
      <c r="O122" s="8">
        <f t="shared" si="1"/>
        <v>0</v>
      </c>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4"/>
    </row>
    <row r="123" spans="1:52" ht="30.75" customHeight="1">
      <c r="A123" s="4">
        <v>114</v>
      </c>
      <c r="B123" s="11" t="s">
        <v>88</v>
      </c>
      <c r="C123" s="12"/>
      <c r="D123" s="12" t="s">
        <v>1843</v>
      </c>
      <c r="E123" s="12" t="s">
        <v>1844</v>
      </c>
      <c r="F123" s="18" t="s">
        <v>1845</v>
      </c>
      <c r="G123" s="34" t="s">
        <v>552</v>
      </c>
      <c r="H123" s="12" t="s">
        <v>1843</v>
      </c>
      <c r="I123" s="12" t="s">
        <v>1846</v>
      </c>
      <c r="J123" s="14"/>
      <c r="K123" s="27">
        <v>0</v>
      </c>
      <c r="L123" s="10"/>
      <c r="M123" s="12" t="s">
        <v>1485</v>
      </c>
      <c r="N123" s="12" t="s">
        <v>1486</v>
      </c>
      <c r="O123" s="8">
        <f t="shared" si="1"/>
        <v>11</v>
      </c>
      <c r="P123" s="17"/>
      <c r="Q123" s="17"/>
      <c r="R123" s="17"/>
      <c r="S123" s="17"/>
      <c r="T123" s="17"/>
      <c r="U123" s="17"/>
      <c r="V123" s="17"/>
      <c r="W123" s="17"/>
      <c r="X123" s="17"/>
      <c r="Y123" s="17"/>
      <c r="Z123" s="17"/>
      <c r="AA123" s="17"/>
      <c r="AB123" s="17"/>
      <c r="AC123" s="17"/>
      <c r="AD123" s="17"/>
      <c r="AE123" s="17"/>
      <c r="AF123" s="17">
        <v>4</v>
      </c>
      <c r="AG123" s="17">
        <v>7</v>
      </c>
      <c r="AH123" s="17"/>
      <c r="AI123" s="17"/>
      <c r="AJ123" s="17"/>
      <c r="AK123" s="17"/>
      <c r="AL123" s="17"/>
      <c r="AM123" s="17"/>
      <c r="AN123" s="17"/>
      <c r="AO123" s="17"/>
      <c r="AP123" s="17"/>
      <c r="AQ123" s="17"/>
      <c r="AR123" s="17"/>
      <c r="AS123" s="17"/>
      <c r="AT123" s="17"/>
      <c r="AU123" s="17"/>
      <c r="AV123" s="17"/>
      <c r="AW123" s="17"/>
      <c r="AX123" s="14"/>
      <c r="AZ123" t="s">
        <v>1847</v>
      </c>
    </row>
    <row r="124" spans="1:52" ht="30.75" customHeight="1">
      <c r="A124" s="4">
        <v>115</v>
      </c>
      <c r="B124" s="11" t="s">
        <v>88</v>
      </c>
      <c r="C124" s="12"/>
      <c r="D124" s="12" t="s">
        <v>1848</v>
      </c>
      <c r="E124" s="12" t="s">
        <v>1849</v>
      </c>
      <c r="F124" s="18" t="s">
        <v>1850</v>
      </c>
      <c r="G124" s="34" t="s">
        <v>552</v>
      </c>
      <c r="H124" s="12" t="s">
        <v>1848</v>
      </c>
      <c r="I124" s="12" t="s">
        <v>1842</v>
      </c>
      <c r="J124" s="14"/>
      <c r="K124" s="27">
        <v>0</v>
      </c>
      <c r="L124" s="10"/>
      <c r="M124" s="12" t="s">
        <v>1485</v>
      </c>
      <c r="N124" s="12" t="s">
        <v>1486</v>
      </c>
      <c r="O124" s="8">
        <f t="shared" si="1"/>
        <v>0</v>
      </c>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4"/>
    </row>
    <row r="125" spans="1:52" ht="30.75" customHeight="1">
      <c r="A125" s="4">
        <v>116</v>
      </c>
      <c r="B125" s="11" t="s">
        <v>88</v>
      </c>
      <c r="C125" s="12"/>
      <c r="D125" s="12" t="s">
        <v>1851</v>
      </c>
      <c r="E125" s="12" t="s">
        <v>1852</v>
      </c>
      <c r="F125" s="18" t="s">
        <v>1853</v>
      </c>
      <c r="G125" s="34" t="s">
        <v>552</v>
      </c>
      <c r="H125" s="12" t="s">
        <v>1851</v>
      </c>
      <c r="I125" s="12" t="s">
        <v>1846</v>
      </c>
      <c r="J125" s="14"/>
      <c r="K125" s="27">
        <v>0</v>
      </c>
      <c r="L125" s="10"/>
      <c r="M125" s="12" t="s">
        <v>1485</v>
      </c>
      <c r="N125" s="12" t="s">
        <v>1486</v>
      </c>
      <c r="O125" s="8">
        <f t="shared" si="1"/>
        <v>7</v>
      </c>
      <c r="P125" s="17"/>
      <c r="Q125" s="17"/>
      <c r="R125" s="17"/>
      <c r="S125" s="17"/>
      <c r="T125" s="17"/>
      <c r="U125" s="17"/>
      <c r="V125" s="17"/>
      <c r="W125" s="17"/>
      <c r="X125" s="17"/>
      <c r="Y125" s="17"/>
      <c r="Z125" s="17"/>
      <c r="AA125" s="17"/>
      <c r="AB125" s="17"/>
      <c r="AC125" s="17"/>
      <c r="AD125" s="17"/>
      <c r="AE125" s="17"/>
      <c r="AF125" s="17">
        <v>3</v>
      </c>
      <c r="AG125" s="17">
        <v>4</v>
      </c>
      <c r="AH125" s="17"/>
      <c r="AI125" s="17"/>
      <c r="AJ125" s="17"/>
      <c r="AK125" s="17"/>
      <c r="AL125" s="17"/>
      <c r="AM125" s="17"/>
      <c r="AN125" s="17"/>
      <c r="AO125" s="17"/>
      <c r="AP125" s="17"/>
      <c r="AQ125" s="17"/>
      <c r="AR125" s="17"/>
      <c r="AS125" s="17"/>
      <c r="AT125" s="17"/>
      <c r="AU125" s="17"/>
      <c r="AV125" s="17"/>
      <c r="AW125" s="17"/>
      <c r="AX125" s="14"/>
    </row>
    <row r="126" spans="1:52" ht="18.75" customHeight="1">
      <c r="A126" s="4">
        <v>117</v>
      </c>
      <c r="B126" s="11" t="s">
        <v>88</v>
      </c>
      <c r="C126" s="12"/>
      <c r="D126" s="12" t="s">
        <v>1854</v>
      </c>
      <c r="E126" s="12" t="s">
        <v>1855</v>
      </c>
      <c r="F126" s="18" t="s">
        <v>1856</v>
      </c>
      <c r="G126" s="34" t="s">
        <v>552</v>
      </c>
      <c r="H126" s="12" t="s">
        <v>1854</v>
      </c>
      <c r="I126" s="12" t="s">
        <v>1846</v>
      </c>
      <c r="J126" s="14"/>
      <c r="K126" s="27">
        <v>0</v>
      </c>
      <c r="L126" s="10"/>
      <c r="M126" s="12" t="s">
        <v>1485</v>
      </c>
      <c r="N126" s="12" t="s">
        <v>1486</v>
      </c>
      <c r="O126" s="8">
        <f t="shared" si="1"/>
        <v>0</v>
      </c>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4"/>
    </row>
    <row r="127" spans="1:52" ht="18.75" customHeight="1">
      <c r="A127" s="4">
        <v>118</v>
      </c>
      <c r="B127" s="5" t="s">
        <v>88</v>
      </c>
      <c r="C127" s="6"/>
      <c r="D127" s="6"/>
      <c r="E127" s="6" t="s">
        <v>1857</v>
      </c>
      <c r="F127" s="7"/>
      <c r="G127" s="9"/>
      <c r="H127" s="9"/>
      <c r="I127" s="9"/>
      <c r="J127" s="9"/>
      <c r="K127" s="20">
        <v>0</v>
      </c>
      <c r="L127" s="4"/>
      <c r="M127" s="9" t="s">
        <v>1485</v>
      </c>
      <c r="N127" s="9"/>
      <c r="O127" s="8">
        <f t="shared" si="1"/>
        <v>0</v>
      </c>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9"/>
    </row>
    <row r="128" spans="1:52" ht="18.75" customHeight="1">
      <c r="A128" s="4">
        <v>119</v>
      </c>
      <c r="B128" s="5" t="s">
        <v>88</v>
      </c>
      <c r="C128" s="6"/>
      <c r="D128" s="35" t="s">
        <v>1858</v>
      </c>
      <c r="E128" s="35" t="s">
        <v>1859</v>
      </c>
      <c r="F128" s="7"/>
      <c r="G128" s="9"/>
      <c r="H128" s="9"/>
      <c r="I128" s="9"/>
      <c r="J128" s="9"/>
      <c r="K128" s="20">
        <v>0</v>
      </c>
      <c r="L128" s="4"/>
      <c r="M128" s="9" t="s">
        <v>1485</v>
      </c>
      <c r="N128" s="9"/>
      <c r="O128" s="8">
        <f t="shared" si="1"/>
        <v>0</v>
      </c>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9"/>
    </row>
    <row r="129" spans="1:52" ht="18.75" customHeight="1">
      <c r="A129" s="4">
        <v>120</v>
      </c>
      <c r="B129" s="11" t="s">
        <v>88</v>
      </c>
      <c r="C129" s="12"/>
      <c r="D129" s="12" t="s">
        <v>1860</v>
      </c>
      <c r="E129" s="12" t="s">
        <v>1861</v>
      </c>
      <c r="F129" s="18" t="s">
        <v>1862</v>
      </c>
      <c r="G129" s="34" t="s">
        <v>552</v>
      </c>
      <c r="H129" s="12" t="s">
        <v>1860</v>
      </c>
      <c r="I129" s="12" t="s">
        <v>1863</v>
      </c>
      <c r="J129" s="14"/>
      <c r="K129" s="27">
        <v>0</v>
      </c>
      <c r="L129" s="10"/>
      <c r="M129" s="12" t="s">
        <v>1485</v>
      </c>
      <c r="N129" s="12" t="s">
        <v>1486</v>
      </c>
      <c r="O129" s="8">
        <f t="shared" si="1"/>
        <v>4</v>
      </c>
      <c r="P129" s="17"/>
      <c r="Q129" s="17"/>
      <c r="R129" s="17"/>
      <c r="S129" s="17"/>
      <c r="T129" s="17"/>
      <c r="U129" s="17"/>
      <c r="V129" s="17"/>
      <c r="W129" s="17">
        <v>1</v>
      </c>
      <c r="X129" s="17"/>
      <c r="Y129" s="17"/>
      <c r="Z129" s="17"/>
      <c r="AA129" s="17"/>
      <c r="AB129" s="17"/>
      <c r="AC129" s="17"/>
      <c r="AD129" s="17"/>
      <c r="AE129" s="17"/>
      <c r="AF129" s="17"/>
      <c r="AG129" s="17">
        <v>1</v>
      </c>
      <c r="AH129" s="17"/>
      <c r="AI129" s="17"/>
      <c r="AJ129" s="17"/>
      <c r="AK129" s="17"/>
      <c r="AL129" s="17"/>
      <c r="AM129" s="17"/>
      <c r="AN129" s="17"/>
      <c r="AO129" s="17"/>
      <c r="AP129" s="17">
        <v>1</v>
      </c>
      <c r="AQ129" s="17"/>
      <c r="AR129" s="17"/>
      <c r="AS129" s="17"/>
      <c r="AT129" s="17"/>
      <c r="AU129" s="17">
        <v>1</v>
      </c>
      <c r="AV129" s="17"/>
      <c r="AW129" s="17"/>
      <c r="AX129" s="14"/>
      <c r="AZ129" t="s">
        <v>1864</v>
      </c>
    </row>
    <row r="130" spans="1:52" ht="18.75" customHeight="1">
      <c r="A130" s="4">
        <v>121</v>
      </c>
      <c r="B130" s="11" t="s">
        <v>88</v>
      </c>
      <c r="C130" s="12"/>
      <c r="D130" s="12" t="s">
        <v>1865</v>
      </c>
      <c r="E130" s="12" t="s">
        <v>1866</v>
      </c>
      <c r="F130" s="18" t="s">
        <v>1867</v>
      </c>
      <c r="G130" s="34" t="s">
        <v>552</v>
      </c>
      <c r="H130" s="12" t="s">
        <v>1865</v>
      </c>
      <c r="I130" s="12" t="s">
        <v>1868</v>
      </c>
      <c r="J130" s="14"/>
      <c r="K130" s="27">
        <v>0</v>
      </c>
      <c r="L130" s="10"/>
      <c r="M130" s="12" t="s">
        <v>1485</v>
      </c>
      <c r="N130" s="12" t="s">
        <v>1486</v>
      </c>
      <c r="O130" s="8">
        <f t="shared" si="1"/>
        <v>0</v>
      </c>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4"/>
    </row>
    <row r="131" spans="1:52" ht="18.75" customHeight="1">
      <c r="A131" s="4">
        <v>122</v>
      </c>
      <c r="B131" s="11" t="s">
        <v>88</v>
      </c>
      <c r="C131" s="12"/>
      <c r="D131" s="12" t="s">
        <v>1869</v>
      </c>
      <c r="E131" s="12" t="s">
        <v>1870</v>
      </c>
      <c r="F131" s="18" t="s">
        <v>1871</v>
      </c>
      <c r="G131" s="34" t="s">
        <v>552</v>
      </c>
      <c r="H131" s="12" t="s">
        <v>1869</v>
      </c>
      <c r="I131" s="12" t="s">
        <v>1872</v>
      </c>
      <c r="J131" s="14"/>
      <c r="K131" s="27">
        <v>0</v>
      </c>
      <c r="L131" s="10"/>
      <c r="M131" s="12" t="s">
        <v>1485</v>
      </c>
      <c r="N131" s="12" t="s">
        <v>1486</v>
      </c>
      <c r="O131" s="8">
        <f t="shared" si="1"/>
        <v>0</v>
      </c>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4"/>
    </row>
    <row r="132" spans="1:52" ht="18.75" customHeight="1">
      <c r="A132" s="4">
        <v>123</v>
      </c>
      <c r="B132" s="11" t="s">
        <v>88</v>
      </c>
      <c r="C132" s="12"/>
      <c r="D132" s="12" t="s">
        <v>1873</v>
      </c>
      <c r="E132" s="12" t="s">
        <v>1874</v>
      </c>
      <c r="F132" s="18" t="s">
        <v>1875</v>
      </c>
      <c r="G132" s="34" t="s">
        <v>552</v>
      </c>
      <c r="H132" s="12" t="s">
        <v>1873</v>
      </c>
      <c r="I132" s="12" t="s">
        <v>1876</v>
      </c>
      <c r="J132" s="14"/>
      <c r="K132" s="27">
        <v>0</v>
      </c>
      <c r="L132" s="10"/>
      <c r="M132" s="12" t="s">
        <v>1485</v>
      </c>
      <c r="N132" s="12" t="s">
        <v>1486</v>
      </c>
      <c r="O132" s="8">
        <f t="shared" si="1"/>
        <v>10</v>
      </c>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v>5</v>
      </c>
      <c r="AQ132" s="17"/>
      <c r="AR132" s="17"/>
      <c r="AS132" s="17"/>
      <c r="AT132" s="17"/>
      <c r="AU132" s="17">
        <v>5</v>
      </c>
      <c r="AV132" s="17"/>
      <c r="AW132" s="17"/>
      <c r="AX132" s="14"/>
      <c r="AZ132" t="s">
        <v>1877</v>
      </c>
    </row>
    <row r="133" spans="1:52" ht="18.75" customHeight="1">
      <c r="A133" s="4">
        <v>124</v>
      </c>
      <c r="B133" s="11" t="s">
        <v>88</v>
      </c>
      <c r="C133" s="12"/>
      <c r="D133" s="12" t="s">
        <v>1878</v>
      </c>
      <c r="E133" s="12" t="s">
        <v>1879</v>
      </c>
      <c r="F133" s="18" t="s">
        <v>1880</v>
      </c>
      <c r="G133" s="34" t="s">
        <v>552</v>
      </c>
      <c r="H133" s="12" t="s">
        <v>1878</v>
      </c>
      <c r="I133" s="12" t="s">
        <v>1881</v>
      </c>
      <c r="J133" s="14"/>
      <c r="K133" s="27">
        <v>0</v>
      </c>
      <c r="L133" s="10"/>
      <c r="M133" s="12" t="s">
        <v>1485</v>
      </c>
      <c r="N133" s="12" t="s">
        <v>1486</v>
      </c>
      <c r="O133" s="8">
        <f t="shared" si="1"/>
        <v>19</v>
      </c>
      <c r="P133" s="17"/>
      <c r="Q133" s="17"/>
      <c r="R133" s="17"/>
      <c r="S133" s="17"/>
      <c r="T133" s="17"/>
      <c r="U133" s="17"/>
      <c r="V133" s="17"/>
      <c r="W133" s="17">
        <v>17</v>
      </c>
      <c r="X133" s="17"/>
      <c r="Y133" s="17"/>
      <c r="Z133" s="17"/>
      <c r="AA133" s="17"/>
      <c r="AB133" s="17"/>
      <c r="AC133" s="17"/>
      <c r="AD133" s="17"/>
      <c r="AE133" s="17"/>
      <c r="AF133" s="17"/>
      <c r="AG133" s="17">
        <v>2</v>
      </c>
      <c r="AH133" s="17"/>
      <c r="AI133" s="17"/>
      <c r="AJ133" s="17"/>
      <c r="AK133" s="17"/>
      <c r="AL133" s="17"/>
      <c r="AM133" s="17"/>
      <c r="AN133" s="17"/>
      <c r="AO133" s="17"/>
      <c r="AP133" s="17"/>
      <c r="AQ133" s="17"/>
      <c r="AR133" s="17"/>
      <c r="AS133" s="17"/>
      <c r="AT133" s="17"/>
      <c r="AU133" s="17"/>
      <c r="AV133" s="17"/>
      <c r="AW133" s="17"/>
      <c r="AX133" s="14"/>
    </row>
    <row r="134" spans="1:52" ht="18.75" customHeight="1">
      <c r="A134" s="4">
        <v>125</v>
      </c>
      <c r="B134" s="11" t="s">
        <v>88</v>
      </c>
      <c r="C134" s="12"/>
      <c r="D134" s="12" t="s">
        <v>1882</v>
      </c>
      <c r="E134" s="12" t="s">
        <v>1883</v>
      </c>
      <c r="F134" s="18" t="s">
        <v>1884</v>
      </c>
      <c r="G134" s="34" t="s">
        <v>552</v>
      </c>
      <c r="H134" s="12" t="s">
        <v>1882</v>
      </c>
      <c r="I134" s="12" t="s">
        <v>1885</v>
      </c>
      <c r="J134" s="14"/>
      <c r="K134" s="27">
        <v>0</v>
      </c>
      <c r="L134" s="10"/>
      <c r="M134" s="12" t="s">
        <v>1485</v>
      </c>
      <c r="N134" s="12" t="s">
        <v>1486</v>
      </c>
      <c r="O134" s="8">
        <f t="shared" si="1"/>
        <v>0</v>
      </c>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4"/>
    </row>
    <row r="135" spans="1:52" ht="18.75" customHeight="1">
      <c r="A135" s="4">
        <v>126</v>
      </c>
      <c r="B135" s="11" t="s">
        <v>88</v>
      </c>
      <c r="C135" s="12"/>
      <c r="D135" s="12" t="s">
        <v>1886</v>
      </c>
      <c r="E135" s="12" t="s">
        <v>1887</v>
      </c>
      <c r="F135" s="18" t="s">
        <v>1888</v>
      </c>
      <c r="G135" s="34" t="s">
        <v>552</v>
      </c>
      <c r="H135" s="12" t="s">
        <v>1886</v>
      </c>
      <c r="I135" s="12" t="s">
        <v>1889</v>
      </c>
      <c r="J135" s="14"/>
      <c r="K135" s="27">
        <v>0</v>
      </c>
      <c r="L135" s="10"/>
      <c r="M135" s="12" t="s">
        <v>1485</v>
      </c>
      <c r="N135" s="12" t="s">
        <v>1486</v>
      </c>
      <c r="O135" s="8">
        <f t="shared" si="1"/>
        <v>0</v>
      </c>
      <c r="P135" s="17"/>
      <c r="Q135" s="17"/>
      <c r="R135" s="110"/>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4"/>
    </row>
    <row r="136" spans="1:52" ht="18.75" customHeight="1">
      <c r="A136" s="4">
        <v>127</v>
      </c>
      <c r="B136" s="11" t="s">
        <v>88</v>
      </c>
      <c r="C136" s="12"/>
      <c r="D136" s="12" t="s">
        <v>1890</v>
      </c>
      <c r="E136" s="12" t="s">
        <v>1887</v>
      </c>
      <c r="F136" s="18" t="s">
        <v>1891</v>
      </c>
      <c r="G136" s="34" t="s">
        <v>552</v>
      </c>
      <c r="H136" s="12" t="s">
        <v>1890</v>
      </c>
      <c r="I136" s="12" t="s">
        <v>1892</v>
      </c>
      <c r="J136" s="14"/>
      <c r="K136" s="27">
        <v>0</v>
      </c>
      <c r="L136" s="10"/>
      <c r="M136" s="12" t="s">
        <v>1485</v>
      </c>
      <c r="N136" s="12" t="s">
        <v>1486</v>
      </c>
      <c r="O136" s="8">
        <f t="shared" si="1"/>
        <v>129</v>
      </c>
      <c r="P136" s="17"/>
      <c r="Q136" s="17"/>
      <c r="R136" s="110">
        <v>83</v>
      </c>
      <c r="S136" s="17"/>
      <c r="T136" s="17"/>
      <c r="U136" s="17"/>
      <c r="V136" s="17">
        <v>11</v>
      </c>
      <c r="W136" s="17">
        <v>10</v>
      </c>
      <c r="X136" s="17"/>
      <c r="Y136" s="17"/>
      <c r="Z136" s="17">
        <v>9</v>
      </c>
      <c r="AA136" s="17"/>
      <c r="AB136" s="17"/>
      <c r="AC136" s="17">
        <v>0</v>
      </c>
      <c r="AD136" s="17">
        <v>0</v>
      </c>
      <c r="AE136" s="17"/>
      <c r="AF136" s="17">
        <v>9</v>
      </c>
      <c r="AG136" s="17">
        <v>7</v>
      </c>
      <c r="AH136" s="17"/>
      <c r="AI136" s="17"/>
      <c r="AJ136" s="17"/>
      <c r="AK136" s="17"/>
      <c r="AL136" s="17"/>
      <c r="AM136" s="17"/>
      <c r="AN136" s="17"/>
      <c r="AO136" s="17"/>
      <c r="AP136" s="17"/>
      <c r="AQ136" s="17"/>
      <c r="AR136" s="17"/>
      <c r="AS136" s="17"/>
      <c r="AT136" s="17"/>
      <c r="AU136" s="17"/>
      <c r="AV136" s="17"/>
      <c r="AW136" s="17"/>
      <c r="AX136" s="14"/>
    </row>
    <row r="137" spans="1:52" ht="18.75" customHeight="1">
      <c r="A137" s="4">
        <v>128</v>
      </c>
      <c r="B137" s="11" t="s">
        <v>88</v>
      </c>
      <c r="C137" s="12"/>
      <c r="D137" s="12" t="s">
        <v>1893</v>
      </c>
      <c r="E137" s="12" t="s">
        <v>1887</v>
      </c>
      <c r="F137" s="18" t="s">
        <v>1894</v>
      </c>
      <c r="G137" s="34" t="s">
        <v>552</v>
      </c>
      <c r="H137" s="12" t="s">
        <v>1893</v>
      </c>
      <c r="I137" s="12" t="s">
        <v>1895</v>
      </c>
      <c r="J137" s="14"/>
      <c r="K137" s="27">
        <v>0</v>
      </c>
      <c r="L137" s="10"/>
      <c r="M137" s="12" t="s">
        <v>1485</v>
      </c>
      <c r="N137" s="12" t="s">
        <v>1486</v>
      </c>
      <c r="O137" s="8">
        <f t="shared" si="1"/>
        <v>170</v>
      </c>
      <c r="P137" s="17"/>
      <c r="Q137" s="17"/>
      <c r="R137" s="110">
        <v>115</v>
      </c>
      <c r="S137" s="17"/>
      <c r="T137" s="17"/>
      <c r="U137" s="17"/>
      <c r="V137" s="17">
        <v>1</v>
      </c>
      <c r="W137" s="17">
        <v>1</v>
      </c>
      <c r="X137" s="17"/>
      <c r="Y137" s="17"/>
      <c r="Z137" s="17">
        <v>1</v>
      </c>
      <c r="AA137" s="17"/>
      <c r="AB137" s="17"/>
      <c r="AC137" s="17">
        <v>32</v>
      </c>
      <c r="AD137" s="17">
        <v>18</v>
      </c>
      <c r="AE137" s="17"/>
      <c r="AF137" s="17">
        <v>1</v>
      </c>
      <c r="AG137" s="17">
        <v>1</v>
      </c>
      <c r="AH137" s="17"/>
      <c r="AI137" s="17"/>
      <c r="AJ137" s="17"/>
      <c r="AK137" s="17"/>
      <c r="AL137" s="17"/>
      <c r="AM137" s="17"/>
      <c r="AN137" s="17"/>
      <c r="AO137" s="17"/>
      <c r="AP137" s="17"/>
      <c r="AQ137" s="17"/>
      <c r="AR137" s="17"/>
      <c r="AS137" s="17"/>
      <c r="AT137" s="17"/>
      <c r="AU137" s="17"/>
      <c r="AV137" s="17"/>
      <c r="AW137" s="17"/>
      <c r="AX137" s="14"/>
    </row>
    <row r="138" spans="1:52" ht="18.75" customHeight="1">
      <c r="A138" s="4">
        <v>129</v>
      </c>
      <c r="B138" s="11" t="s">
        <v>88</v>
      </c>
      <c r="C138" s="12"/>
      <c r="D138" s="12" t="s">
        <v>1896</v>
      </c>
      <c r="E138" s="12" t="s">
        <v>1897</v>
      </c>
      <c r="F138" s="18" t="s">
        <v>1888</v>
      </c>
      <c r="G138" s="34" t="s">
        <v>552</v>
      </c>
      <c r="H138" s="12" t="s">
        <v>1896</v>
      </c>
      <c r="I138" s="12" t="s">
        <v>1898</v>
      </c>
      <c r="J138" s="14"/>
      <c r="K138" s="27">
        <v>0</v>
      </c>
      <c r="L138" s="10"/>
      <c r="M138" s="12" t="s">
        <v>1485</v>
      </c>
      <c r="N138" s="12" t="s">
        <v>1486</v>
      </c>
      <c r="O138" s="8">
        <f t="shared" ref="O138:O201" si="2">SUM(P138:AW138)</f>
        <v>0</v>
      </c>
      <c r="P138" s="17"/>
      <c r="Q138" s="17"/>
      <c r="R138" s="110"/>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4"/>
    </row>
    <row r="139" spans="1:52" ht="18.75" customHeight="1">
      <c r="A139" s="4">
        <v>130</v>
      </c>
      <c r="B139" s="11" t="s">
        <v>88</v>
      </c>
      <c r="C139" s="12"/>
      <c r="D139" s="12" t="s">
        <v>1899</v>
      </c>
      <c r="E139" s="12" t="s">
        <v>1897</v>
      </c>
      <c r="F139" s="18" t="s">
        <v>1900</v>
      </c>
      <c r="G139" s="34" t="s">
        <v>552</v>
      </c>
      <c r="H139" s="12" t="s">
        <v>1899</v>
      </c>
      <c r="I139" s="12" t="s">
        <v>1901</v>
      </c>
      <c r="J139" s="14"/>
      <c r="K139" s="27">
        <v>0</v>
      </c>
      <c r="L139" s="10"/>
      <c r="M139" s="12" t="s">
        <v>1485</v>
      </c>
      <c r="N139" s="12" t="s">
        <v>1486</v>
      </c>
      <c r="O139" s="8">
        <f t="shared" si="2"/>
        <v>0</v>
      </c>
      <c r="P139" s="17"/>
      <c r="Q139" s="17"/>
      <c r="R139" s="110"/>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4"/>
    </row>
    <row r="140" spans="1:52" ht="18.75" customHeight="1">
      <c r="A140" s="4">
        <v>131</v>
      </c>
      <c r="B140" s="11" t="s">
        <v>88</v>
      </c>
      <c r="C140" s="12"/>
      <c r="D140" s="12" t="s">
        <v>1902</v>
      </c>
      <c r="E140" s="12" t="s">
        <v>1897</v>
      </c>
      <c r="F140" s="18" t="s">
        <v>1903</v>
      </c>
      <c r="G140" s="34" t="s">
        <v>552</v>
      </c>
      <c r="H140" s="12" t="s">
        <v>1902</v>
      </c>
      <c r="I140" s="12" t="s">
        <v>1904</v>
      </c>
      <c r="J140" s="14"/>
      <c r="K140" s="27">
        <v>0</v>
      </c>
      <c r="L140" s="10"/>
      <c r="M140" s="12" t="s">
        <v>1485</v>
      </c>
      <c r="N140" s="12" t="s">
        <v>1486</v>
      </c>
      <c r="O140" s="8">
        <f t="shared" si="2"/>
        <v>0</v>
      </c>
      <c r="P140" s="17"/>
      <c r="Q140" s="17"/>
      <c r="R140" s="110"/>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4"/>
    </row>
    <row r="141" spans="1:52" ht="18.75" customHeight="1">
      <c r="A141" s="4">
        <v>133</v>
      </c>
      <c r="B141" s="11" t="s">
        <v>88</v>
      </c>
      <c r="C141" s="12"/>
      <c r="D141" s="12" t="s">
        <v>1905</v>
      </c>
      <c r="E141" s="12" t="s">
        <v>1906</v>
      </c>
      <c r="F141" s="18" t="s">
        <v>1907</v>
      </c>
      <c r="G141" s="34" t="s">
        <v>552</v>
      </c>
      <c r="H141" s="12" t="s">
        <v>1905</v>
      </c>
      <c r="I141" s="12" t="s">
        <v>1908</v>
      </c>
      <c r="J141" s="14"/>
      <c r="K141" s="27">
        <v>0</v>
      </c>
      <c r="L141" s="10"/>
      <c r="M141" s="12" t="s">
        <v>1485</v>
      </c>
      <c r="N141" s="12" t="s">
        <v>1486</v>
      </c>
      <c r="O141" s="8">
        <f t="shared" si="2"/>
        <v>27</v>
      </c>
      <c r="P141" s="17"/>
      <c r="Q141" s="17"/>
      <c r="R141" s="110">
        <v>20</v>
      </c>
      <c r="S141" s="17"/>
      <c r="T141" s="17"/>
      <c r="U141" s="17"/>
      <c r="V141" s="17"/>
      <c r="W141" s="17"/>
      <c r="X141" s="17"/>
      <c r="Y141" s="17"/>
      <c r="Z141" s="17"/>
      <c r="AA141" s="17"/>
      <c r="AB141" s="17"/>
      <c r="AC141" s="17">
        <v>4</v>
      </c>
      <c r="AD141" s="17">
        <v>3</v>
      </c>
      <c r="AE141" s="17"/>
      <c r="AF141" s="17"/>
      <c r="AG141" s="17"/>
      <c r="AH141" s="17"/>
      <c r="AI141" s="17"/>
      <c r="AJ141" s="17"/>
      <c r="AK141" s="17"/>
      <c r="AL141" s="17"/>
      <c r="AM141" s="17"/>
      <c r="AN141" s="17"/>
      <c r="AO141" s="17"/>
      <c r="AP141" s="17"/>
      <c r="AQ141" s="17"/>
      <c r="AR141" s="17"/>
      <c r="AS141" s="17"/>
      <c r="AT141" s="17"/>
      <c r="AU141" s="17"/>
      <c r="AV141" s="17"/>
      <c r="AW141" s="17"/>
      <c r="AX141" s="14"/>
      <c r="AZ141" t="s">
        <v>1909</v>
      </c>
    </row>
    <row r="142" spans="1:52" ht="18.75" customHeight="1">
      <c r="A142" s="4"/>
      <c r="B142" s="11"/>
      <c r="C142" s="12"/>
      <c r="D142" s="12" t="s">
        <v>1905</v>
      </c>
      <c r="E142" s="12" t="s">
        <v>1906</v>
      </c>
      <c r="F142" s="18" t="s">
        <v>1910</v>
      </c>
      <c r="G142" s="34"/>
      <c r="H142" s="12"/>
      <c r="I142" s="12"/>
      <c r="J142" s="14"/>
      <c r="K142" s="27"/>
      <c r="L142" s="10"/>
      <c r="M142" s="12"/>
      <c r="N142" s="12" t="s">
        <v>1486</v>
      </c>
      <c r="O142" s="8">
        <f t="shared" si="2"/>
        <v>14</v>
      </c>
      <c r="P142" s="17"/>
      <c r="Q142" s="17"/>
      <c r="R142" s="110">
        <v>14</v>
      </c>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4"/>
    </row>
    <row r="143" spans="1:52" ht="18.75" customHeight="1">
      <c r="A143" s="4">
        <v>134</v>
      </c>
      <c r="B143" s="11" t="s">
        <v>88</v>
      </c>
      <c r="C143" s="12"/>
      <c r="D143" s="12" t="s">
        <v>1911</v>
      </c>
      <c r="E143" s="12" t="s">
        <v>1912</v>
      </c>
      <c r="F143" s="18" t="s">
        <v>1888</v>
      </c>
      <c r="G143" s="34" t="s">
        <v>552</v>
      </c>
      <c r="H143" s="12" t="s">
        <v>1911</v>
      </c>
      <c r="I143" s="12" t="s">
        <v>1913</v>
      </c>
      <c r="J143" s="14"/>
      <c r="K143" s="27">
        <v>0</v>
      </c>
      <c r="L143" s="10"/>
      <c r="M143" s="12" t="s">
        <v>1485</v>
      </c>
      <c r="N143" s="12" t="s">
        <v>1486</v>
      </c>
      <c r="O143" s="8">
        <f t="shared" si="2"/>
        <v>0</v>
      </c>
      <c r="P143" s="17"/>
      <c r="Q143" s="17"/>
      <c r="R143" s="110"/>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4"/>
    </row>
    <row r="144" spans="1:52" ht="18.75" customHeight="1">
      <c r="A144" s="4">
        <v>132</v>
      </c>
      <c r="B144" s="11" t="s">
        <v>88</v>
      </c>
      <c r="C144" s="12"/>
      <c r="D144" s="12" t="s">
        <v>1914</v>
      </c>
      <c r="E144" s="12" t="s">
        <v>1915</v>
      </c>
      <c r="F144" s="18" t="s">
        <v>1916</v>
      </c>
      <c r="G144" s="34" t="s">
        <v>552</v>
      </c>
      <c r="H144" s="12" t="s">
        <v>1914</v>
      </c>
      <c r="I144" s="12" t="s">
        <v>1917</v>
      </c>
      <c r="J144" s="14"/>
      <c r="K144" s="27">
        <v>0</v>
      </c>
      <c r="L144" s="10"/>
      <c r="M144" s="12" t="s">
        <v>1485</v>
      </c>
      <c r="N144" s="12" t="s">
        <v>1486</v>
      </c>
      <c r="O144" s="8">
        <f t="shared" si="2"/>
        <v>8</v>
      </c>
      <c r="P144" s="17"/>
      <c r="Q144" s="17"/>
      <c r="R144" s="110"/>
      <c r="S144" s="17"/>
      <c r="T144" s="17"/>
      <c r="U144" s="17"/>
      <c r="V144" s="17">
        <v>2</v>
      </c>
      <c r="W144" s="17">
        <v>2</v>
      </c>
      <c r="X144" s="17"/>
      <c r="Y144" s="17"/>
      <c r="Z144" s="17">
        <v>2</v>
      </c>
      <c r="AA144" s="17"/>
      <c r="AB144" s="17"/>
      <c r="AC144" s="17"/>
      <c r="AD144" s="17"/>
      <c r="AE144" s="17"/>
      <c r="AF144" s="17">
        <v>1</v>
      </c>
      <c r="AG144" s="17">
        <v>1</v>
      </c>
      <c r="AH144" s="17"/>
      <c r="AI144" s="17"/>
      <c r="AJ144" s="17"/>
      <c r="AK144" s="17"/>
      <c r="AL144" s="17"/>
      <c r="AM144" s="17"/>
      <c r="AN144" s="17"/>
      <c r="AO144" s="17"/>
      <c r="AP144" s="17"/>
      <c r="AQ144" s="17"/>
      <c r="AR144" s="17"/>
      <c r="AS144" s="17"/>
      <c r="AT144" s="17"/>
      <c r="AU144" s="17"/>
      <c r="AV144" s="17"/>
      <c r="AW144" s="17"/>
      <c r="AX144" s="14"/>
    </row>
    <row r="145" spans="1:52" ht="18.75" customHeight="1">
      <c r="A145" s="4">
        <v>135</v>
      </c>
      <c r="B145" s="11" t="s">
        <v>88</v>
      </c>
      <c r="C145" s="12"/>
      <c r="D145" s="12" t="s">
        <v>1918</v>
      </c>
      <c r="E145" s="12" t="s">
        <v>1912</v>
      </c>
      <c r="F145" s="18" t="s">
        <v>1891</v>
      </c>
      <c r="G145" s="34" t="s">
        <v>552</v>
      </c>
      <c r="H145" s="12" t="s">
        <v>1918</v>
      </c>
      <c r="I145" s="12" t="s">
        <v>1919</v>
      </c>
      <c r="J145" s="14"/>
      <c r="K145" s="27">
        <v>0</v>
      </c>
      <c r="L145" s="10"/>
      <c r="M145" s="12" t="s">
        <v>1485</v>
      </c>
      <c r="N145" s="12" t="s">
        <v>1486</v>
      </c>
      <c r="O145" s="8">
        <f t="shared" si="2"/>
        <v>0</v>
      </c>
      <c r="P145" s="17"/>
      <c r="Q145" s="17"/>
      <c r="R145" s="110"/>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4"/>
    </row>
    <row r="146" spans="1:52" ht="18.75" customHeight="1">
      <c r="A146" s="4">
        <v>136</v>
      </c>
      <c r="B146" s="11" t="s">
        <v>88</v>
      </c>
      <c r="C146" s="12"/>
      <c r="D146" s="12" t="s">
        <v>1920</v>
      </c>
      <c r="E146" s="12" t="s">
        <v>1921</v>
      </c>
      <c r="F146" s="18" t="s">
        <v>1894</v>
      </c>
      <c r="G146" s="34" t="s">
        <v>552</v>
      </c>
      <c r="H146" s="12" t="s">
        <v>1920</v>
      </c>
      <c r="I146" s="12" t="s">
        <v>1922</v>
      </c>
      <c r="J146" s="14"/>
      <c r="K146" s="27">
        <v>0</v>
      </c>
      <c r="L146" s="10"/>
      <c r="M146" s="12" t="s">
        <v>1485</v>
      </c>
      <c r="N146" s="12" t="s">
        <v>1486</v>
      </c>
      <c r="O146" s="8">
        <f t="shared" si="2"/>
        <v>70</v>
      </c>
      <c r="P146" s="17"/>
      <c r="Q146" s="17"/>
      <c r="R146" s="110">
        <v>50</v>
      </c>
      <c r="S146" s="17"/>
      <c r="T146" s="17"/>
      <c r="U146" s="17"/>
      <c r="V146" s="17"/>
      <c r="W146" s="17"/>
      <c r="X146" s="17"/>
      <c r="Y146" s="17"/>
      <c r="Z146" s="17"/>
      <c r="AA146" s="17"/>
      <c r="AB146" s="17"/>
      <c r="AC146" s="17">
        <v>10</v>
      </c>
      <c r="AD146" s="17">
        <v>10</v>
      </c>
      <c r="AE146" s="17"/>
      <c r="AF146" s="17"/>
      <c r="AG146" s="17"/>
      <c r="AH146" s="17"/>
      <c r="AI146" s="17"/>
      <c r="AJ146" s="17"/>
      <c r="AK146" s="17"/>
      <c r="AL146" s="17"/>
      <c r="AM146" s="17"/>
      <c r="AN146" s="17"/>
      <c r="AO146" s="17"/>
      <c r="AP146" s="17"/>
      <c r="AQ146" s="17"/>
      <c r="AR146" s="17"/>
      <c r="AS146" s="17"/>
      <c r="AT146" s="17"/>
      <c r="AU146" s="17"/>
      <c r="AV146" s="17"/>
      <c r="AW146" s="17"/>
      <c r="AX146" s="14"/>
    </row>
    <row r="147" spans="1:52" ht="18.75" customHeight="1">
      <c r="A147" s="4">
        <v>137</v>
      </c>
      <c r="B147" s="11" t="s">
        <v>88</v>
      </c>
      <c r="C147" s="12"/>
      <c r="D147" s="12" t="s">
        <v>1923</v>
      </c>
      <c r="E147" s="12" t="s">
        <v>1924</v>
      </c>
      <c r="F147" s="18" t="s">
        <v>1925</v>
      </c>
      <c r="G147" s="34" t="s">
        <v>552</v>
      </c>
      <c r="H147" s="12" t="s">
        <v>1923</v>
      </c>
      <c r="I147" s="12" t="s">
        <v>1926</v>
      </c>
      <c r="J147" s="12" t="s">
        <v>757</v>
      </c>
      <c r="K147" s="27">
        <v>0</v>
      </c>
      <c r="L147" s="30" t="s">
        <v>552</v>
      </c>
      <c r="M147" s="12" t="s">
        <v>1485</v>
      </c>
      <c r="N147" s="12" t="s">
        <v>1486</v>
      </c>
      <c r="O147" s="8">
        <f t="shared" si="2"/>
        <v>0</v>
      </c>
      <c r="P147" s="17"/>
      <c r="Q147" s="17"/>
      <c r="R147" s="110"/>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4"/>
    </row>
    <row r="148" spans="1:52" ht="49.5" customHeight="1">
      <c r="A148" s="4">
        <v>138</v>
      </c>
      <c r="B148" s="11" t="s">
        <v>88</v>
      </c>
      <c r="C148" s="12"/>
      <c r="D148" s="12" t="s">
        <v>1927</v>
      </c>
      <c r="E148" s="12" t="s">
        <v>1924</v>
      </c>
      <c r="F148" s="109" t="s">
        <v>1928</v>
      </c>
      <c r="G148" s="34" t="s">
        <v>552</v>
      </c>
      <c r="H148" s="12" t="s">
        <v>1927</v>
      </c>
      <c r="I148" s="12" t="s">
        <v>1926</v>
      </c>
      <c r="J148" s="14"/>
      <c r="K148" s="27">
        <v>0</v>
      </c>
      <c r="L148" s="10"/>
      <c r="M148" s="12" t="s">
        <v>1485</v>
      </c>
      <c r="N148" s="12" t="s">
        <v>1486</v>
      </c>
      <c r="O148" s="8">
        <f t="shared" si="2"/>
        <v>33</v>
      </c>
      <c r="P148" s="17"/>
      <c r="Q148" s="17"/>
      <c r="R148" s="110">
        <v>23</v>
      </c>
      <c r="S148" s="17"/>
      <c r="T148" s="17"/>
      <c r="U148" s="17"/>
      <c r="V148" s="17"/>
      <c r="W148" s="17"/>
      <c r="X148" s="17"/>
      <c r="Y148" s="17"/>
      <c r="Z148" s="17"/>
      <c r="AA148" s="17"/>
      <c r="AB148" s="17"/>
      <c r="AC148" s="17">
        <v>5</v>
      </c>
      <c r="AD148" s="17">
        <v>5</v>
      </c>
      <c r="AE148" s="17"/>
      <c r="AF148" s="17"/>
      <c r="AG148" s="17"/>
      <c r="AH148" s="17"/>
      <c r="AI148" s="17"/>
      <c r="AJ148" s="17"/>
      <c r="AK148" s="17"/>
      <c r="AL148" s="17"/>
      <c r="AM148" s="17"/>
      <c r="AN148" s="17"/>
      <c r="AO148" s="17"/>
      <c r="AP148" s="17"/>
      <c r="AQ148" s="17"/>
      <c r="AR148" s="17"/>
      <c r="AS148" s="17"/>
      <c r="AT148" s="17"/>
      <c r="AU148" s="17"/>
      <c r="AV148" s="17"/>
      <c r="AW148" s="17"/>
      <c r="AX148" s="14"/>
    </row>
    <row r="149" spans="1:52" ht="18.75" customHeight="1">
      <c r="A149" s="4">
        <v>139</v>
      </c>
      <c r="B149" s="11" t="s">
        <v>88</v>
      </c>
      <c r="C149" s="12"/>
      <c r="D149" s="12" t="s">
        <v>1929</v>
      </c>
      <c r="E149" s="12" t="s">
        <v>1924</v>
      </c>
      <c r="F149" s="18" t="s">
        <v>1930</v>
      </c>
      <c r="G149" s="34" t="s">
        <v>552</v>
      </c>
      <c r="H149" s="12" t="s">
        <v>1929</v>
      </c>
      <c r="I149" s="12" t="s">
        <v>1926</v>
      </c>
      <c r="J149" s="14"/>
      <c r="K149" s="27">
        <v>0</v>
      </c>
      <c r="L149" s="10"/>
      <c r="M149" s="12" t="s">
        <v>1485</v>
      </c>
      <c r="N149" s="12" t="s">
        <v>1486</v>
      </c>
      <c r="O149" s="8">
        <f t="shared" si="2"/>
        <v>0</v>
      </c>
      <c r="P149" s="17"/>
      <c r="Q149" s="17"/>
      <c r="R149" s="110"/>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4"/>
    </row>
    <row r="150" spans="1:52" ht="18.75" customHeight="1">
      <c r="A150" s="4">
        <v>140</v>
      </c>
      <c r="B150" s="11" t="s">
        <v>88</v>
      </c>
      <c r="C150" s="12"/>
      <c r="D150" s="12" t="s">
        <v>1931</v>
      </c>
      <c r="E150" s="12" t="s">
        <v>1932</v>
      </c>
      <c r="F150" s="18" t="s">
        <v>1933</v>
      </c>
      <c r="G150" s="34"/>
      <c r="H150" s="12" t="s">
        <v>1931</v>
      </c>
      <c r="I150" s="12" t="s">
        <v>1934</v>
      </c>
      <c r="J150" s="14"/>
      <c r="K150" s="27">
        <v>0</v>
      </c>
      <c r="L150" s="10"/>
      <c r="M150" s="12" t="s">
        <v>1485</v>
      </c>
      <c r="N150" s="12" t="s">
        <v>1486</v>
      </c>
      <c r="O150" s="8">
        <f t="shared" si="2"/>
        <v>2</v>
      </c>
      <c r="P150" s="17"/>
      <c r="Q150" s="17"/>
      <c r="R150" s="110"/>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v>1</v>
      </c>
      <c r="AQ150" s="17"/>
      <c r="AR150" s="17"/>
      <c r="AS150" s="17"/>
      <c r="AT150" s="17"/>
      <c r="AU150" s="17">
        <v>1</v>
      </c>
      <c r="AV150" s="17"/>
      <c r="AW150" s="17"/>
      <c r="AX150" s="14"/>
      <c r="AZ150" t="s">
        <v>1935</v>
      </c>
    </row>
    <row r="151" spans="1:52" ht="18.75" customHeight="1">
      <c r="A151" s="4"/>
      <c r="B151" s="11"/>
      <c r="C151" s="12"/>
      <c r="D151" s="12" t="s">
        <v>1936</v>
      </c>
      <c r="E151" s="12" t="s">
        <v>1937</v>
      </c>
      <c r="F151" s="18" t="s">
        <v>1938</v>
      </c>
      <c r="G151" s="34"/>
      <c r="H151" s="12" t="s">
        <v>1936</v>
      </c>
      <c r="I151" s="12" t="s">
        <v>1934</v>
      </c>
      <c r="J151" s="14"/>
      <c r="K151" s="27">
        <v>0</v>
      </c>
      <c r="L151" s="10"/>
      <c r="M151" s="12" t="s">
        <v>1485</v>
      </c>
      <c r="N151" s="12" t="s">
        <v>1486</v>
      </c>
      <c r="O151" s="8">
        <f t="shared" si="2"/>
        <v>28</v>
      </c>
      <c r="P151" s="17"/>
      <c r="Q151" s="17"/>
      <c r="R151" s="110"/>
      <c r="S151" s="17"/>
      <c r="T151" s="17"/>
      <c r="U151" s="17"/>
      <c r="V151" s="17">
        <v>4</v>
      </c>
      <c r="W151" s="17">
        <v>12</v>
      </c>
      <c r="X151" s="17"/>
      <c r="Y151" s="17"/>
      <c r="Z151" s="17">
        <v>4</v>
      </c>
      <c r="AA151" s="17"/>
      <c r="AB151" s="17"/>
      <c r="AC151" s="17"/>
      <c r="AD151" s="17"/>
      <c r="AE151" s="17"/>
      <c r="AF151" s="17">
        <v>4</v>
      </c>
      <c r="AG151" s="17">
        <v>4</v>
      </c>
      <c r="AH151" s="17"/>
      <c r="AI151" s="17"/>
      <c r="AJ151" s="17"/>
      <c r="AK151" s="17"/>
      <c r="AL151" s="17"/>
      <c r="AM151" s="17"/>
      <c r="AN151" s="17"/>
      <c r="AO151" s="17"/>
      <c r="AP151" s="17"/>
      <c r="AQ151" s="17"/>
      <c r="AR151" s="17"/>
      <c r="AS151" s="17"/>
      <c r="AT151" s="17"/>
      <c r="AU151" s="17"/>
      <c r="AV151" s="17"/>
      <c r="AW151" s="17"/>
      <c r="AX151" s="14"/>
    </row>
    <row r="152" spans="1:52" ht="18.75" customHeight="1">
      <c r="A152" s="4"/>
      <c r="B152" s="11"/>
      <c r="C152" s="12"/>
      <c r="D152" s="12" t="s">
        <v>1939</v>
      </c>
      <c r="E152" s="12" t="s">
        <v>1940</v>
      </c>
      <c r="F152" s="18" t="s">
        <v>1941</v>
      </c>
      <c r="G152" s="34"/>
      <c r="H152" s="12" t="s">
        <v>1939</v>
      </c>
      <c r="I152" s="12" t="s">
        <v>1934</v>
      </c>
      <c r="J152" s="14"/>
      <c r="K152" s="27">
        <v>0</v>
      </c>
      <c r="L152" s="10"/>
      <c r="M152" s="12" t="s">
        <v>1485</v>
      </c>
      <c r="N152" s="12" t="s">
        <v>1486</v>
      </c>
      <c r="O152" s="8">
        <f t="shared" si="2"/>
        <v>37</v>
      </c>
      <c r="P152" s="17"/>
      <c r="Q152" s="17"/>
      <c r="R152" s="110">
        <v>37</v>
      </c>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4"/>
    </row>
    <row r="153" spans="1:52" ht="18.75" customHeight="1">
      <c r="A153" s="4"/>
      <c r="B153" s="11"/>
      <c r="C153" s="12"/>
      <c r="D153" s="12"/>
      <c r="E153" s="12" t="s">
        <v>1942</v>
      </c>
      <c r="F153" s="18" t="s">
        <v>1941</v>
      </c>
      <c r="G153" s="34"/>
      <c r="H153" s="12"/>
      <c r="I153" s="12"/>
      <c r="J153" s="14"/>
      <c r="K153" s="27"/>
      <c r="L153" s="10"/>
      <c r="M153" s="12"/>
      <c r="N153" s="12" t="s">
        <v>1486</v>
      </c>
      <c r="O153" s="8">
        <f t="shared" si="2"/>
        <v>53</v>
      </c>
      <c r="P153" s="17"/>
      <c r="Q153" s="17"/>
      <c r="R153" s="110">
        <v>35</v>
      </c>
      <c r="S153" s="17"/>
      <c r="T153" s="17"/>
      <c r="U153" s="17"/>
      <c r="V153" s="17"/>
      <c r="W153" s="17"/>
      <c r="X153" s="17"/>
      <c r="Y153" s="17"/>
      <c r="Z153" s="17"/>
      <c r="AA153" s="17"/>
      <c r="AB153" s="17"/>
      <c r="AC153" s="17">
        <v>12</v>
      </c>
      <c r="AD153" s="17">
        <v>6</v>
      </c>
      <c r="AE153" s="17"/>
      <c r="AF153" s="17"/>
      <c r="AG153" s="17"/>
      <c r="AH153" s="17"/>
      <c r="AI153" s="17"/>
      <c r="AJ153" s="17"/>
      <c r="AK153" s="17"/>
      <c r="AL153" s="17"/>
      <c r="AM153" s="17"/>
      <c r="AN153" s="17"/>
      <c r="AO153" s="17"/>
      <c r="AP153" s="17"/>
      <c r="AQ153" s="17"/>
      <c r="AR153" s="17"/>
      <c r="AS153" s="17"/>
      <c r="AT153" s="17"/>
      <c r="AU153" s="17"/>
      <c r="AV153" s="17"/>
      <c r="AW153" s="17"/>
      <c r="AX153" s="14"/>
    </row>
    <row r="154" spans="1:52" ht="18.75" customHeight="1">
      <c r="A154" s="4"/>
      <c r="B154" s="11"/>
      <c r="C154" s="12"/>
      <c r="D154" s="12" t="s">
        <v>1943</v>
      </c>
      <c r="E154" s="12" t="s">
        <v>1944</v>
      </c>
      <c r="F154" s="18" t="s">
        <v>1945</v>
      </c>
      <c r="G154" s="34"/>
      <c r="H154" s="12" t="s">
        <v>1943</v>
      </c>
      <c r="I154" s="12" t="s">
        <v>1934</v>
      </c>
      <c r="J154" s="14"/>
      <c r="K154" s="27">
        <v>0</v>
      </c>
      <c r="L154" s="10"/>
      <c r="M154" s="12" t="s">
        <v>1485</v>
      </c>
      <c r="N154" s="12" t="s">
        <v>109</v>
      </c>
      <c r="O154" s="8">
        <f t="shared" si="2"/>
        <v>1832</v>
      </c>
      <c r="P154" s="17"/>
      <c r="Q154" s="17"/>
      <c r="R154" s="110"/>
      <c r="S154" s="17"/>
      <c r="T154" s="17"/>
      <c r="U154" s="17"/>
      <c r="V154" s="17">
        <f>220+(T136+T137)*4</f>
        <v>220</v>
      </c>
      <c r="W154" s="17">
        <f>340+(S136*4)+(S137*4)</f>
        <v>340</v>
      </c>
      <c r="X154" s="17"/>
      <c r="Y154" s="17"/>
      <c r="Z154" s="17">
        <f>180+(R136+R137)*4</f>
        <v>972</v>
      </c>
      <c r="AA154" s="17"/>
      <c r="AB154" s="17"/>
      <c r="AC154" s="17"/>
      <c r="AD154" s="17"/>
      <c r="AE154" s="17"/>
      <c r="AF154" s="17">
        <f>150+(X136+X137)*4</f>
        <v>150</v>
      </c>
      <c r="AG154" s="17">
        <f>150+(Y136+Y137)*4</f>
        <v>150</v>
      </c>
      <c r="AH154" s="17"/>
      <c r="AI154" s="17"/>
      <c r="AJ154" s="17"/>
      <c r="AK154" s="17"/>
      <c r="AL154" s="17"/>
      <c r="AM154" s="17"/>
      <c r="AN154" s="17"/>
      <c r="AO154" s="17"/>
      <c r="AP154" s="17"/>
      <c r="AQ154" s="17"/>
      <c r="AR154" s="17"/>
      <c r="AS154" s="17"/>
      <c r="AT154" s="17"/>
      <c r="AU154" s="17"/>
      <c r="AV154" s="17"/>
      <c r="AW154" s="17"/>
      <c r="AX154" s="14"/>
    </row>
    <row r="155" spans="1:52" ht="18.75" customHeight="1">
      <c r="A155" s="4"/>
      <c r="B155" s="11"/>
      <c r="C155" s="12"/>
      <c r="D155" s="12" t="s">
        <v>1946</v>
      </c>
      <c r="E155" s="12" t="s">
        <v>1944</v>
      </c>
      <c r="F155" s="18" t="s">
        <v>1947</v>
      </c>
      <c r="G155" s="34"/>
      <c r="H155" s="12" t="s">
        <v>1946</v>
      </c>
      <c r="I155" s="12" t="s">
        <v>1934</v>
      </c>
      <c r="J155" s="14"/>
      <c r="K155" s="27">
        <v>0</v>
      </c>
      <c r="L155" s="10"/>
      <c r="M155" s="12" t="s">
        <v>1485</v>
      </c>
      <c r="N155" s="12" t="s">
        <v>109</v>
      </c>
      <c r="O155" s="8">
        <f t="shared" si="2"/>
        <v>950</v>
      </c>
      <c r="P155" s="17"/>
      <c r="Q155" s="17"/>
      <c r="R155" s="110"/>
      <c r="S155" s="17"/>
      <c r="T155" s="17"/>
      <c r="U155" s="17"/>
      <c r="V155" s="17">
        <v>250</v>
      </c>
      <c r="W155" s="17">
        <f>75+220</f>
        <v>295</v>
      </c>
      <c r="X155" s="17"/>
      <c r="Y155" s="17"/>
      <c r="Z155" s="17">
        <v>190</v>
      </c>
      <c r="AA155" s="17"/>
      <c r="AB155" s="17"/>
      <c r="AC155" s="17"/>
      <c r="AD155" s="17"/>
      <c r="AE155" s="17"/>
      <c r="AF155" s="17">
        <v>110</v>
      </c>
      <c r="AG155" s="17">
        <v>105</v>
      </c>
      <c r="AH155" s="17"/>
      <c r="AI155" s="17"/>
      <c r="AJ155" s="17"/>
      <c r="AK155" s="17"/>
      <c r="AL155" s="17"/>
      <c r="AM155" s="17"/>
      <c r="AN155" s="17"/>
      <c r="AO155" s="17"/>
      <c r="AP155" s="17"/>
      <c r="AQ155" s="17"/>
      <c r="AR155" s="17"/>
      <c r="AS155" s="17"/>
      <c r="AT155" s="17"/>
      <c r="AU155" s="17"/>
      <c r="AV155" s="17"/>
      <c r="AW155" s="17"/>
      <c r="AX155" s="14"/>
    </row>
    <row r="156" spans="1:52" ht="18.75" customHeight="1">
      <c r="A156" s="4"/>
      <c r="B156" s="11"/>
      <c r="C156" s="12"/>
      <c r="D156" s="12" t="s">
        <v>1948</v>
      </c>
      <c r="E156" s="12" t="s">
        <v>1944</v>
      </c>
      <c r="F156" s="18" t="s">
        <v>1949</v>
      </c>
      <c r="G156" s="34"/>
      <c r="H156" s="12" t="s">
        <v>1948</v>
      </c>
      <c r="I156" s="12" t="s">
        <v>1950</v>
      </c>
      <c r="J156" s="14"/>
      <c r="K156" s="27">
        <v>1</v>
      </c>
      <c r="L156" s="10"/>
      <c r="M156" s="12" t="s">
        <v>1951</v>
      </c>
      <c r="N156" s="12" t="s">
        <v>109</v>
      </c>
      <c r="O156" s="8">
        <f t="shared" si="2"/>
        <v>4136</v>
      </c>
      <c r="P156" s="17"/>
      <c r="Q156" s="17"/>
      <c r="R156" s="110">
        <f>1900+1386</f>
        <v>3286</v>
      </c>
      <c r="S156" s="17"/>
      <c r="T156" s="17"/>
      <c r="U156" s="17"/>
      <c r="V156" s="17"/>
      <c r="W156" s="17"/>
      <c r="X156" s="17"/>
      <c r="Y156" s="17"/>
      <c r="Z156" s="17"/>
      <c r="AA156" s="17"/>
      <c r="AB156" s="17"/>
      <c r="AC156" s="17">
        <f>400+192</f>
        <v>592</v>
      </c>
      <c r="AD156" s="17">
        <f>150+108</f>
        <v>258</v>
      </c>
      <c r="AE156" s="17"/>
      <c r="AF156" s="17"/>
      <c r="AG156" s="17"/>
      <c r="AH156" s="17"/>
      <c r="AI156" s="17"/>
      <c r="AJ156" s="17"/>
      <c r="AK156" s="17"/>
      <c r="AL156" s="17"/>
      <c r="AM156" s="17"/>
      <c r="AN156" s="17"/>
      <c r="AO156" s="17"/>
      <c r="AP156" s="17"/>
      <c r="AQ156" s="17"/>
      <c r="AR156" s="17"/>
      <c r="AS156" s="17"/>
      <c r="AT156" s="17"/>
      <c r="AU156" s="17"/>
      <c r="AV156" s="17"/>
      <c r="AW156" s="17"/>
      <c r="AX156" s="14"/>
    </row>
    <row r="157" spans="1:52" ht="18.75" customHeight="1">
      <c r="A157" s="4"/>
      <c r="B157" s="11"/>
      <c r="C157" s="12"/>
      <c r="D157" s="12" t="s">
        <v>1952</v>
      </c>
      <c r="E157" s="12" t="s">
        <v>1944</v>
      </c>
      <c r="F157" s="18" t="s">
        <v>1953</v>
      </c>
      <c r="G157" s="34"/>
      <c r="H157" s="12" t="s">
        <v>1952</v>
      </c>
      <c r="I157" s="12" t="s">
        <v>1954</v>
      </c>
      <c r="J157" s="14"/>
      <c r="K157" s="27">
        <v>2</v>
      </c>
      <c r="L157" s="10"/>
      <c r="M157" s="12" t="s">
        <v>1955</v>
      </c>
      <c r="N157" s="12" t="s">
        <v>109</v>
      </c>
      <c r="O157" s="8">
        <f t="shared" si="2"/>
        <v>6350</v>
      </c>
      <c r="P157" s="17"/>
      <c r="Q157" s="17"/>
      <c r="R157" s="110">
        <f>4800+500</f>
        <v>5300</v>
      </c>
      <c r="S157" s="17"/>
      <c r="T157" s="17"/>
      <c r="U157" s="17"/>
      <c r="V157" s="17"/>
      <c r="W157" s="17"/>
      <c r="X157" s="17"/>
      <c r="Y157" s="17"/>
      <c r="Z157" s="17"/>
      <c r="AA157" s="17"/>
      <c r="AB157" s="17"/>
      <c r="AC157" s="17">
        <f>500+175</f>
        <v>675</v>
      </c>
      <c r="AD157" s="17">
        <f>200+175</f>
        <v>375</v>
      </c>
      <c r="AE157" s="17"/>
      <c r="AF157" s="17"/>
      <c r="AG157" s="17"/>
      <c r="AH157" s="17"/>
      <c r="AI157" s="17"/>
      <c r="AJ157" s="17"/>
      <c r="AK157" s="17"/>
      <c r="AL157" s="17"/>
      <c r="AM157" s="17"/>
      <c r="AN157" s="17"/>
      <c r="AO157" s="17"/>
      <c r="AP157" s="17"/>
      <c r="AQ157" s="17"/>
      <c r="AR157" s="17"/>
      <c r="AS157" s="17"/>
      <c r="AT157" s="17"/>
      <c r="AU157" s="17"/>
      <c r="AV157" s="17"/>
      <c r="AW157" s="17"/>
      <c r="AX157" s="14"/>
    </row>
    <row r="158" spans="1:52" s="46" customFormat="1" ht="18.75" customHeight="1">
      <c r="A158" s="4">
        <v>141</v>
      </c>
      <c r="B158" s="11" t="s">
        <v>88</v>
      </c>
      <c r="C158" s="39"/>
      <c r="D158" s="40" t="s">
        <v>1956</v>
      </c>
      <c r="E158" s="40" t="s">
        <v>1957</v>
      </c>
      <c r="F158" s="41"/>
      <c r="G158" s="39"/>
      <c r="H158" s="39" t="s">
        <v>1956</v>
      </c>
      <c r="I158" s="39" t="s">
        <v>1958</v>
      </c>
      <c r="J158" s="42"/>
      <c r="K158" s="43"/>
      <c r="L158" s="44"/>
      <c r="M158" s="39" t="s">
        <v>1485</v>
      </c>
      <c r="N158" s="39" t="s">
        <v>1486</v>
      </c>
      <c r="O158" s="8">
        <f t="shared" si="2"/>
        <v>0</v>
      </c>
      <c r="P158" s="17"/>
      <c r="Q158" s="17"/>
      <c r="R158" s="110"/>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45"/>
      <c r="AV158" s="45"/>
      <c r="AW158" s="45"/>
      <c r="AX158" s="42"/>
    </row>
    <row r="159" spans="1:52" s="46" customFormat="1" ht="18.75" customHeight="1">
      <c r="A159" s="4">
        <v>142</v>
      </c>
      <c r="B159" s="11" t="s">
        <v>88</v>
      </c>
      <c r="C159" s="39"/>
      <c r="D159" s="39" t="s">
        <v>1959</v>
      </c>
      <c r="E159" s="39" t="s">
        <v>1960</v>
      </c>
      <c r="F159" s="41" t="s">
        <v>1961</v>
      </c>
      <c r="G159" s="39"/>
      <c r="H159" s="39" t="s">
        <v>1959</v>
      </c>
      <c r="I159" s="39" t="s">
        <v>1962</v>
      </c>
      <c r="J159" s="42"/>
      <c r="K159" s="43"/>
      <c r="L159" s="44"/>
      <c r="M159" s="39" t="s">
        <v>1485</v>
      </c>
      <c r="N159" s="39" t="s">
        <v>1486</v>
      </c>
      <c r="O159" s="8">
        <f t="shared" si="2"/>
        <v>4</v>
      </c>
      <c r="P159" s="17"/>
      <c r="Q159" s="17"/>
      <c r="R159" s="110"/>
      <c r="S159" s="17"/>
      <c r="T159" s="17"/>
      <c r="U159" s="17"/>
      <c r="V159" s="17"/>
      <c r="W159" s="17">
        <v>2</v>
      </c>
      <c r="X159" s="17"/>
      <c r="Y159" s="17"/>
      <c r="Z159" s="17"/>
      <c r="AA159" s="17"/>
      <c r="AB159" s="17"/>
      <c r="AC159" s="17"/>
      <c r="AD159" s="17"/>
      <c r="AE159" s="17"/>
      <c r="AF159" s="17"/>
      <c r="AG159" s="17">
        <v>2</v>
      </c>
      <c r="AH159" s="17"/>
      <c r="AI159" s="17"/>
      <c r="AJ159" s="17"/>
      <c r="AK159" s="17"/>
      <c r="AL159" s="17"/>
      <c r="AM159" s="17"/>
      <c r="AN159" s="17"/>
      <c r="AO159" s="17"/>
      <c r="AP159" s="17"/>
      <c r="AQ159" s="17"/>
      <c r="AR159" s="17"/>
      <c r="AS159" s="17"/>
      <c r="AT159" s="17"/>
      <c r="AU159" s="45"/>
      <c r="AV159" s="45"/>
      <c r="AW159" s="45"/>
      <c r="AX159" s="42"/>
    </row>
    <row r="160" spans="1:52" s="46" customFormat="1" ht="18.75" customHeight="1">
      <c r="A160" s="4">
        <v>143</v>
      </c>
      <c r="B160" s="11" t="s">
        <v>88</v>
      </c>
      <c r="C160" s="39"/>
      <c r="D160" s="39" t="s">
        <v>1963</v>
      </c>
      <c r="E160" s="39" t="s">
        <v>1964</v>
      </c>
      <c r="F160" s="41" t="s">
        <v>1965</v>
      </c>
      <c r="G160" s="39"/>
      <c r="H160" s="39" t="s">
        <v>1963</v>
      </c>
      <c r="I160" s="39" t="s">
        <v>1966</v>
      </c>
      <c r="J160" s="42"/>
      <c r="K160" s="43"/>
      <c r="L160" s="44"/>
      <c r="M160" s="39" t="s">
        <v>1485</v>
      </c>
      <c r="N160" s="39" t="s">
        <v>1486</v>
      </c>
      <c r="O160" s="8">
        <f t="shared" si="2"/>
        <v>2</v>
      </c>
      <c r="P160" s="17"/>
      <c r="Q160" s="17"/>
      <c r="R160" s="110"/>
      <c r="S160" s="17"/>
      <c r="T160" s="17"/>
      <c r="U160" s="17"/>
      <c r="V160" s="17"/>
      <c r="W160" s="17">
        <v>1</v>
      </c>
      <c r="X160" s="17"/>
      <c r="Y160" s="17"/>
      <c r="Z160" s="17"/>
      <c r="AA160" s="17"/>
      <c r="AB160" s="17"/>
      <c r="AC160" s="17"/>
      <c r="AD160" s="17"/>
      <c r="AE160" s="17"/>
      <c r="AF160" s="17"/>
      <c r="AG160" s="17">
        <v>1</v>
      </c>
      <c r="AH160" s="17"/>
      <c r="AI160" s="17"/>
      <c r="AJ160" s="17"/>
      <c r="AK160" s="17"/>
      <c r="AL160" s="17"/>
      <c r="AM160" s="17"/>
      <c r="AN160" s="17"/>
      <c r="AO160" s="17"/>
      <c r="AP160" s="17"/>
      <c r="AQ160" s="17"/>
      <c r="AR160" s="17"/>
      <c r="AS160" s="17"/>
      <c r="AT160" s="17"/>
      <c r="AU160" s="45"/>
      <c r="AV160" s="45"/>
      <c r="AW160" s="45"/>
      <c r="AX160" s="42"/>
    </row>
    <row r="161" spans="1:50" s="46" customFormat="1" ht="26.45" customHeight="1">
      <c r="A161" s="4">
        <v>144</v>
      </c>
      <c r="B161" s="11" t="s">
        <v>88</v>
      </c>
      <c r="C161" s="39"/>
      <c r="D161" s="39" t="s">
        <v>1967</v>
      </c>
      <c r="E161" s="47" t="s">
        <v>1968</v>
      </c>
      <c r="F161" s="41" t="s">
        <v>1969</v>
      </c>
      <c r="G161" s="39"/>
      <c r="H161" s="39" t="s">
        <v>1967</v>
      </c>
      <c r="I161" s="39" t="s">
        <v>1966</v>
      </c>
      <c r="J161" s="42"/>
      <c r="K161" s="43"/>
      <c r="L161" s="44"/>
      <c r="M161" s="39" t="s">
        <v>1485</v>
      </c>
      <c r="N161" s="39" t="s">
        <v>1486</v>
      </c>
      <c r="O161" s="8">
        <f t="shared" si="2"/>
        <v>4</v>
      </c>
      <c r="P161" s="17"/>
      <c r="Q161" s="17"/>
      <c r="R161" s="110">
        <v>2</v>
      </c>
      <c r="S161" s="17"/>
      <c r="T161" s="17"/>
      <c r="U161" s="17"/>
      <c r="V161" s="17"/>
      <c r="W161" s="17"/>
      <c r="X161" s="17"/>
      <c r="Y161" s="17"/>
      <c r="Z161" s="17"/>
      <c r="AA161" s="17"/>
      <c r="AB161" s="17"/>
      <c r="AC161" s="17">
        <v>1</v>
      </c>
      <c r="AD161" s="17">
        <v>1</v>
      </c>
      <c r="AE161" s="17"/>
      <c r="AF161" s="17"/>
      <c r="AG161" s="17"/>
      <c r="AH161" s="17"/>
      <c r="AI161" s="17"/>
      <c r="AJ161" s="17"/>
      <c r="AK161" s="17"/>
      <c r="AL161" s="17"/>
      <c r="AM161" s="17"/>
      <c r="AN161" s="17"/>
      <c r="AO161" s="17"/>
      <c r="AP161" s="17"/>
      <c r="AQ161" s="17"/>
      <c r="AR161" s="17"/>
      <c r="AS161" s="17"/>
      <c r="AT161" s="17"/>
      <c r="AU161" s="45"/>
      <c r="AV161" s="45"/>
      <c r="AW161" s="45"/>
      <c r="AX161" s="42"/>
    </row>
    <row r="162" spans="1:50" s="46" customFormat="1">
      <c r="A162" s="4">
        <v>145</v>
      </c>
      <c r="B162" s="11" t="s">
        <v>88</v>
      </c>
      <c r="C162" s="39"/>
      <c r="D162" s="39" t="s">
        <v>1970</v>
      </c>
      <c r="E162" s="47" t="s">
        <v>1971</v>
      </c>
      <c r="F162" s="41" t="s">
        <v>1972</v>
      </c>
      <c r="G162" s="39"/>
      <c r="H162" s="39" t="s">
        <v>1970</v>
      </c>
      <c r="I162" s="39" t="s">
        <v>1966</v>
      </c>
      <c r="J162" s="42"/>
      <c r="K162" s="43"/>
      <c r="L162" s="44"/>
      <c r="M162" s="39" t="s">
        <v>1485</v>
      </c>
      <c r="N162" s="39" t="s">
        <v>1486</v>
      </c>
      <c r="O162" s="8">
        <f t="shared" si="2"/>
        <v>4</v>
      </c>
      <c r="P162" s="45"/>
      <c r="Q162" s="17"/>
      <c r="R162" s="110">
        <v>2</v>
      </c>
      <c r="S162" s="45"/>
      <c r="T162" s="45"/>
      <c r="U162" s="45"/>
      <c r="V162" s="17"/>
      <c r="W162" s="17"/>
      <c r="X162" s="45"/>
      <c r="Y162" s="45"/>
      <c r="Z162" s="17"/>
      <c r="AA162" s="45"/>
      <c r="AB162" s="45"/>
      <c r="AC162" s="17">
        <v>1</v>
      </c>
      <c r="AD162" s="17">
        <v>1</v>
      </c>
      <c r="AE162" s="45"/>
      <c r="AF162" s="45"/>
      <c r="AG162" s="45"/>
      <c r="AH162" s="45"/>
      <c r="AI162" s="45"/>
      <c r="AJ162" s="45"/>
      <c r="AK162" s="45"/>
      <c r="AL162" s="45"/>
      <c r="AM162" s="45"/>
      <c r="AN162" s="45"/>
      <c r="AO162" s="45"/>
      <c r="AP162" s="45"/>
      <c r="AQ162" s="45"/>
      <c r="AR162" s="45"/>
      <c r="AS162" s="45"/>
      <c r="AT162" s="45"/>
      <c r="AU162" s="45"/>
      <c r="AV162" s="45"/>
      <c r="AW162" s="45"/>
      <c r="AX162" s="42"/>
    </row>
    <row r="163" spans="1:50" s="46" customFormat="1" ht="40.5" customHeight="1">
      <c r="A163" s="4">
        <v>146</v>
      </c>
      <c r="B163" s="11" t="s">
        <v>88</v>
      </c>
      <c r="C163" s="39"/>
      <c r="D163" s="39" t="s">
        <v>1973</v>
      </c>
      <c r="E163" s="47" t="s">
        <v>1974</v>
      </c>
      <c r="F163" s="109" t="s">
        <v>1975</v>
      </c>
      <c r="G163" s="39"/>
      <c r="H163" s="39" t="s">
        <v>1973</v>
      </c>
      <c r="I163" s="39" t="s">
        <v>1966</v>
      </c>
      <c r="J163" s="42"/>
      <c r="K163" s="43"/>
      <c r="L163" s="44"/>
      <c r="M163" s="39" t="s">
        <v>1485</v>
      </c>
      <c r="N163" s="39" t="s">
        <v>1486</v>
      </c>
      <c r="O163" s="8">
        <f t="shared" si="2"/>
        <v>4</v>
      </c>
      <c r="P163" s="45"/>
      <c r="Q163" s="17"/>
      <c r="R163" s="110">
        <v>2</v>
      </c>
      <c r="S163" s="45"/>
      <c r="T163" s="45"/>
      <c r="U163" s="45"/>
      <c r="V163" s="17"/>
      <c r="W163" s="17"/>
      <c r="X163" s="45"/>
      <c r="Y163" s="45"/>
      <c r="Z163" s="17"/>
      <c r="AA163" s="45"/>
      <c r="AB163" s="45"/>
      <c r="AC163" s="17">
        <v>1</v>
      </c>
      <c r="AD163" s="17">
        <v>1</v>
      </c>
      <c r="AE163" s="45"/>
      <c r="AF163" s="45"/>
      <c r="AG163" s="45"/>
      <c r="AH163" s="45"/>
      <c r="AI163" s="45"/>
      <c r="AJ163" s="45"/>
      <c r="AK163" s="45"/>
      <c r="AL163" s="45"/>
      <c r="AM163" s="45"/>
      <c r="AN163" s="45"/>
      <c r="AO163" s="45"/>
      <c r="AP163" s="45"/>
      <c r="AQ163" s="45"/>
      <c r="AR163" s="45"/>
      <c r="AS163" s="45"/>
      <c r="AT163" s="45"/>
      <c r="AU163" s="45"/>
      <c r="AV163" s="45"/>
      <c r="AW163" s="45"/>
      <c r="AX163" s="42"/>
    </row>
    <row r="164" spans="1:50" s="46" customFormat="1" ht="18.75" customHeight="1">
      <c r="A164" s="4">
        <v>147</v>
      </c>
      <c r="B164" s="11" t="s">
        <v>88</v>
      </c>
      <c r="C164" s="39"/>
      <c r="D164" s="39" t="s">
        <v>1976</v>
      </c>
      <c r="E164" s="39" t="s">
        <v>1977</v>
      </c>
      <c r="F164" s="41" t="s">
        <v>1978</v>
      </c>
      <c r="G164" s="39"/>
      <c r="H164" s="39" t="s">
        <v>1976</v>
      </c>
      <c r="I164" s="39" t="s">
        <v>1966</v>
      </c>
      <c r="J164" s="42"/>
      <c r="K164" s="43"/>
      <c r="L164" s="44"/>
      <c r="M164" s="39" t="s">
        <v>1485</v>
      </c>
      <c r="N164" s="39" t="s">
        <v>1486</v>
      </c>
      <c r="O164" s="8">
        <f t="shared" si="2"/>
        <v>4</v>
      </c>
      <c r="P164" s="45"/>
      <c r="Q164" s="45"/>
      <c r="R164" s="111">
        <v>2</v>
      </c>
      <c r="S164" s="45"/>
      <c r="T164" s="45"/>
      <c r="U164" s="45"/>
      <c r="V164" s="45"/>
      <c r="W164" s="45"/>
      <c r="X164" s="45"/>
      <c r="Y164" s="45"/>
      <c r="Z164" s="45"/>
      <c r="AA164" s="45"/>
      <c r="AB164" s="45"/>
      <c r="AC164" s="45">
        <v>1</v>
      </c>
      <c r="AD164" s="45">
        <v>1</v>
      </c>
      <c r="AE164" s="45"/>
      <c r="AF164" s="45"/>
      <c r="AG164" s="45"/>
      <c r="AH164" s="45"/>
      <c r="AI164" s="45"/>
      <c r="AJ164" s="45"/>
      <c r="AK164" s="45"/>
      <c r="AL164" s="45"/>
      <c r="AM164" s="45"/>
      <c r="AN164" s="45"/>
      <c r="AO164" s="45"/>
      <c r="AP164" s="45"/>
      <c r="AQ164" s="45"/>
      <c r="AR164" s="45"/>
      <c r="AS164" s="45"/>
      <c r="AT164" s="45"/>
      <c r="AU164" s="45"/>
      <c r="AV164" s="45"/>
      <c r="AW164" s="45"/>
      <c r="AX164" s="42"/>
    </row>
    <row r="165" spans="1:50" s="46" customFormat="1" ht="18.75" customHeight="1">
      <c r="A165" s="4">
        <v>148</v>
      </c>
      <c r="B165" s="11" t="s">
        <v>88</v>
      </c>
      <c r="C165" s="39"/>
      <c r="D165" s="39" t="s">
        <v>1979</v>
      </c>
      <c r="E165" s="39" t="s">
        <v>1977</v>
      </c>
      <c r="F165" s="41" t="s">
        <v>1980</v>
      </c>
      <c r="G165" s="39"/>
      <c r="H165" s="39" t="s">
        <v>1979</v>
      </c>
      <c r="I165" s="39" t="s">
        <v>1966</v>
      </c>
      <c r="J165" s="42"/>
      <c r="K165" s="43"/>
      <c r="L165" s="44"/>
      <c r="M165" s="39" t="s">
        <v>1485</v>
      </c>
      <c r="N165" s="39" t="s">
        <v>1486</v>
      </c>
      <c r="O165" s="8">
        <f t="shared" si="2"/>
        <v>4</v>
      </c>
      <c r="P165" s="45"/>
      <c r="Q165" s="45"/>
      <c r="R165" s="111">
        <v>2</v>
      </c>
      <c r="S165" s="45"/>
      <c r="T165" s="45"/>
      <c r="U165" s="45"/>
      <c r="V165" s="45"/>
      <c r="W165" s="45"/>
      <c r="X165" s="45"/>
      <c r="Y165" s="45"/>
      <c r="Z165" s="45"/>
      <c r="AA165" s="45"/>
      <c r="AB165" s="45"/>
      <c r="AC165" s="45">
        <v>1</v>
      </c>
      <c r="AD165" s="45">
        <v>1</v>
      </c>
      <c r="AE165" s="45"/>
      <c r="AF165" s="45"/>
      <c r="AG165" s="45"/>
      <c r="AH165" s="45"/>
      <c r="AI165" s="45"/>
      <c r="AJ165" s="45"/>
      <c r="AK165" s="45"/>
      <c r="AL165" s="45"/>
      <c r="AM165" s="45"/>
      <c r="AN165" s="45"/>
      <c r="AO165" s="45"/>
      <c r="AP165" s="45"/>
      <c r="AQ165" s="45"/>
      <c r="AR165" s="45"/>
      <c r="AS165" s="45"/>
      <c r="AT165" s="45"/>
      <c r="AU165" s="45"/>
      <c r="AV165" s="45"/>
      <c r="AW165" s="45"/>
      <c r="AX165" s="42"/>
    </row>
    <row r="166" spans="1:50" s="46" customFormat="1" ht="87.75" customHeight="1">
      <c r="A166" s="4">
        <v>149</v>
      </c>
      <c r="B166" s="11" t="s">
        <v>88</v>
      </c>
      <c r="C166" s="39"/>
      <c r="D166" s="39" t="s">
        <v>1981</v>
      </c>
      <c r="E166" s="47" t="s">
        <v>1982</v>
      </c>
      <c r="F166" s="109" t="s">
        <v>1983</v>
      </c>
      <c r="G166" s="39"/>
      <c r="H166" s="39" t="s">
        <v>1981</v>
      </c>
      <c r="I166" s="39" t="s">
        <v>1966</v>
      </c>
      <c r="J166" s="42"/>
      <c r="K166" s="43"/>
      <c r="L166" s="44"/>
      <c r="M166" s="39" t="s">
        <v>1485</v>
      </c>
      <c r="N166" s="39" t="s">
        <v>1486</v>
      </c>
      <c r="O166" s="8">
        <f t="shared" si="2"/>
        <v>4</v>
      </c>
      <c r="P166" s="45"/>
      <c r="Q166" s="45"/>
      <c r="R166" s="111">
        <v>2</v>
      </c>
      <c r="S166" s="45"/>
      <c r="T166" s="45"/>
      <c r="U166" s="45"/>
      <c r="V166" s="45"/>
      <c r="W166" s="45"/>
      <c r="X166" s="45"/>
      <c r="Y166" s="45"/>
      <c r="Z166" s="45"/>
      <c r="AA166" s="45"/>
      <c r="AB166" s="45"/>
      <c r="AC166" s="45">
        <v>1</v>
      </c>
      <c r="AD166" s="45">
        <v>1</v>
      </c>
      <c r="AE166" s="45"/>
      <c r="AF166" s="45"/>
      <c r="AG166" s="45"/>
      <c r="AH166" s="45"/>
      <c r="AI166" s="45"/>
      <c r="AJ166" s="45"/>
      <c r="AK166" s="45"/>
      <c r="AL166" s="45"/>
      <c r="AM166" s="45"/>
      <c r="AN166" s="45"/>
      <c r="AO166" s="45"/>
      <c r="AP166" s="45"/>
      <c r="AQ166" s="45"/>
      <c r="AR166" s="45"/>
      <c r="AS166" s="45"/>
      <c r="AT166" s="45"/>
      <c r="AU166" s="45"/>
      <c r="AV166" s="45"/>
      <c r="AW166" s="45"/>
      <c r="AX166" s="42"/>
    </row>
    <row r="167" spans="1:50" s="46" customFormat="1" ht="18.75" customHeight="1">
      <c r="A167" s="4">
        <v>150</v>
      </c>
      <c r="B167" s="11" t="s">
        <v>88</v>
      </c>
      <c r="C167" s="39"/>
      <c r="D167" s="39" t="s">
        <v>1984</v>
      </c>
      <c r="E167" s="39" t="s">
        <v>1985</v>
      </c>
      <c r="F167" s="41" t="s">
        <v>1986</v>
      </c>
      <c r="G167" s="39"/>
      <c r="H167" s="39" t="s">
        <v>1984</v>
      </c>
      <c r="I167" s="39" t="s">
        <v>1987</v>
      </c>
      <c r="J167" s="42"/>
      <c r="K167" s="43"/>
      <c r="L167" s="44"/>
      <c r="M167" s="39" t="s">
        <v>1485</v>
      </c>
      <c r="N167" s="39" t="s">
        <v>1486</v>
      </c>
      <c r="O167" s="8">
        <f t="shared" si="2"/>
        <v>0</v>
      </c>
      <c r="P167" s="45"/>
      <c r="Q167" s="45"/>
      <c r="R167" s="111"/>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2"/>
    </row>
    <row r="168" spans="1:50" s="46" customFormat="1" ht="18.75" customHeight="1">
      <c r="A168" s="4">
        <v>151</v>
      </c>
      <c r="B168" s="11" t="s">
        <v>88</v>
      </c>
      <c r="C168" s="39"/>
      <c r="D168" s="39" t="s">
        <v>1988</v>
      </c>
      <c r="E168" s="39" t="s">
        <v>1989</v>
      </c>
      <c r="F168" s="41"/>
      <c r="G168" s="39"/>
      <c r="H168" s="39" t="s">
        <v>1988</v>
      </c>
      <c r="I168" s="39" t="s">
        <v>1966</v>
      </c>
      <c r="J168" s="42"/>
      <c r="K168" s="43"/>
      <c r="L168" s="44"/>
      <c r="M168" s="39" t="s">
        <v>1485</v>
      </c>
      <c r="N168" s="39" t="s">
        <v>1486</v>
      </c>
      <c r="O168" s="8">
        <f t="shared" si="2"/>
        <v>2</v>
      </c>
      <c r="P168" s="45"/>
      <c r="Q168" s="45"/>
      <c r="R168" s="45"/>
      <c r="S168" s="45"/>
      <c r="T168" s="45"/>
      <c r="U168" s="45"/>
      <c r="V168" s="45"/>
      <c r="W168" s="45">
        <v>1</v>
      </c>
      <c r="X168" s="45"/>
      <c r="Y168" s="45"/>
      <c r="Z168" s="45"/>
      <c r="AA168" s="45"/>
      <c r="AB168" s="45"/>
      <c r="AC168" s="45"/>
      <c r="AD168" s="45"/>
      <c r="AE168" s="45"/>
      <c r="AF168" s="45"/>
      <c r="AG168" s="45">
        <v>1</v>
      </c>
      <c r="AH168" s="45"/>
      <c r="AI168" s="45"/>
      <c r="AJ168" s="45"/>
      <c r="AK168" s="45"/>
      <c r="AL168" s="45"/>
      <c r="AM168" s="45"/>
      <c r="AN168" s="45"/>
      <c r="AO168" s="45"/>
      <c r="AP168" s="45"/>
      <c r="AQ168" s="45"/>
      <c r="AR168" s="45"/>
      <c r="AS168" s="45"/>
      <c r="AT168" s="45"/>
      <c r="AU168" s="45"/>
      <c r="AV168" s="45"/>
      <c r="AW168" s="45"/>
      <c r="AX168" s="42"/>
    </row>
    <row r="169" spans="1:50" ht="18.75" customHeight="1">
      <c r="A169" s="4">
        <v>152</v>
      </c>
      <c r="B169" s="11" t="s">
        <v>88</v>
      </c>
      <c r="C169" s="6"/>
      <c r="D169" s="36" t="s">
        <v>1990</v>
      </c>
      <c r="E169" s="36" t="s">
        <v>1991</v>
      </c>
      <c r="F169" s="7"/>
      <c r="G169" s="9"/>
      <c r="H169" s="9"/>
      <c r="I169" s="9"/>
      <c r="J169" s="9"/>
      <c r="K169" s="20">
        <v>0</v>
      </c>
      <c r="L169" s="4"/>
      <c r="M169" s="9" t="s">
        <v>1485</v>
      </c>
      <c r="N169" s="9"/>
      <c r="O169" s="8">
        <f t="shared" si="2"/>
        <v>0</v>
      </c>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9"/>
    </row>
    <row r="170" spans="1:50" ht="30.75" customHeight="1">
      <c r="A170" s="4">
        <v>153</v>
      </c>
      <c r="B170" s="11" t="s">
        <v>88</v>
      </c>
      <c r="C170" s="12"/>
      <c r="D170" s="12" t="s">
        <v>1992</v>
      </c>
      <c r="E170" s="12" t="s">
        <v>1993</v>
      </c>
      <c r="F170" s="18" t="s">
        <v>1994</v>
      </c>
      <c r="G170" s="34" t="s">
        <v>552</v>
      </c>
      <c r="H170" s="12" t="s">
        <v>1992</v>
      </c>
      <c r="I170" s="12" t="s">
        <v>1995</v>
      </c>
      <c r="J170" s="14"/>
      <c r="K170" s="27">
        <v>0</v>
      </c>
      <c r="L170" s="10"/>
      <c r="M170" s="12" t="s">
        <v>1485</v>
      </c>
      <c r="N170" s="12" t="s">
        <v>1486</v>
      </c>
      <c r="O170" s="8">
        <f t="shared" si="2"/>
        <v>0</v>
      </c>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4"/>
    </row>
    <row r="171" spans="1:50" ht="18.75" customHeight="1">
      <c r="A171" s="4">
        <v>154</v>
      </c>
      <c r="B171" s="11" t="s">
        <v>88</v>
      </c>
      <c r="C171" s="12"/>
      <c r="D171" s="12" t="s">
        <v>1996</v>
      </c>
      <c r="E171" s="12" t="s">
        <v>1997</v>
      </c>
      <c r="F171" s="18" t="s">
        <v>1998</v>
      </c>
      <c r="G171" s="34" t="s">
        <v>552</v>
      </c>
      <c r="H171" s="12" t="s">
        <v>1996</v>
      </c>
      <c r="I171" s="12" t="s">
        <v>1999</v>
      </c>
      <c r="J171" s="14"/>
      <c r="K171" s="27">
        <v>0</v>
      </c>
      <c r="L171" s="10"/>
      <c r="M171" s="12" t="s">
        <v>1485</v>
      </c>
      <c r="N171" s="12" t="s">
        <v>1486</v>
      </c>
      <c r="O171" s="8">
        <f t="shared" si="2"/>
        <v>0</v>
      </c>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2"/>
    </row>
    <row r="172" spans="1:50" ht="18.75" customHeight="1">
      <c r="A172" s="4">
        <v>155</v>
      </c>
      <c r="B172" s="11" t="s">
        <v>88</v>
      </c>
      <c r="C172" s="12"/>
      <c r="D172" s="12" t="s">
        <v>2000</v>
      </c>
      <c r="E172" s="12" t="s">
        <v>1997</v>
      </c>
      <c r="F172" s="18" t="s">
        <v>2001</v>
      </c>
      <c r="G172" s="34" t="s">
        <v>552</v>
      </c>
      <c r="H172" s="12" t="s">
        <v>2000</v>
      </c>
      <c r="I172" s="12" t="s">
        <v>1537</v>
      </c>
      <c r="J172" s="14"/>
      <c r="K172" s="27">
        <v>0</v>
      </c>
      <c r="L172" s="10"/>
      <c r="M172" s="12" t="s">
        <v>1485</v>
      </c>
      <c r="N172" s="12" t="s">
        <v>1486</v>
      </c>
      <c r="O172" s="8">
        <f t="shared" si="2"/>
        <v>0</v>
      </c>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2"/>
    </row>
    <row r="173" spans="1:50" ht="18.75" customHeight="1">
      <c r="A173" s="4">
        <v>156</v>
      </c>
      <c r="B173" s="11" t="s">
        <v>88</v>
      </c>
      <c r="C173" s="12"/>
      <c r="D173" s="12" t="s">
        <v>2002</v>
      </c>
      <c r="E173" s="12" t="s">
        <v>2003</v>
      </c>
      <c r="F173" s="18" t="s">
        <v>2004</v>
      </c>
      <c r="G173" s="34" t="s">
        <v>552</v>
      </c>
      <c r="H173" s="12" t="s">
        <v>2002</v>
      </c>
      <c r="I173" s="12" t="s">
        <v>1608</v>
      </c>
      <c r="J173" s="14"/>
      <c r="K173" s="27">
        <v>0</v>
      </c>
      <c r="L173" s="10"/>
      <c r="M173" s="12" t="s">
        <v>1485</v>
      </c>
      <c r="N173" s="12" t="s">
        <v>1486</v>
      </c>
      <c r="O173" s="8">
        <f t="shared" si="2"/>
        <v>0</v>
      </c>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2"/>
    </row>
    <row r="174" spans="1:50" ht="18.75" customHeight="1">
      <c r="A174" s="4">
        <v>157</v>
      </c>
      <c r="B174" s="11" t="s">
        <v>88</v>
      </c>
      <c r="C174" s="12"/>
      <c r="D174" s="12" t="s">
        <v>2005</v>
      </c>
      <c r="E174" s="12" t="s">
        <v>2003</v>
      </c>
      <c r="F174" s="18" t="s">
        <v>2006</v>
      </c>
      <c r="G174" s="34" t="s">
        <v>552</v>
      </c>
      <c r="H174" s="12" t="s">
        <v>2005</v>
      </c>
      <c r="I174" s="12" t="s">
        <v>1603</v>
      </c>
      <c r="J174" s="14"/>
      <c r="K174" s="27">
        <v>0</v>
      </c>
      <c r="L174" s="10"/>
      <c r="M174" s="12" t="s">
        <v>1485</v>
      </c>
      <c r="N174" s="12" t="s">
        <v>1486</v>
      </c>
      <c r="O174" s="8">
        <f t="shared" si="2"/>
        <v>0</v>
      </c>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2"/>
    </row>
    <row r="175" spans="1:50" ht="18.75" customHeight="1">
      <c r="A175" s="4">
        <v>158</v>
      </c>
      <c r="B175" s="11" t="s">
        <v>88</v>
      </c>
      <c r="C175" s="12"/>
      <c r="D175" s="12" t="s">
        <v>2007</v>
      </c>
      <c r="E175" s="12" t="s">
        <v>2008</v>
      </c>
      <c r="F175" s="18" t="s">
        <v>2009</v>
      </c>
      <c r="G175" s="34" t="s">
        <v>552</v>
      </c>
      <c r="H175" s="12" t="s">
        <v>2007</v>
      </c>
      <c r="I175" s="12" t="s">
        <v>2010</v>
      </c>
      <c r="J175" s="14"/>
      <c r="K175" s="27">
        <v>0</v>
      </c>
      <c r="L175" s="10"/>
      <c r="M175" s="12" t="s">
        <v>1485</v>
      </c>
      <c r="N175" s="12" t="s">
        <v>1486</v>
      </c>
      <c r="O175" s="8">
        <f t="shared" si="2"/>
        <v>0</v>
      </c>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4"/>
    </row>
    <row r="176" spans="1:50" ht="18.75" customHeight="1">
      <c r="A176" s="4">
        <v>159</v>
      </c>
      <c r="B176" s="11" t="s">
        <v>88</v>
      </c>
      <c r="C176" s="12"/>
      <c r="D176" s="12" t="s">
        <v>2011</v>
      </c>
      <c r="E176" s="12" t="s">
        <v>2008</v>
      </c>
      <c r="F176" s="18" t="s">
        <v>2012</v>
      </c>
      <c r="G176" s="34" t="s">
        <v>552</v>
      </c>
      <c r="H176" s="12" t="s">
        <v>2011</v>
      </c>
      <c r="I176" s="12" t="s">
        <v>1630</v>
      </c>
      <c r="J176" s="14"/>
      <c r="K176" s="27">
        <v>0</v>
      </c>
      <c r="L176" s="10"/>
      <c r="M176" s="12" t="s">
        <v>1485</v>
      </c>
      <c r="N176" s="12" t="s">
        <v>1486</v>
      </c>
      <c r="O176" s="8">
        <f t="shared" si="2"/>
        <v>0</v>
      </c>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4"/>
    </row>
    <row r="177" spans="1:52" ht="18.75" customHeight="1">
      <c r="A177" s="4">
        <v>160</v>
      </c>
      <c r="B177" s="11" t="s">
        <v>88</v>
      </c>
      <c r="C177" s="12"/>
      <c r="D177" s="12" t="s">
        <v>2013</v>
      </c>
      <c r="E177" s="12" t="s">
        <v>2014</v>
      </c>
      <c r="F177" s="18" t="s">
        <v>2015</v>
      </c>
      <c r="G177" s="34" t="s">
        <v>552</v>
      </c>
      <c r="H177" s="12" t="s">
        <v>2013</v>
      </c>
      <c r="I177" s="12" t="s">
        <v>2016</v>
      </c>
      <c r="J177" s="14"/>
      <c r="K177" s="27">
        <v>0</v>
      </c>
      <c r="L177" s="10"/>
      <c r="M177" s="12" t="s">
        <v>1485</v>
      </c>
      <c r="N177" s="12" t="s">
        <v>1486</v>
      </c>
      <c r="O177" s="8">
        <f t="shared" si="2"/>
        <v>0</v>
      </c>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4"/>
    </row>
    <row r="178" spans="1:52" ht="18.75" customHeight="1">
      <c r="A178" s="4">
        <v>161</v>
      </c>
      <c r="B178" s="11" t="s">
        <v>88</v>
      </c>
      <c r="C178" s="12"/>
      <c r="D178" s="12" t="s">
        <v>2017</v>
      </c>
      <c r="E178" s="12" t="s">
        <v>2018</v>
      </c>
      <c r="F178" s="18" t="s">
        <v>2019</v>
      </c>
      <c r="G178" s="34" t="s">
        <v>552</v>
      </c>
      <c r="H178" s="12" t="s">
        <v>2017</v>
      </c>
      <c r="I178" s="12" t="s">
        <v>2020</v>
      </c>
      <c r="J178" s="14"/>
      <c r="K178" s="27">
        <v>0</v>
      </c>
      <c r="L178" s="10"/>
      <c r="M178" s="12" t="s">
        <v>1485</v>
      </c>
      <c r="N178" s="12" t="s">
        <v>1486</v>
      </c>
      <c r="O178" s="8">
        <f t="shared" si="2"/>
        <v>0</v>
      </c>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4"/>
    </row>
    <row r="179" spans="1:52" ht="18.75" customHeight="1">
      <c r="A179" s="4">
        <v>162</v>
      </c>
      <c r="B179" s="11" t="s">
        <v>88</v>
      </c>
      <c r="C179" s="12"/>
      <c r="D179" s="12" t="s">
        <v>2021</v>
      </c>
      <c r="E179" s="12" t="s">
        <v>2018</v>
      </c>
      <c r="F179" s="18" t="s">
        <v>2022</v>
      </c>
      <c r="G179" s="34" t="s">
        <v>552</v>
      </c>
      <c r="H179" s="12" t="s">
        <v>2021</v>
      </c>
      <c r="I179" s="12" t="s">
        <v>1676</v>
      </c>
      <c r="J179" s="14"/>
      <c r="K179" s="27">
        <v>0</v>
      </c>
      <c r="L179" s="10"/>
      <c r="M179" s="12" t="s">
        <v>1485</v>
      </c>
      <c r="N179" s="12" t="s">
        <v>1486</v>
      </c>
      <c r="O179" s="8">
        <f t="shared" si="2"/>
        <v>0</v>
      </c>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4"/>
    </row>
    <row r="180" spans="1:52" ht="18.75" customHeight="1">
      <c r="A180" s="4">
        <v>163</v>
      </c>
      <c r="B180" s="11" t="s">
        <v>88</v>
      </c>
      <c r="C180" s="12"/>
      <c r="D180" s="12" t="s">
        <v>2023</v>
      </c>
      <c r="E180" s="12" t="s">
        <v>2024</v>
      </c>
      <c r="F180" s="18" t="s">
        <v>2025</v>
      </c>
      <c r="G180" s="34" t="s">
        <v>552</v>
      </c>
      <c r="H180" s="12" t="s">
        <v>2023</v>
      </c>
      <c r="I180" s="12" t="s">
        <v>1676</v>
      </c>
      <c r="J180" s="14"/>
      <c r="K180" s="27">
        <v>0</v>
      </c>
      <c r="L180" s="10"/>
      <c r="M180" s="12" t="s">
        <v>1485</v>
      </c>
      <c r="N180" s="12" t="s">
        <v>109</v>
      </c>
      <c r="O180" s="8">
        <f t="shared" si="2"/>
        <v>0</v>
      </c>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4"/>
    </row>
    <row r="181" spans="1:52" ht="18.75" customHeight="1">
      <c r="A181" s="4">
        <v>164</v>
      </c>
      <c r="B181" s="11" t="s">
        <v>88</v>
      </c>
      <c r="C181" s="12"/>
      <c r="D181" s="12" t="s">
        <v>2026</v>
      </c>
      <c r="E181" s="12" t="s">
        <v>2024</v>
      </c>
      <c r="F181" s="18" t="s">
        <v>2027</v>
      </c>
      <c r="G181" s="34" t="s">
        <v>552</v>
      </c>
      <c r="H181" s="12" t="s">
        <v>2026</v>
      </c>
      <c r="I181" s="12" t="s">
        <v>1676</v>
      </c>
      <c r="J181" s="14"/>
      <c r="K181" s="27">
        <v>0</v>
      </c>
      <c r="L181" s="10"/>
      <c r="M181" s="12" t="s">
        <v>1485</v>
      </c>
      <c r="N181" s="12" t="s">
        <v>109</v>
      </c>
      <c r="O181" s="8">
        <f t="shared" si="2"/>
        <v>0</v>
      </c>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4"/>
    </row>
    <row r="182" spans="1:52" ht="30.75" customHeight="1">
      <c r="A182" s="4">
        <v>165</v>
      </c>
      <c r="B182" s="11" t="s">
        <v>88</v>
      </c>
      <c r="C182" s="12"/>
      <c r="D182" s="12" t="s">
        <v>2028</v>
      </c>
      <c r="E182" s="12" t="s">
        <v>2029</v>
      </c>
      <c r="F182" s="18" t="s">
        <v>2030</v>
      </c>
      <c r="G182" s="34" t="s">
        <v>552</v>
      </c>
      <c r="H182" s="12" t="s">
        <v>2028</v>
      </c>
      <c r="I182" s="12" t="s">
        <v>1796</v>
      </c>
      <c r="J182" s="14"/>
      <c r="K182" s="27">
        <v>0</v>
      </c>
      <c r="L182" s="10"/>
      <c r="M182" s="12" t="s">
        <v>1485</v>
      </c>
      <c r="N182" s="12" t="s">
        <v>109</v>
      </c>
      <c r="O182" s="8">
        <f t="shared" si="2"/>
        <v>0</v>
      </c>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4"/>
    </row>
    <row r="183" spans="1:52" ht="18.75" customHeight="1">
      <c r="A183" s="4">
        <v>166</v>
      </c>
      <c r="B183" s="11" t="s">
        <v>88</v>
      </c>
      <c r="C183" s="12"/>
      <c r="D183" s="12" t="s">
        <v>2031</v>
      </c>
      <c r="E183" s="12" t="s">
        <v>2029</v>
      </c>
      <c r="F183" s="18" t="s">
        <v>2032</v>
      </c>
      <c r="G183" s="34" t="s">
        <v>552</v>
      </c>
      <c r="H183" s="12" t="s">
        <v>2031</v>
      </c>
      <c r="I183" s="12" t="s">
        <v>1686</v>
      </c>
      <c r="J183" s="14"/>
      <c r="K183" s="27">
        <v>0</v>
      </c>
      <c r="L183" s="10"/>
      <c r="M183" s="12" t="s">
        <v>1485</v>
      </c>
      <c r="N183" s="12" t="s">
        <v>1486</v>
      </c>
      <c r="O183" s="8">
        <f t="shared" si="2"/>
        <v>0</v>
      </c>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4"/>
    </row>
    <row r="184" spans="1:52" ht="18.75" customHeight="1">
      <c r="A184" s="4">
        <v>167</v>
      </c>
      <c r="B184" s="11" t="s">
        <v>88</v>
      </c>
      <c r="C184" s="12"/>
      <c r="D184" s="12" t="s">
        <v>2033</v>
      </c>
      <c r="E184" s="12" t="s">
        <v>2034</v>
      </c>
      <c r="F184" s="18" t="s">
        <v>2035</v>
      </c>
      <c r="G184" s="34" t="s">
        <v>552</v>
      </c>
      <c r="H184" s="12" t="s">
        <v>2033</v>
      </c>
      <c r="I184" s="12" t="s">
        <v>2036</v>
      </c>
      <c r="J184" s="14"/>
      <c r="K184" s="27">
        <v>0</v>
      </c>
      <c r="L184" s="10"/>
      <c r="M184" s="12" t="s">
        <v>1485</v>
      </c>
      <c r="N184" s="12" t="s">
        <v>1486</v>
      </c>
      <c r="O184" s="8">
        <f t="shared" si="2"/>
        <v>0</v>
      </c>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4"/>
    </row>
    <row r="185" spans="1:52" ht="18.75" customHeight="1">
      <c r="A185" s="61">
        <v>168</v>
      </c>
      <c r="B185" s="62" t="s">
        <v>88</v>
      </c>
      <c r="C185" s="63"/>
      <c r="D185" s="63" t="s">
        <v>2037</v>
      </c>
      <c r="E185" s="63" t="s">
        <v>2038</v>
      </c>
      <c r="F185" s="64" t="s">
        <v>2039</v>
      </c>
      <c r="G185" s="65" t="s">
        <v>552</v>
      </c>
      <c r="H185" s="63" t="s">
        <v>2037</v>
      </c>
      <c r="I185" s="63" t="s">
        <v>1518</v>
      </c>
      <c r="J185" s="66"/>
      <c r="K185" s="67">
        <v>0</v>
      </c>
      <c r="L185" s="68"/>
      <c r="M185" s="63" t="s">
        <v>1485</v>
      </c>
      <c r="N185" s="63" t="s">
        <v>1486</v>
      </c>
      <c r="O185" s="69">
        <f t="shared" si="2"/>
        <v>0</v>
      </c>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66"/>
    </row>
    <row r="186" spans="1:52" ht="18.75" customHeight="1">
      <c r="A186" s="4">
        <v>169</v>
      </c>
      <c r="B186" s="11" t="s">
        <v>88</v>
      </c>
      <c r="C186" s="6"/>
      <c r="D186" s="36" t="s">
        <v>2040</v>
      </c>
      <c r="E186" s="36" t="s">
        <v>2041</v>
      </c>
      <c r="F186" s="7"/>
      <c r="G186" s="9"/>
      <c r="H186" s="9" t="s">
        <v>2040</v>
      </c>
      <c r="I186" s="9"/>
      <c r="J186" s="9"/>
      <c r="K186" s="20">
        <v>0</v>
      </c>
      <c r="L186" s="4"/>
      <c r="M186" s="9"/>
      <c r="N186" s="9"/>
      <c r="O186" s="8">
        <f t="shared" si="2"/>
        <v>0</v>
      </c>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9"/>
    </row>
    <row r="187" spans="1:52" ht="18.75" customHeight="1">
      <c r="A187" s="61">
        <v>170</v>
      </c>
      <c r="B187" s="62" t="s">
        <v>88</v>
      </c>
      <c r="C187" s="63"/>
      <c r="D187" s="63" t="s">
        <v>2042</v>
      </c>
      <c r="E187" s="63" t="s">
        <v>2043</v>
      </c>
      <c r="F187" s="64"/>
      <c r="G187" s="65"/>
      <c r="H187" s="63" t="s">
        <v>2042</v>
      </c>
      <c r="I187" s="63" t="s">
        <v>1518</v>
      </c>
      <c r="J187" s="66"/>
      <c r="K187" s="67">
        <v>0</v>
      </c>
      <c r="L187" s="68"/>
      <c r="M187" s="63" t="s">
        <v>1485</v>
      </c>
      <c r="N187" s="63" t="s">
        <v>2044</v>
      </c>
      <c r="O187" s="69">
        <f t="shared" si="2"/>
        <v>2</v>
      </c>
      <c r="P187" s="70"/>
      <c r="Q187" s="70"/>
      <c r="R187" s="70"/>
      <c r="S187" s="70"/>
      <c r="T187" s="70"/>
      <c r="U187" s="70"/>
      <c r="V187" s="70"/>
      <c r="W187" s="70">
        <v>1</v>
      </c>
      <c r="X187" s="70"/>
      <c r="Y187" s="70"/>
      <c r="Z187" s="70"/>
      <c r="AA187" s="70"/>
      <c r="AB187" s="70"/>
      <c r="AC187" s="70"/>
      <c r="AD187" s="70"/>
      <c r="AE187" s="70"/>
      <c r="AF187" s="70"/>
      <c r="AG187" s="70">
        <v>1</v>
      </c>
      <c r="AH187" s="70"/>
      <c r="AI187" s="70"/>
      <c r="AJ187" s="70"/>
      <c r="AK187" s="70"/>
      <c r="AL187" s="70"/>
      <c r="AM187" s="70"/>
      <c r="AN187" s="70"/>
      <c r="AO187" s="70"/>
      <c r="AP187" s="70"/>
      <c r="AQ187" s="70"/>
      <c r="AR187" s="70"/>
      <c r="AS187" s="70"/>
      <c r="AT187" s="70"/>
      <c r="AU187" s="70"/>
      <c r="AV187" s="106"/>
      <c r="AW187" s="70"/>
      <c r="AX187" s="66"/>
    </row>
    <row r="188" spans="1:52" ht="18.75" customHeight="1">
      <c r="A188" s="61">
        <v>171</v>
      </c>
      <c r="B188" s="62" t="s">
        <v>88</v>
      </c>
      <c r="C188" s="63"/>
      <c r="D188" s="63" t="s">
        <v>2045</v>
      </c>
      <c r="E188" s="63" t="s">
        <v>2046</v>
      </c>
      <c r="F188" s="64"/>
      <c r="G188" s="65"/>
      <c r="H188" s="63" t="s">
        <v>2045</v>
      </c>
      <c r="I188" s="63" t="s">
        <v>1518</v>
      </c>
      <c r="J188" s="66"/>
      <c r="K188" s="67">
        <v>0</v>
      </c>
      <c r="L188" s="68"/>
      <c r="M188" s="63" t="s">
        <v>1485</v>
      </c>
      <c r="N188" s="63" t="s">
        <v>2044</v>
      </c>
      <c r="O188" s="69">
        <f t="shared" si="2"/>
        <v>2</v>
      </c>
      <c r="P188" s="70"/>
      <c r="Q188" s="70"/>
      <c r="R188" s="70"/>
      <c r="S188" s="70"/>
      <c r="T188" s="70"/>
      <c r="U188" s="70"/>
      <c r="V188" s="70"/>
      <c r="W188" s="70">
        <v>1</v>
      </c>
      <c r="X188" s="70"/>
      <c r="Y188" s="70"/>
      <c r="Z188" s="70"/>
      <c r="AA188" s="70"/>
      <c r="AB188" s="70"/>
      <c r="AC188" s="70"/>
      <c r="AD188" s="70"/>
      <c r="AE188" s="70"/>
      <c r="AF188" s="70"/>
      <c r="AG188" s="70">
        <v>1</v>
      </c>
      <c r="AH188" s="70"/>
      <c r="AI188" s="70"/>
      <c r="AJ188" s="70"/>
      <c r="AK188" s="70"/>
      <c r="AL188" s="70"/>
      <c r="AM188" s="70"/>
      <c r="AN188" s="70"/>
      <c r="AO188" s="70"/>
      <c r="AP188" s="70"/>
      <c r="AQ188" s="70"/>
      <c r="AR188" s="70"/>
      <c r="AS188" s="70"/>
      <c r="AT188" s="70"/>
      <c r="AU188" s="70"/>
      <c r="AV188" s="70"/>
      <c r="AW188" s="70"/>
      <c r="AX188" s="66"/>
      <c r="AZ188" t="s">
        <v>2047</v>
      </c>
    </row>
    <row r="189" spans="1:52" ht="18.75" customHeight="1">
      <c r="A189" s="61">
        <v>172</v>
      </c>
      <c r="B189" s="62" t="s">
        <v>88</v>
      </c>
      <c r="C189" s="63"/>
      <c r="D189" s="63" t="s">
        <v>2048</v>
      </c>
      <c r="E189" s="63" t="s">
        <v>2049</v>
      </c>
      <c r="F189" s="64"/>
      <c r="G189" s="65"/>
      <c r="H189" s="63" t="s">
        <v>2048</v>
      </c>
      <c r="I189" s="63" t="s">
        <v>1518</v>
      </c>
      <c r="J189" s="66"/>
      <c r="K189" s="67">
        <v>0</v>
      </c>
      <c r="L189" s="68"/>
      <c r="M189" s="63" t="s">
        <v>1485</v>
      </c>
      <c r="N189" s="63" t="s">
        <v>2044</v>
      </c>
      <c r="O189" s="69">
        <f t="shared" si="2"/>
        <v>2</v>
      </c>
      <c r="P189" s="70"/>
      <c r="Q189" s="70"/>
      <c r="R189" s="70"/>
      <c r="S189" s="70"/>
      <c r="T189" s="70"/>
      <c r="U189" s="70"/>
      <c r="V189" s="70"/>
      <c r="W189" s="70">
        <v>1</v>
      </c>
      <c r="X189" s="70"/>
      <c r="Y189" s="70"/>
      <c r="Z189" s="70"/>
      <c r="AA189" s="70"/>
      <c r="AB189" s="70"/>
      <c r="AC189" s="70"/>
      <c r="AD189" s="70"/>
      <c r="AE189" s="70"/>
      <c r="AF189" s="70"/>
      <c r="AG189" s="70">
        <v>1</v>
      </c>
      <c r="AH189" s="70"/>
      <c r="AI189" s="70"/>
      <c r="AJ189" s="70"/>
      <c r="AK189" s="70"/>
      <c r="AL189" s="70"/>
      <c r="AM189" s="70"/>
      <c r="AN189" s="70"/>
      <c r="AO189" s="70"/>
      <c r="AP189" s="70"/>
      <c r="AQ189" s="70"/>
      <c r="AR189" s="70"/>
      <c r="AS189" s="70"/>
      <c r="AT189" s="70"/>
      <c r="AU189" s="70"/>
      <c r="AV189" s="70"/>
      <c r="AW189" s="70"/>
      <c r="AX189" s="66"/>
      <c r="AZ189" t="s">
        <v>2050</v>
      </c>
    </row>
    <row r="190" spans="1:52" ht="18.75" customHeight="1">
      <c r="A190" s="61">
        <v>173</v>
      </c>
      <c r="B190" s="62" t="s">
        <v>88</v>
      </c>
      <c r="C190" s="63"/>
      <c r="D190" s="63" t="s">
        <v>2051</v>
      </c>
      <c r="E190" s="63" t="s">
        <v>2052</v>
      </c>
      <c r="F190" s="64"/>
      <c r="G190" s="65"/>
      <c r="H190" s="63" t="s">
        <v>2051</v>
      </c>
      <c r="I190" s="63" t="s">
        <v>1518</v>
      </c>
      <c r="J190" s="66"/>
      <c r="K190" s="67">
        <v>0</v>
      </c>
      <c r="L190" s="68"/>
      <c r="M190" s="63" t="s">
        <v>1485</v>
      </c>
      <c r="N190" s="63" t="s">
        <v>2044</v>
      </c>
      <c r="O190" s="69">
        <f t="shared" si="2"/>
        <v>2</v>
      </c>
      <c r="P190" s="70"/>
      <c r="Q190" s="70"/>
      <c r="R190" s="70"/>
      <c r="S190" s="70"/>
      <c r="T190" s="70"/>
      <c r="U190" s="70"/>
      <c r="V190" s="70"/>
      <c r="W190" s="70">
        <v>1</v>
      </c>
      <c r="X190" s="70"/>
      <c r="Y190" s="70"/>
      <c r="Z190" s="70"/>
      <c r="AA190" s="70"/>
      <c r="AB190" s="70"/>
      <c r="AC190" s="70"/>
      <c r="AD190" s="70"/>
      <c r="AE190" s="70"/>
      <c r="AF190" s="70"/>
      <c r="AG190" s="70">
        <v>1</v>
      </c>
      <c r="AH190" s="70"/>
      <c r="AI190" s="70"/>
      <c r="AJ190" s="70"/>
      <c r="AK190" s="70"/>
      <c r="AL190" s="70"/>
      <c r="AM190" s="70"/>
      <c r="AN190" s="70"/>
      <c r="AO190" s="70"/>
      <c r="AP190" s="70"/>
      <c r="AQ190" s="70"/>
      <c r="AR190" s="70"/>
      <c r="AS190" s="70"/>
      <c r="AT190" s="70"/>
      <c r="AU190" s="70"/>
      <c r="AV190" s="70"/>
      <c r="AW190" s="70"/>
      <c r="AX190" s="66"/>
      <c r="AZ190" t="s">
        <v>2053</v>
      </c>
    </row>
    <row r="191" spans="1:52" ht="18.75" customHeight="1">
      <c r="A191" s="61">
        <v>174</v>
      </c>
      <c r="B191" s="62" t="s">
        <v>88</v>
      </c>
      <c r="C191" s="63"/>
      <c r="D191" s="63" t="s">
        <v>2054</v>
      </c>
      <c r="E191" s="63" t="s">
        <v>2055</v>
      </c>
      <c r="F191" s="64"/>
      <c r="G191" s="65"/>
      <c r="H191" s="63" t="s">
        <v>2054</v>
      </c>
      <c r="I191" s="63" t="s">
        <v>1518</v>
      </c>
      <c r="J191" s="66"/>
      <c r="K191" s="67">
        <v>0</v>
      </c>
      <c r="L191" s="68"/>
      <c r="M191" s="63" t="s">
        <v>1485</v>
      </c>
      <c r="N191" s="63" t="s">
        <v>2044</v>
      </c>
      <c r="O191" s="69">
        <f t="shared" si="2"/>
        <v>2</v>
      </c>
      <c r="P191" s="70"/>
      <c r="Q191" s="70"/>
      <c r="R191" s="70"/>
      <c r="S191" s="70"/>
      <c r="T191" s="70"/>
      <c r="U191" s="70"/>
      <c r="V191" s="70"/>
      <c r="W191" s="70">
        <v>1</v>
      </c>
      <c r="X191" s="70"/>
      <c r="Y191" s="70"/>
      <c r="Z191" s="70"/>
      <c r="AA191" s="70"/>
      <c r="AB191" s="70"/>
      <c r="AC191" s="70"/>
      <c r="AD191" s="70"/>
      <c r="AE191" s="70"/>
      <c r="AF191" s="70"/>
      <c r="AG191" s="70">
        <v>1</v>
      </c>
      <c r="AH191" s="70"/>
      <c r="AI191" s="70"/>
      <c r="AJ191" s="70"/>
      <c r="AK191" s="70"/>
      <c r="AL191" s="70"/>
      <c r="AM191" s="70"/>
      <c r="AN191" s="70"/>
      <c r="AO191" s="70"/>
      <c r="AP191" s="70"/>
      <c r="AQ191" s="70"/>
      <c r="AR191" s="70"/>
      <c r="AS191" s="70"/>
      <c r="AT191" s="70"/>
      <c r="AU191" s="70"/>
      <c r="AV191" s="70"/>
      <c r="AW191" s="70"/>
      <c r="AX191" s="66"/>
      <c r="AZ191" t="s">
        <v>2056</v>
      </c>
    </row>
    <row r="192" spans="1:52" ht="18.75" customHeight="1">
      <c r="A192" s="61">
        <v>175</v>
      </c>
      <c r="B192" s="62" t="s">
        <v>88</v>
      </c>
      <c r="C192" s="63"/>
      <c r="D192" s="63" t="s">
        <v>2057</v>
      </c>
      <c r="E192" s="63" t="s">
        <v>2058</v>
      </c>
      <c r="F192" s="64"/>
      <c r="G192" s="65"/>
      <c r="H192" s="63" t="s">
        <v>2057</v>
      </c>
      <c r="I192" s="63" t="s">
        <v>1518</v>
      </c>
      <c r="J192" s="66"/>
      <c r="K192" s="67">
        <v>0</v>
      </c>
      <c r="L192" s="68"/>
      <c r="M192" s="63" t="s">
        <v>1485</v>
      </c>
      <c r="N192" s="63" t="s">
        <v>2044</v>
      </c>
      <c r="O192" s="69">
        <f t="shared" si="2"/>
        <v>2</v>
      </c>
      <c r="P192" s="70"/>
      <c r="Q192" s="70"/>
      <c r="R192" s="70"/>
      <c r="S192" s="70"/>
      <c r="T192" s="70"/>
      <c r="U192" s="70"/>
      <c r="V192" s="70"/>
      <c r="W192" s="70">
        <v>1</v>
      </c>
      <c r="X192" s="70"/>
      <c r="Y192" s="70"/>
      <c r="Z192" s="70"/>
      <c r="AA192" s="70"/>
      <c r="AB192" s="70"/>
      <c r="AC192" s="70"/>
      <c r="AD192" s="70"/>
      <c r="AE192" s="70"/>
      <c r="AF192" s="70"/>
      <c r="AG192" s="70">
        <v>1</v>
      </c>
      <c r="AH192" s="70"/>
      <c r="AI192" s="70"/>
      <c r="AJ192" s="70"/>
      <c r="AK192" s="70"/>
      <c r="AL192" s="70"/>
      <c r="AM192" s="70"/>
      <c r="AN192" s="70"/>
      <c r="AO192" s="70"/>
      <c r="AP192" s="70"/>
      <c r="AQ192" s="70"/>
      <c r="AR192" s="70"/>
      <c r="AS192" s="70"/>
      <c r="AT192" s="70"/>
      <c r="AU192" s="70"/>
      <c r="AV192" s="70"/>
      <c r="AW192" s="70"/>
      <c r="AX192" s="66"/>
      <c r="AZ192" t="s">
        <v>2059</v>
      </c>
    </row>
    <row r="193" spans="1:52" ht="18.75" customHeight="1">
      <c r="A193" s="61">
        <v>176</v>
      </c>
      <c r="B193" s="62" t="s">
        <v>88</v>
      </c>
      <c r="C193" s="63"/>
      <c r="D193" s="63" t="s">
        <v>2060</v>
      </c>
      <c r="E193" s="63" t="s">
        <v>2061</v>
      </c>
      <c r="F193" s="64"/>
      <c r="G193" s="65"/>
      <c r="H193" s="63" t="s">
        <v>2060</v>
      </c>
      <c r="I193" s="63" t="s">
        <v>1518</v>
      </c>
      <c r="J193" s="66"/>
      <c r="K193" s="67">
        <v>0</v>
      </c>
      <c r="L193" s="68"/>
      <c r="M193" s="63" t="s">
        <v>1485</v>
      </c>
      <c r="N193" s="63" t="s">
        <v>2044</v>
      </c>
      <c r="O193" s="69">
        <f t="shared" si="2"/>
        <v>2</v>
      </c>
      <c r="P193" s="70"/>
      <c r="Q193" s="70"/>
      <c r="R193" s="70"/>
      <c r="S193" s="70"/>
      <c r="T193" s="70"/>
      <c r="U193" s="70"/>
      <c r="V193" s="70"/>
      <c r="W193" s="70">
        <v>1</v>
      </c>
      <c r="X193" s="70"/>
      <c r="Y193" s="70"/>
      <c r="Z193" s="70"/>
      <c r="AA193" s="70"/>
      <c r="AB193" s="70"/>
      <c r="AC193" s="70"/>
      <c r="AD193" s="70"/>
      <c r="AE193" s="70"/>
      <c r="AF193" s="70"/>
      <c r="AG193" s="70">
        <v>1</v>
      </c>
      <c r="AH193" s="70"/>
      <c r="AI193" s="70"/>
      <c r="AJ193" s="70"/>
      <c r="AK193" s="70"/>
      <c r="AL193" s="70"/>
      <c r="AM193" s="70"/>
      <c r="AN193" s="70"/>
      <c r="AO193" s="70"/>
      <c r="AP193" s="70"/>
      <c r="AQ193" s="70"/>
      <c r="AR193" s="70"/>
      <c r="AS193" s="70"/>
      <c r="AT193" s="70"/>
      <c r="AU193" s="70"/>
      <c r="AV193" s="70"/>
      <c r="AW193" s="70"/>
      <c r="AX193" s="66"/>
      <c r="AZ193" t="s">
        <v>2062</v>
      </c>
    </row>
    <row r="194" spans="1:52" ht="18.75" customHeight="1">
      <c r="A194" s="61">
        <v>177</v>
      </c>
      <c r="B194" s="62" t="s">
        <v>88</v>
      </c>
      <c r="C194" s="63"/>
      <c r="D194" s="63" t="s">
        <v>2063</v>
      </c>
      <c r="E194" s="63" t="s">
        <v>2064</v>
      </c>
      <c r="F194" s="64"/>
      <c r="G194" s="65"/>
      <c r="H194" s="63" t="s">
        <v>2063</v>
      </c>
      <c r="I194" s="63" t="s">
        <v>1518</v>
      </c>
      <c r="J194" s="66"/>
      <c r="K194" s="67">
        <v>0</v>
      </c>
      <c r="L194" s="68"/>
      <c r="M194" s="63" t="s">
        <v>1485</v>
      </c>
      <c r="N194" s="63" t="s">
        <v>2044</v>
      </c>
      <c r="O194" s="69">
        <f t="shared" si="2"/>
        <v>6</v>
      </c>
      <c r="P194" s="70"/>
      <c r="Q194" s="70"/>
      <c r="R194" s="70"/>
      <c r="S194" s="70"/>
      <c r="T194" s="70"/>
      <c r="U194" s="70"/>
      <c r="V194" s="70"/>
      <c r="W194" s="70">
        <v>3</v>
      </c>
      <c r="X194" s="70"/>
      <c r="Y194" s="70"/>
      <c r="Z194" s="70"/>
      <c r="AA194" s="70"/>
      <c r="AB194" s="70"/>
      <c r="AC194" s="70"/>
      <c r="AD194" s="70"/>
      <c r="AE194" s="70"/>
      <c r="AF194" s="70"/>
      <c r="AG194" s="70">
        <v>3</v>
      </c>
      <c r="AH194" s="70"/>
      <c r="AI194" s="70"/>
      <c r="AJ194" s="70"/>
      <c r="AK194" s="70"/>
      <c r="AL194" s="70"/>
      <c r="AM194" s="70"/>
      <c r="AN194" s="70"/>
      <c r="AO194" s="70"/>
      <c r="AP194" s="70"/>
      <c r="AQ194" s="70"/>
      <c r="AR194" s="70"/>
      <c r="AS194" s="70"/>
      <c r="AT194" s="70"/>
      <c r="AU194" s="70"/>
      <c r="AV194" s="70"/>
      <c r="AW194" s="70"/>
      <c r="AX194" s="66"/>
      <c r="AZ194" t="s">
        <v>2065</v>
      </c>
    </row>
    <row r="195" spans="1:52" ht="18.75" customHeight="1">
      <c r="A195" s="61"/>
      <c r="B195" s="62"/>
      <c r="C195" s="63"/>
      <c r="D195" s="63" t="s">
        <v>2066</v>
      </c>
      <c r="E195" s="63" t="s">
        <v>2067</v>
      </c>
      <c r="F195" s="64"/>
      <c r="G195" s="65"/>
      <c r="H195" s="63" t="s">
        <v>2066</v>
      </c>
      <c r="I195" s="63" t="s">
        <v>1518</v>
      </c>
      <c r="J195" s="66"/>
      <c r="K195" s="67">
        <v>0</v>
      </c>
      <c r="L195" s="68"/>
      <c r="M195" s="63" t="s">
        <v>1485</v>
      </c>
      <c r="N195" s="63" t="s">
        <v>2044</v>
      </c>
      <c r="O195" s="69">
        <f t="shared" si="2"/>
        <v>1</v>
      </c>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v>1</v>
      </c>
      <c r="AQ195" s="70"/>
      <c r="AR195" s="70"/>
      <c r="AS195" s="70"/>
      <c r="AT195" s="70"/>
      <c r="AU195" s="70"/>
      <c r="AV195" s="106"/>
      <c r="AW195" s="70"/>
      <c r="AX195" s="66"/>
    </row>
    <row r="196" spans="1:52" ht="18.75" customHeight="1">
      <c r="A196" s="71">
        <v>178</v>
      </c>
      <c r="B196" s="72" t="s">
        <v>88</v>
      </c>
      <c r="C196" s="73"/>
      <c r="D196" s="74" t="s">
        <v>2068</v>
      </c>
      <c r="E196" s="74" t="s">
        <v>2069</v>
      </c>
      <c r="F196" s="75"/>
      <c r="G196" s="76"/>
      <c r="H196" s="76"/>
      <c r="I196" s="76"/>
      <c r="J196" s="76"/>
      <c r="K196" s="77">
        <v>0</v>
      </c>
      <c r="L196" s="71"/>
      <c r="M196" s="76" t="s">
        <v>1485</v>
      </c>
      <c r="N196" s="76"/>
      <c r="O196" s="78">
        <f t="shared" si="2"/>
        <v>0</v>
      </c>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6"/>
    </row>
    <row r="197" spans="1:52" ht="18.75" customHeight="1">
      <c r="A197" s="4">
        <v>179</v>
      </c>
      <c r="B197" s="11" t="s">
        <v>88</v>
      </c>
      <c r="C197" s="12"/>
      <c r="D197" s="12" t="s">
        <v>2070</v>
      </c>
      <c r="E197" s="12" t="s">
        <v>2071</v>
      </c>
      <c r="F197" s="18" t="s">
        <v>2072</v>
      </c>
      <c r="G197" s="34" t="s">
        <v>552</v>
      </c>
      <c r="H197" s="12" t="s">
        <v>2070</v>
      </c>
      <c r="I197" s="12" t="s">
        <v>2073</v>
      </c>
      <c r="J197" s="14"/>
      <c r="K197" s="27">
        <v>0</v>
      </c>
      <c r="L197" s="10"/>
      <c r="M197" s="12" t="s">
        <v>1485</v>
      </c>
      <c r="N197" s="12" t="s">
        <v>1486</v>
      </c>
      <c r="O197" s="8">
        <f t="shared" si="2"/>
        <v>0</v>
      </c>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2"/>
    </row>
    <row r="198" spans="1:52" ht="30.75" customHeight="1">
      <c r="A198" s="4">
        <v>180</v>
      </c>
      <c r="B198" s="11" t="s">
        <v>88</v>
      </c>
      <c r="C198" s="12"/>
      <c r="D198" s="12" t="s">
        <v>2074</v>
      </c>
      <c r="E198" s="12" t="s">
        <v>2075</v>
      </c>
      <c r="F198" s="18" t="s">
        <v>2076</v>
      </c>
      <c r="G198" s="34" t="s">
        <v>552</v>
      </c>
      <c r="H198" s="12" t="s">
        <v>2074</v>
      </c>
      <c r="I198" s="12" t="s">
        <v>2077</v>
      </c>
      <c r="J198" s="14"/>
      <c r="K198" s="27">
        <v>0</v>
      </c>
      <c r="L198" s="10"/>
      <c r="M198" s="12" t="s">
        <v>1485</v>
      </c>
      <c r="N198" s="12" t="s">
        <v>1486</v>
      </c>
      <c r="O198" s="8">
        <f t="shared" si="2"/>
        <v>0</v>
      </c>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2"/>
    </row>
    <row r="199" spans="1:52" ht="30.75" customHeight="1">
      <c r="A199" s="4">
        <v>181</v>
      </c>
      <c r="B199" s="11" t="s">
        <v>88</v>
      </c>
      <c r="C199" s="12"/>
      <c r="D199" s="12" t="s">
        <v>2078</v>
      </c>
      <c r="E199" s="12" t="s">
        <v>2079</v>
      </c>
      <c r="F199" s="18" t="s">
        <v>2080</v>
      </c>
      <c r="G199" s="34" t="s">
        <v>552</v>
      </c>
      <c r="H199" s="12" t="s">
        <v>2078</v>
      </c>
      <c r="I199" s="12" t="s">
        <v>2073</v>
      </c>
      <c r="J199" s="14"/>
      <c r="K199" s="27">
        <v>0</v>
      </c>
      <c r="L199" s="10"/>
      <c r="M199" s="12" t="s">
        <v>1485</v>
      </c>
      <c r="N199" s="12" t="s">
        <v>1486</v>
      </c>
      <c r="O199" s="8">
        <f t="shared" si="2"/>
        <v>0</v>
      </c>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2"/>
    </row>
    <row r="200" spans="1:52" ht="18.75" customHeight="1">
      <c r="A200" s="4">
        <v>182</v>
      </c>
      <c r="B200" s="11" t="s">
        <v>88</v>
      </c>
      <c r="C200" s="12"/>
      <c r="D200" s="12" t="s">
        <v>2081</v>
      </c>
      <c r="E200" s="12" t="s">
        <v>2082</v>
      </c>
      <c r="F200" s="18" t="s">
        <v>2083</v>
      </c>
      <c r="G200" s="34" t="s">
        <v>552</v>
      </c>
      <c r="H200" s="12" t="s">
        <v>2081</v>
      </c>
      <c r="I200" s="12" t="s">
        <v>2084</v>
      </c>
      <c r="J200" s="12" t="s">
        <v>2085</v>
      </c>
      <c r="K200" s="27">
        <v>0</v>
      </c>
      <c r="L200" s="30" t="s">
        <v>552</v>
      </c>
      <c r="M200" s="12" t="s">
        <v>1485</v>
      </c>
      <c r="N200" s="12" t="s">
        <v>1486</v>
      </c>
      <c r="O200" s="8">
        <f t="shared" si="2"/>
        <v>0</v>
      </c>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4"/>
    </row>
    <row r="201" spans="1:52" ht="18.75" customHeight="1">
      <c r="A201" s="4">
        <v>183</v>
      </c>
      <c r="B201" s="11" t="s">
        <v>88</v>
      </c>
      <c r="C201" s="12"/>
      <c r="D201" s="12" t="s">
        <v>2086</v>
      </c>
      <c r="E201" s="12" t="s">
        <v>2087</v>
      </c>
      <c r="F201" s="18" t="s">
        <v>2088</v>
      </c>
      <c r="G201" s="34" t="s">
        <v>552</v>
      </c>
      <c r="H201" s="12" t="s">
        <v>2086</v>
      </c>
      <c r="I201" s="12" t="s">
        <v>2084</v>
      </c>
      <c r="J201" s="12" t="s">
        <v>2089</v>
      </c>
      <c r="K201" s="27">
        <v>0</v>
      </c>
      <c r="L201" s="30" t="s">
        <v>552</v>
      </c>
      <c r="M201" s="12" t="s">
        <v>1485</v>
      </c>
      <c r="N201" s="12" t="s">
        <v>1486</v>
      </c>
      <c r="O201" s="8">
        <f t="shared" si="2"/>
        <v>0</v>
      </c>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4"/>
    </row>
    <row r="202" spans="1:52" ht="18.75" customHeight="1">
      <c r="A202" s="4">
        <v>184</v>
      </c>
      <c r="B202" s="11" t="s">
        <v>88</v>
      </c>
      <c r="C202" s="12"/>
      <c r="D202" s="12" t="s">
        <v>2090</v>
      </c>
      <c r="E202" s="12" t="s">
        <v>2091</v>
      </c>
      <c r="F202" s="18" t="s">
        <v>2092</v>
      </c>
      <c r="G202" s="34" t="s">
        <v>552</v>
      </c>
      <c r="H202" s="12" t="s">
        <v>2090</v>
      </c>
      <c r="I202" s="12" t="s">
        <v>2093</v>
      </c>
      <c r="J202" s="14"/>
      <c r="K202" s="27">
        <v>0</v>
      </c>
      <c r="L202" s="10"/>
      <c r="M202" s="12" t="s">
        <v>1485</v>
      </c>
      <c r="N202" s="12" t="s">
        <v>1486</v>
      </c>
      <c r="O202" s="8">
        <f t="shared" ref="O202:O265" si="3">SUM(P202:AW202)</f>
        <v>0</v>
      </c>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2"/>
    </row>
    <row r="203" spans="1:52" ht="18.75" customHeight="1">
      <c r="A203" s="4">
        <v>185</v>
      </c>
      <c r="B203" s="11" t="s">
        <v>88</v>
      </c>
      <c r="C203" s="12"/>
      <c r="D203" s="12" t="s">
        <v>2094</v>
      </c>
      <c r="E203" s="12" t="s">
        <v>2091</v>
      </c>
      <c r="F203" s="18" t="s">
        <v>2095</v>
      </c>
      <c r="G203" s="34" t="s">
        <v>552</v>
      </c>
      <c r="H203" s="12" t="s">
        <v>2094</v>
      </c>
      <c r="I203" s="12" t="s">
        <v>2093</v>
      </c>
      <c r="J203" s="14"/>
      <c r="K203" s="27">
        <v>0</v>
      </c>
      <c r="L203" s="10"/>
      <c r="M203" s="12" t="s">
        <v>1485</v>
      </c>
      <c r="N203" s="12" t="s">
        <v>1486</v>
      </c>
      <c r="O203" s="8">
        <f t="shared" si="3"/>
        <v>0</v>
      </c>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2"/>
    </row>
    <row r="204" spans="1:52" ht="18.75" customHeight="1">
      <c r="A204" s="4">
        <v>186</v>
      </c>
      <c r="B204" s="11" t="s">
        <v>88</v>
      </c>
      <c r="C204" s="12"/>
      <c r="D204" s="12" t="s">
        <v>2096</v>
      </c>
      <c r="E204" s="12" t="s">
        <v>2091</v>
      </c>
      <c r="F204" s="18" t="s">
        <v>2097</v>
      </c>
      <c r="G204" s="34" t="s">
        <v>552</v>
      </c>
      <c r="H204" s="12" t="s">
        <v>2096</v>
      </c>
      <c r="I204" s="12" t="s">
        <v>2093</v>
      </c>
      <c r="J204" s="14"/>
      <c r="K204" s="27">
        <v>0</v>
      </c>
      <c r="L204" s="10"/>
      <c r="M204" s="12" t="s">
        <v>1485</v>
      </c>
      <c r="N204" s="12" t="s">
        <v>1486</v>
      </c>
      <c r="O204" s="8">
        <f t="shared" si="3"/>
        <v>0</v>
      </c>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2"/>
    </row>
    <row r="205" spans="1:52" ht="18.75" customHeight="1">
      <c r="A205" s="4">
        <v>187</v>
      </c>
      <c r="B205" s="11" t="s">
        <v>88</v>
      </c>
      <c r="C205" s="12"/>
      <c r="D205" s="12" t="s">
        <v>2098</v>
      </c>
      <c r="E205" s="12" t="s">
        <v>2099</v>
      </c>
      <c r="F205" s="18" t="s">
        <v>2100</v>
      </c>
      <c r="G205" s="34" t="s">
        <v>552</v>
      </c>
      <c r="H205" s="12" t="s">
        <v>2098</v>
      </c>
      <c r="I205" s="12" t="s">
        <v>2101</v>
      </c>
      <c r="J205" s="14"/>
      <c r="K205" s="27">
        <v>0</v>
      </c>
      <c r="L205" s="10"/>
      <c r="M205" s="12" t="s">
        <v>1485</v>
      </c>
      <c r="N205" s="12" t="s">
        <v>109</v>
      </c>
      <c r="O205" s="8">
        <f t="shared" si="3"/>
        <v>0</v>
      </c>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2"/>
    </row>
    <row r="206" spans="1:52" ht="30.75" customHeight="1">
      <c r="A206" s="4">
        <v>188</v>
      </c>
      <c r="B206" s="11" t="s">
        <v>88</v>
      </c>
      <c r="C206" s="12"/>
      <c r="D206" s="12" t="s">
        <v>2102</v>
      </c>
      <c r="E206" s="12" t="s">
        <v>2099</v>
      </c>
      <c r="F206" s="18" t="s">
        <v>2103</v>
      </c>
      <c r="G206" s="34" t="s">
        <v>552</v>
      </c>
      <c r="H206" s="12" t="s">
        <v>2102</v>
      </c>
      <c r="I206" s="12" t="s">
        <v>2104</v>
      </c>
      <c r="J206" s="14"/>
      <c r="K206" s="27">
        <v>0</v>
      </c>
      <c r="L206" s="10"/>
      <c r="M206" s="12" t="s">
        <v>1485</v>
      </c>
      <c r="N206" s="12" t="s">
        <v>1486</v>
      </c>
      <c r="O206" s="8">
        <f t="shared" si="3"/>
        <v>0</v>
      </c>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2"/>
    </row>
    <row r="207" spans="1:52" ht="18.75" customHeight="1">
      <c r="A207" s="4">
        <v>189</v>
      </c>
      <c r="B207" s="11" t="s">
        <v>88</v>
      </c>
      <c r="C207" s="12"/>
      <c r="D207" s="12" t="s">
        <v>2105</v>
      </c>
      <c r="E207" s="12" t="s">
        <v>2106</v>
      </c>
      <c r="F207" s="18" t="s">
        <v>2107</v>
      </c>
      <c r="G207" s="34" t="s">
        <v>552</v>
      </c>
      <c r="H207" s="12" t="s">
        <v>2105</v>
      </c>
      <c r="I207" s="12" t="s">
        <v>2093</v>
      </c>
      <c r="J207" s="14"/>
      <c r="K207" s="27">
        <v>0</v>
      </c>
      <c r="L207" s="10"/>
      <c r="M207" s="12" t="s">
        <v>1485</v>
      </c>
      <c r="N207" s="12" t="s">
        <v>1486</v>
      </c>
      <c r="O207" s="8">
        <f t="shared" si="3"/>
        <v>0</v>
      </c>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2"/>
    </row>
    <row r="208" spans="1:52" ht="42.75" customHeight="1">
      <c r="A208" s="4">
        <v>190</v>
      </c>
      <c r="B208" s="11" t="s">
        <v>88</v>
      </c>
      <c r="C208" s="12"/>
      <c r="D208" s="12" t="s">
        <v>2108</v>
      </c>
      <c r="E208" s="12" t="s">
        <v>2106</v>
      </c>
      <c r="F208" s="18" t="s">
        <v>2109</v>
      </c>
      <c r="G208" s="34" t="s">
        <v>552</v>
      </c>
      <c r="H208" s="12" t="s">
        <v>2108</v>
      </c>
      <c r="I208" s="12" t="s">
        <v>2110</v>
      </c>
      <c r="J208" s="14"/>
      <c r="K208" s="27">
        <v>0</v>
      </c>
      <c r="L208" s="10"/>
      <c r="M208" s="12" t="s">
        <v>1485</v>
      </c>
      <c r="N208" s="12" t="s">
        <v>1486</v>
      </c>
      <c r="O208" s="8">
        <f t="shared" si="3"/>
        <v>0</v>
      </c>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2"/>
    </row>
    <row r="209" spans="1:52" ht="30.75" customHeight="1">
      <c r="A209" s="4">
        <v>191</v>
      </c>
      <c r="B209" s="11" t="s">
        <v>88</v>
      </c>
      <c r="C209" s="12"/>
      <c r="D209" s="12" t="s">
        <v>2111</v>
      </c>
      <c r="E209" s="12" t="s">
        <v>2106</v>
      </c>
      <c r="F209" s="18" t="s">
        <v>1524</v>
      </c>
      <c r="G209" s="34" t="s">
        <v>552</v>
      </c>
      <c r="H209" s="12" t="s">
        <v>2111</v>
      </c>
      <c r="I209" s="12" t="s">
        <v>1518</v>
      </c>
      <c r="J209" s="14"/>
      <c r="K209" s="27">
        <v>0</v>
      </c>
      <c r="L209" s="10"/>
      <c r="M209" s="12" t="s">
        <v>1485</v>
      </c>
      <c r="N209" s="12" t="s">
        <v>1486</v>
      </c>
      <c r="O209" s="8">
        <f t="shared" si="3"/>
        <v>0</v>
      </c>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2"/>
    </row>
    <row r="210" spans="1:52" ht="18.75" customHeight="1">
      <c r="A210" s="4">
        <v>192</v>
      </c>
      <c r="B210" s="11" t="s">
        <v>88</v>
      </c>
      <c r="C210" s="12"/>
      <c r="D210" s="12" t="s">
        <v>2112</v>
      </c>
      <c r="E210" s="12" t="s">
        <v>2113</v>
      </c>
      <c r="F210" s="18" t="s">
        <v>2114</v>
      </c>
      <c r="G210" s="34" t="s">
        <v>552</v>
      </c>
      <c r="H210" s="12" t="s">
        <v>2112</v>
      </c>
      <c r="I210" s="12" t="s">
        <v>2084</v>
      </c>
      <c r="J210" s="12" t="s">
        <v>2115</v>
      </c>
      <c r="K210" s="27">
        <v>0</v>
      </c>
      <c r="L210" s="30" t="s">
        <v>552</v>
      </c>
      <c r="M210" s="12" t="s">
        <v>1485</v>
      </c>
      <c r="N210" s="12" t="s">
        <v>1486</v>
      </c>
      <c r="O210" s="8">
        <f t="shared" si="3"/>
        <v>0</v>
      </c>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4"/>
    </row>
    <row r="211" spans="1:52" ht="18.75" customHeight="1">
      <c r="A211" s="4">
        <v>193</v>
      </c>
      <c r="B211" s="11" t="s">
        <v>88</v>
      </c>
      <c r="C211" s="12"/>
      <c r="D211" s="12" t="s">
        <v>2116</v>
      </c>
      <c r="E211" s="12" t="s">
        <v>2117</v>
      </c>
      <c r="F211" s="18" t="s">
        <v>2118</v>
      </c>
      <c r="G211" s="34" t="s">
        <v>552</v>
      </c>
      <c r="H211" s="12" t="s">
        <v>2116</v>
      </c>
      <c r="I211" s="12" t="s">
        <v>2084</v>
      </c>
      <c r="J211" s="12" t="s">
        <v>2115</v>
      </c>
      <c r="K211" s="27">
        <v>0</v>
      </c>
      <c r="L211" s="30" t="s">
        <v>552</v>
      </c>
      <c r="M211" s="12" t="s">
        <v>1485</v>
      </c>
      <c r="N211" s="12" t="s">
        <v>1486</v>
      </c>
      <c r="O211" s="8">
        <f t="shared" si="3"/>
        <v>0</v>
      </c>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4"/>
    </row>
    <row r="212" spans="1:52" ht="18.75" customHeight="1">
      <c r="A212" s="4">
        <v>194</v>
      </c>
      <c r="B212" s="11" t="s">
        <v>88</v>
      </c>
      <c r="C212" s="12"/>
      <c r="D212" s="12" t="s">
        <v>2119</v>
      </c>
      <c r="E212" s="12" t="s">
        <v>2120</v>
      </c>
      <c r="F212" s="18" t="s">
        <v>2121</v>
      </c>
      <c r="G212" s="34" t="s">
        <v>552</v>
      </c>
      <c r="H212" s="12" t="s">
        <v>2119</v>
      </c>
      <c r="I212" s="12" t="s">
        <v>2122</v>
      </c>
      <c r="J212" s="14"/>
      <c r="K212" s="27">
        <v>0</v>
      </c>
      <c r="L212" s="10"/>
      <c r="M212" s="12" t="s">
        <v>1485</v>
      </c>
      <c r="N212" s="12" t="s">
        <v>1486</v>
      </c>
      <c r="O212" s="8">
        <f t="shared" si="3"/>
        <v>0</v>
      </c>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4"/>
    </row>
    <row r="213" spans="1:52" ht="18.75" customHeight="1">
      <c r="A213" s="4">
        <v>195</v>
      </c>
      <c r="B213" s="11" t="s">
        <v>88</v>
      </c>
      <c r="C213" s="12"/>
      <c r="D213" s="12" t="s">
        <v>2123</v>
      </c>
      <c r="E213" s="12" t="s">
        <v>2124</v>
      </c>
      <c r="F213" s="18" t="s">
        <v>2125</v>
      </c>
      <c r="G213" s="34" t="s">
        <v>552</v>
      </c>
      <c r="H213" s="12" t="s">
        <v>2123</v>
      </c>
      <c r="I213" s="12" t="s">
        <v>1518</v>
      </c>
      <c r="J213" s="14"/>
      <c r="K213" s="27">
        <v>0</v>
      </c>
      <c r="L213" s="10"/>
      <c r="M213" s="12" t="s">
        <v>1485</v>
      </c>
      <c r="N213" s="12" t="s">
        <v>1486</v>
      </c>
      <c r="O213" s="8">
        <f t="shared" si="3"/>
        <v>0</v>
      </c>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4"/>
    </row>
    <row r="214" spans="1:52" ht="18.75" customHeight="1">
      <c r="A214" s="4">
        <v>196</v>
      </c>
      <c r="B214" s="5" t="s">
        <v>88</v>
      </c>
      <c r="C214" s="6"/>
      <c r="D214" s="36" t="s">
        <v>2126</v>
      </c>
      <c r="E214" s="36" t="s">
        <v>2127</v>
      </c>
      <c r="F214" s="7"/>
      <c r="G214" s="9"/>
      <c r="H214" s="9"/>
      <c r="I214" s="9"/>
      <c r="J214" s="9"/>
      <c r="K214" s="20">
        <v>0</v>
      </c>
      <c r="L214" s="4"/>
      <c r="M214" s="9" t="s">
        <v>1485</v>
      </c>
      <c r="N214" s="9"/>
      <c r="O214" s="8">
        <f t="shared" si="3"/>
        <v>0</v>
      </c>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9"/>
    </row>
    <row r="215" spans="1:52" ht="99.75" customHeight="1">
      <c r="A215" s="4">
        <v>197</v>
      </c>
      <c r="B215" s="11" t="s">
        <v>88</v>
      </c>
      <c r="C215" s="12"/>
      <c r="D215" s="12" t="s">
        <v>2128</v>
      </c>
      <c r="E215" s="82" t="s">
        <v>2129</v>
      </c>
      <c r="F215" s="109" t="s">
        <v>2130</v>
      </c>
      <c r="G215" s="34" t="s">
        <v>552</v>
      </c>
      <c r="H215" s="12" t="s">
        <v>2128</v>
      </c>
      <c r="I215" s="12" t="s">
        <v>2131</v>
      </c>
      <c r="J215" s="14"/>
      <c r="K215" s="27">
        <v>0</v>
      </c>
      <c r="L215" s="10"/>
      <c r="M215" s="12" t="s">
        <v>1485</v>
      </c>
      <c r="N215" s="12" t="s">
        <v>1486</v>
      </c>
      <c r="O215" s="8">
        <f t="shared" si="3"/>
        <v>6</v>
      </c>
      <c r="P215" s="17"/>
      <c r="Q215" s="17"/>
      <c r="R215" s="17"/>
      <c r="S215" s="17"/>
      <c r="T215" s="17"/>
      <c r="U215" s="17"/>
      <c r="V215" s="17"/>
      <c r="W215" s="17"/>
      <c r="X215" s="17"/>
      <c r="Y215" s="17"/>
      <c r="Z215" s="17"/>
      <c r="AA215" s="17"/>
      <c r="AB215" s="17"/>
      <c r="AC215" s="17"/>
      <c r="AD215" s="17"/>
      <c r="AE215" s="17"/>
      <c r="AF215" s="17">
        <v>1</v>
      </c>
      <c r="AG215" s="17">
        <v>1</v>
      </c>
      <c r="AH215" s="17"/>
      <c r="AI215" s="17"/>
      <c r="AJ215" s="17"/>
      <c r="AK215" s="17"/>
      <c r="AL215" s="17"/>
      <c r="AM215" s="17"/>
      <c r="AN215" s="17"/>
      <c r="AO215" s="17"/>
      <c r="AP215" s="17">
        <v>1</v>
      </c>
      <c r="AQ215" s="17">
        <v>1</v>
      </c>
      <c r="AR215" s="17"/>
      <c r="AS215" s="17">
        <v>1</v>
      </c>
      <c r="AT215" s="17">
        <v>1</v>
      </c>
      <c r="AU215" s="17"/>
      <c r="AV215" s="17"/>
      <c r="AW215" s="17"/>
      <c r="AX215" s="14"/>
    </row>
    <row r="216" spans="1:52" ht="18.75" customHeight="1">
      <c r="A216" s="4">
        <v>198</v>
      </c>
      <c r="B216" s="11" t="s">
        <v>88</v>
      </c>
      <c r="C216" s="12"/>
      <c r="D216" s="12" t="s">
        <v>2132</v>
      </c>
      <c r="E216" s="12" t="s">
        <v>2133</v>
      </c>
      <c r="F216" s="18" t="s">
        <v>1536</v>
      </c>
      <c r="G216" s="34" t="s">
        <v>552</v>
      </c>
      <c r="H216" s="12" t="s">
        <v>2132</v>
      </c>
      <c r="I216" s="12" t="s">
        <v>1537</v>
      </c>
      <c r="J216" s="14"/>
      <c r="K216" s="27">
        <v>0</v>
      </c>
      <c r="L216" s="10"/>
      <c r="M216" s="12" t="s">
        <v>1485</v>
      </c>
      <c r="N216" s="12" t="s">
        <v>1486</v>
      </c>
      <c r="O216" s="8">
        <f t="shared" si="3"/>
        <v>9</v>
      </c>
      <c r="P216" s="17"/>
      <c r="Q216" s="17"/>
      <c r="R216" s="17"/>
      <c r="S216" s="17"/>
      <c r="T216" s="17"/>
      <c r="U216" s="17"/>
      <c r="V216" s="17"/>
      <c r="W216" s="17"/>
      <c r="X216" s="17"/>
      <c r="Y216" s="17"/>
      <c r="Z216" s="17"/>
      <c r="AA216" s="17"/>
      <c r="AB216" s="17"/>
      <c r="AC216" s="17"/>
      <c r="AD216" s="17"/>
      <c r="AE216" s="17"/>
      <c r="AF216" s="17">
        <v>2</v>
      </c>
      <c r="AG216" s="17">
        <v>2</v>
      </c>
      <c r="AH216" s="17"/>
      <c r="AI216" s="17"/>
      <c r="AJ216" s="17"/>
      <c r="AK216" s="17"/>
      <c r="AL216" s="17"/>
      <c r="AM216" s="17"/>
      <c r="AN216" s="17"/>
      <c r="AO216" s="17"/>
      <c r="AP216" s="17">
        <v>1</v>
      </c>
      <c r="AQ216" s="17">
        <v>1</v>
      </c>
      <c r="AR216" s="17"/>
      <c r="AS216" s="17"/>
      <c r="AT216" s="17"/>
      <c r="AU216" s="17"/>
      <c r="AV216" s="17"/>
      <c r="AW216" s="17">
        <v>3</v>
      </c>
      <c r="AX216" s="14" t="s">
        <v>2134</v>
      </c>
    </row>
    <row r="217" spans="1:52" ht="30.4" customHeight="1">
      <c r="A217" s="4">
        <v>198</v>
      </c>
      <c r="B217" s="11" t="s">
        <v>88</v>
      </c>
      <c r="C217" s="12"/>
      <c r="D217" s="12" t="s">
        <v>2135</v>
      </c>
      <c r="E217" s="12" t="s">
        <v>2136</v>
      </c>
      <c r="F217" s="18" t="s">
        <v>2137</v>
      </c>
      <c r="G217" s="34" t="s">
        <v>552</v>
      </c>
      <c r="H217" s="12" t="s">
        <v>2132</v>
      </c>
      <c r="I217" s="12" t="s">
        <v>2131</v>
      </c>
      <c r="J217" s="14"/>
      <c r="K217" s="27">
        <v>0</v>
      </c>
      <c r="L217" s="10"/>
      <c r="M217" s="12" t="s">
        <v>1485</v>
      </c>
      <c r="N217" s="12" t="s">
        <v>1486</v>
      </c>
      <c r="O217" s="8">
        <f t="shared" si="3"/>
        <v>3</v>
      </c>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v>3</v>
      </c>
      <c r="AX217" s="14"/>
      <c r="AZ217" t="s">
        <v>2138</v>
      </c>
    </row>
    <row r="218" spans="1:52" ht="30.75" customHeight="1">
      <c r="A218" s="4">
        <v>199</v>
      </c>
      <c r="B218" s="11" t="s">
        <v>88</v>
      </c>
      <c r="C218" s="12"/>
      <c r="D218" s="12" t="s">
        <v>2139</v>
      </c>
      <c r="E218" s="12" t="s">
        <v>2140</v>
      </c>
      <c r="F218" s="18" t="s">
        <v>2141</v>
      </c>
      <c r="G218" s="34" t="s">
        <v>552</v>
      </c>
      <c r="H218" s="12" t="s">
        <v>2135</v>
      </c>
      <c r="I218" s="12" t="s">
        <v>2142</v>
      </c>
      <c r="J218" s="14"/>
      <c r="K218" s="27">
        <v>0</v>
      </c>
      <c r="L218" s="10"/>
      <c r="M218" s="12" t="s">
        <v>1485</v>
      </c>
      <c r="N218" s="12" t="s">
        <v>1486</v>
      </c>
      <c r="O218" s="8">
        <f t="shared" si="3"/>
        <v>19</v>
      </c>
      <c r="P218" s="17"/>
      <c r="Q218" s="17"/>
      <c r="R218" s="17"/>
      <c r="S218" s="17"/>
      <c r="T218" s="17"/>
      <c r="U218" s="17"/>
      <c r="V218" s="17"/>
      <c r="W218" s="17"/>
      <c r="X218" s="17"/>
      <c r="Y218" s="17"/>
      <c r="Z218" s="17"/>
      <c r="AA218" s="17"/>
      <c r="AB218" s="17"/>
      <c r="AC218" s="17"/>
      <c r="AD218" s="17"/>
      <c r="AE218" s="17"/>
      <c r="AF218" s="17">
        <v>10</v>
      </c>
      <c r="AG218" s="17">
        <v>9</v>
      </c>
      <c r="AH218" s="17"/>
      <c r="AI218" s="17"/>
      <c r="AJ218" s="17"/>
      <c r="AK218" s="17"/>
      <c r="AL218" s="17"/>
      <c r="AM218" s="17"/>
      <c r="AN218" s="17"/>
      <c r="AO218" s="17"/>
      <c r="AP218" s="17"/>
      <c r="AQ218" s="17"/>
      <c r="AR218" s="17"/>
      <c r="AS218" s="17"/>
      <c r="AT218" s="17"/>
      <c r="AU218" s="17"/>
      <c r="AV218" s="17"/>
      <c r="AW218" s="17"/>
      <c r="AX218" s="14"/>
      <c r="AZ218" t="s">
        <v>2143</v>
      </c>
    </row>
    <row r="219" spans="1:52" ht="30.75" customHeight="1">
      <c r="A219" s="4">
        <v>200</v>
      </c>
      <c r="B219" s="11" t="s">
        <v>88</v>
      </c>
      <c r="C219" s="12"/>
      <c r="D219" s="12" t="s">
        <v>2144</v>
      </c>
      <c r="E219" s="12" t="s">
        <v>2145</v>
      </c>
      <c r="F219" s="18" t="s">
        <v>2146</v>
      </c>
      <c r="G219" s="34" t="s">
        <v>552</v>
      </c>
      <c r="H219" s="12" t="s">
        <v>2139</v>
      </c>
      <c r="I219" s="12" t="s">
        <v>2073</v>
      </c>
      <c r="J219" s="14"/>
      <c r="K219" s="27">
        <v>0</v>
      </c>
      <c r="L219" s="10"/>
      <c r="M219" s="12" t="s">
        <v>1485</v>
      </c>
      <c r="N219" s="12" t="s">
        <v>1486</v>
      </c>
      <c r="O219" s="8">
        <f t="shared" si="3"/>
        <v>18</v>
      </c>
      <c r="P219" s="17"/>
      <c r="Q219" s="17"/>
      <c r="R219" s="17"/>
      <c r="S219" s="17"/>
      <c r="T219" s="17"/>
      <c r="U219" s="17"/>
      <c r="V219" s="17"/>
      <c r="W219" s="17"/>
      <c r="X219" s="17"/>
      <c r="Y219" s="17"/>
      <c r="Z219" s="17"/>
      <c r="AA219" s="17"/>
      <c r="AB219" s="17"/>
      <c r="AC219" s="17"/>
      <c r="AD219" s="17"/>
      <c r="AE219" s="17"/>
      <c r="AF219" s="17">
        <v>10</v>
      </c>
      <c r="AG219" s="17">
        <v>8</v>
      </c>
      <c r="AH219" s="17"/>
      <c r="AI219" s="17"/>
      <c r="AJ219" s="17"/>
      <c r="AK219" s="17"/>
      <c r="AL219" s="17"/>
      <c r="AM219" s="17"/>
      <c r="AN219" s="17"/>
      <c r="AO219" s="17"/>
      <c r="AP219" s="17"/>
      <c r="AQ219" s="17"/>
      <c r="AR219" s="17"/>
      <c r="AS219" s="17"/>
      <c r="AT219" s="17"/>
      <c r="AU219" s="17"/>
      <c r="AV219" s="17"/>
      <c r="AW219" s="17"/>
      <c r="AX219" s="14"/>
      <c r="AZ219" t="s">
        <v>2147</v>
      </c>
    </row>
    <row r="220" spans="1:52" ht="18.75" customHeight="1">
      <c r="A220" s="4">
        <v>201</v>
      </c>
      <c r="B220" s="11" t="s">
        <v>88</v>
      </c>
      <c r="C220" s="12"/>
      <c r="D220" s="12" t="s">
        <v>2148</v>
      </c>
      <c r="E220" s="12" t="s">
        <v>2149</v>
      </c>
      <c r="F220" s="18" t="s">
        <v>2150</v>
      </c>
      <c r="G220" s="34" t="s">
        <v>552</v>
      </c>
      <c r="H220" s="12" t="s">
        <v>2144</v>
      </c>
      <c r="I220" s="12" t="s">
        <v>2151</v>
      </c>
      <c r="J220" s="14"/>
      <c r="K220" s="27">
        <v>0</v>
      </c>
      <c r="L220" s="10"/>
      <c r="M220" s="12" t="s">
        <v>1485</v>
      </c>
      <c r="N220" s="12" t="s">
        <v>1486</v>
      </c>
      <c r="O220" s="8">
        <f t="shared" si="3"/>
        <v>14</v>
      </c>
      <c r="P220" s="17"/>
      <c r="Q220" s="17"/>
      <c r="R220" s="17"/>
      <c r="S220" s="17"/>
      <c r="T220" s="17"/>
      <c r="U220" s="17"/>
      <c r="V220" s="17"/>
      <c r="W220" s="17"/>
      <c r="X220" s="17"/>
      <c r="Y220" s="17"/>
      <c r="Z220" s="17"/>
      <c r="AA220" s="17"/>
      <c r="AB220" s="17"/>
      <c r="AC220" s="17"/>
      <c r="AD220" s="17"/>
      <c r="AE220" s="17"/>
      <c r="AF220" s="17">
        <v>7</v>
      </c>
      <c r="AG220" s="17">
        <v>7</v>
      </c>
      <c r="AH220" s="17"/>
      <c r="AI220" s="17"/>
      <c r="AJ220" s="17"/>
      <c r="AK220" s="17"/>
      <c r="AL220" s="17"/>
      <c r="AM220" s="17"/>
      <c r="AN220" s="17"/>
      <c r="AO220" s="17"/>
      <c r="AP220" s="17"/>
      <c r="AQ220" s="17"/>
      <c r="AR220" s="17"/>
      <c r="AS220" s="17"/>
      <c r="AT220" s="17"/>
      <c r="AU220" s="17"/>
      <c r="AV220" s="17"/>
      <c r="AW220" s="17"/>
      <c r="AX220" s="14"/>
    </row>
    <row r="221" spans="1:52" ht="18.75" customHeight="1">
      <c r="A221" s="4">
        <v>202</v>
      </c>
      <c r="B221" s="11" t="s">
        <v>88</v>
      </c>
      <c r="C221" s="12"/>
      <c r="D221" s="12" t="s">
        <v>2152</v>
      </c>
      <c r="E221" s="12" t="s">
        <v>2153</v>
      </c>
      <c r="F221" s="18" t="s">
        <v>2154</v>
      </c>
      <c r="G221" s="34" t="s">
        <v>552</v>
      </c>
      <c r="H221" s="12" t="s">
        <v>2148</v>
      </c>
      <c r="I221" s="12" t="s">
        <v>2155</v>
      </c>
      <c r="J221" s="14"/>
      <c r="K221" s="27">
        <v>0</v>
      </c>
      <c r="L221" s="10"/>
      <c r="M221" s="12" t="s">
        <v>1485</v>
      </c>
      <c r="N221" s="12" t="s">
        <v>1486</v>
      </c>
      <c r="O221" s="8">
        <f t="shared" si="3"/>
        <v>14</v>
      </c>
      <c r="P221" s="17"/>
      <c r="Q221" s="17"/>
      <c r="R221" s="17"/>
      <c r="S221" s="17"/>
      <c r="T221" s="17"/>
      <c r="U221" s="17"/>
      <c r="V221" s="17"/>
      <c r="W221" s="17"/>
      <c r="X221" s="17"/>
      <c r="Y221" s="17"/>
      <c r="Z221" s="17"/>
      <c r="AA221" s="17"/>
      <c r="AB221" s="17"/>
      <c r="AC221" s="17"/>
      <c r="AD221" s="17"/>
      <c r="AE221" s="17"/>
      <c r="AF221" s="17">
        <v>7</v>
      </c>
      <c r="AG221" s="17">
        <v>7</v>
      </c>
      <c r="AH221" s="17"/>
      <c r="AI221" s="17"/>
      <c r="AJ221" s="17"/>
      <c r="AK221" s="17"/>
      <c r="AL221" s="17"/>
      <c r="AM221" s="17"/>
      <c r="AN221" s="17"/>
      <c r="AO221" s="17"/>
      <c r="AP221" s="17"/>
      <c r="AQ221" s="17"/>
      <c r="AR221" s="17"/>
      <c r="AS221" s="17"/>
      <c r="AT221" s="17"/>
      <c r="AU221" s="17"/>
      <c r="AV221" s="17"/>
      <c r="AW221" s="17"/>
      <c r="AX221" s="14"/>
    </row>
    <row r="222" spans="1:52" ht="18.75" customHeight="1">
      <c r="A222" s="4">
        <v>203</v>
      </c>
      <c r="B222" s="11" t="s">
        <v>88</v>
      </c>
      <c r="C222" s="12"/>
      <c r="D222" s="12" t="s">
        <v>2156</v>
      </c>
      <c r="E222" s="12" t="s">
        <v>2157</v>
      </c>
      <c r="F222" s="18" t="s">
        <v>2158</v>
      </c>
      <c r="G222" s="34" t="s">
        <v>552</v>
      </c>
      <c r="H222" s="12" t="s">
        <v>2152</v>
      </c>
      <c r="I222" s="12" t="s">
        <v>2159</v>
      </c>
      <c r="J222" s="14"/>
      <c r="K222" s="27">
        <v>0</v>
      </c>
      <c r="L222" s="10"/>
      <c r="M222" s="12" t="s">
        <v>1485</v>
      </c>
      <c r="N222" s="12" t="s">
        <v>1486</v>
      </c>
      <c r="O222" s="8">
        <f t="shared" si="3"/>
        <v>22</v>
      </c>
      <c r="P222" s="17"/>
      <c r="Q222" s="17"/>
      <c r="R222" s="17"/>
      <c r="S222" s="17"/>
      <c r="T222" s="17"/>
      <c r="U222" s="17"/>
      <c r="V222" s="17"/>
      <c r="W222" s="17"/>
      <c r="X222" s="17"/>
      <c r="Y222" s="17"/>
      <c r="Z222" s="17"/>
      <c r="AA222" s="17"/>
      <c r="AB222" s="17"/>
      <c r="AC222" s="17"/>
      <c r="AD222" s="17"/>
      <c r="AE222" s="17"/>
      <c r="AF222" s="17">
        <v>11</v>
      </c>
      <c r="AG222" s="17">
        <v>11</v>
      </c>
      <c r="AH222" s="17"/>
      <c r="AI222" s="17"/>
      <c r="AJ222" s="17"/>
      <c r="AK222" s="17"/>
      <c r="AL222" s="17"/>
      <c r="AM222" s="17"/>
      <c r="AN222" s="17"/>
      <c r="AO222" s="17"/>
      <c r="AP222" s="17"/>
      <c r="AQ222" s="17"/>
      <c r="AR222" s="17"/>
      <c r="AS222" s="17"/>
      <c r="AT222" s="17"/>
      <c r="AU222" s="17"/>
      <c r="AV222" s="17"/>
      <c r="AW222" s="17"/>
      <c r="AX222" s="14"/>
    </row>
    <row r="223" spans="1:52" ht="18.75" customHeight="1">
      <c r="A223" s="4">
        <v>204</v>
      </c>
      <c r="B223" s="11" t="s">
        <v>88</v>
      </c>
      <c r="C223" s="12"/>
      <c r="D223" s="12" t="s">
        <v>2160</v>
      </c>
      <c r="E223" s="12" t="s">
        <v>2161</v>
      </c>
      <c r="F223" s="18" t="s">
        <v>2162</v>
      </c>
      <c r="G223" s="34" t="s">
        <v>552</v>
      </c>
      <c r="H223" s="12" t="s">
        <v>2156</v>
      </c>
      <c r="I223" s="12" t="s">
        <v>2163</v>
      </c>
      <c r="J223" s="14"/>
      <c r="K223" s="27">
        <v>0</v>
      </c>
      <c r="L223" s="10"/>
      <c r="M223" s="12" t="s">
        <v>1485</v>
      </c>
      <c r="N223" s="12" t="s">
        <v>1486</v>
      </c>
      <c r="O223" s="8">
        <f t="shared" si="3"/>
        <v>14</v>
      </c>
      <c r="P223" s="17"/>
      <c r="Q223" s="17"/>
      <c r="R223" s="17"/>
      <c r="S223" s="17"/>
      <c r="T223" s="17"/>
      <c r="U223" s="17"/>
      <c r="V223" s="17"/>
      <c r="W223" s="17"/>
      <c r="X223" s="17"/>
      <c r="Y223" s="17"/>
      <c r="Z223" s="17"/>
      <c r="AA223" s="17"/>
      <c r="AB223" s="17"/>
      <c r="AC223" s="17"/>
      <c r="AD223" s="17"/>
      <c r="AE223" s="17"/>
      <c r="AF223" s="17">
        <v>7</v>
      </c>
      <c r="AG223" s="17">
        <v>7</v>
      </c>
      <c r="AH223" s="17"/>
      <c r="AI223" s="17"/>
      <c r="AJ223" s="17"/>
      <c r="AK223" s="17"/>
      <c r="AL223" s="17"/>
      <c r="AM223" s="17"/>
      <c r="AN223" s="17"/>
      <c r="AO223" s="17"/>
      <c r="AP223" s="17"/>
      <c r="AQ223" s="17"/>
      <c r="AR223" s="17"/>
      <c r="AS223" s="17"/>
      <c r="AT223" s="17"/>
      <c r="AU223" s="17"/>
      <c r="AV223" s="17"/>
      <c r="AW223" s="17"/>
      <c r="AX223" s="14"/>
    </row>
    <row r="224" spans="1:52" ht="18.75" customHeight="1">
      <c r="A224" s="4">
        <v>205</v>
      </c>
      <c r="B224" s="11" t="s">
        <v>88</v>
      </c>
      <c r="C224" s="12"/>
      <c r="D224" s="12" t="s">
        <v>2164</v>
      </c>
      <c r="E224" s="12" t="s">
        <v>2165</v>
      </c>
      <c r="F224" s="18" t="s">
        <v>2166</v>
      </c>
      <c r="G224" s="34" t="s">
        <v>552</v>
      </c>
      <c r="H224" s="12" t="s">
        <v>2160</v>
      </c>
      <c r="I224" s="12" t="s">
        <v>2167</v>
      </c>
      <c r="J224" s="14"/>
      <c r="K224" s="27">
        <v>0</v>
      </c>
      <c r="L224" s="10"/>
      <c r="M224" s="12" t="s">
        <v>1485</v>
      </c>
      <c r="N224" s="12" t="s">
        <v>1486</v>
      </c>
      <c r="O224" s="8">
        <f t="shared" si="3"/>
        <v>14</v>
      </c>
      <c r="P224" s="17"/>
      <c r="Q224" s="17"/>
      <c r="R224" s="17"/>
      <c r="S224" s="17"/>
      <c r="T224" s="17"/>
      <c r="U224" s="17"/>
      <c r="V224" s="17"/>
      <c r="W224" s="17"/>
      <c r="X224" s="17"/>
      <c r="Y224" s="17"/>
      <c r="Z224" s="17"/>
      <c r="AA224" s="17"/>
      <c r="AB224" s="17"/>
      <c r="AC224" s="17"/>
      <c r="AD224" s="17"/>
      <c r="AE224" s="17"/>
      <c r="AF224" s="17">
        <v>7</v>
      </c>
      <c r="AG224" s="17">
        <v>7</v>
      </c>
      <c r="AH224" s="17"/>
      <c r="AI224" s="17"/>
      <c r="AJ224" s="17"/>
      <c r="AK224" s="17"/>
      <c r="AL224" s="17"/>
      <c r="AM224" s="17"/>
      <c r="AN224" s="17"/>
      <c r="AO224" s="17"/>
      <c r="AP224" s="17"/>
      <c r="AQ224" s="17"/>
      <c r="AR224" s="17"/>
      <c r="AS224" s="17"/>
      <c r="AT224" s="17"/>
      <c r="AU224" s="17"/>
      <c r="AV224" s="17"/>
      <c r="AW224" s="17"/>
      <c r="AX224" s="14"/>
    </row>
    <row r="225" spans="1:52" ht="18.75" customHeight="1">
      <c r="A225" s="4">
        <v>206</v>
      </c>
      <c r="B225" s="11" t="s">
        <v>88</v>
      </c>
      <c r="C225" s="12"/>
      <c r="D225" s="12" t="s">
        <v>2168</v>
      </c>
      <c r="E225" s="12" t="s">
        <v>2169</v>
      </c>
      <c r="F225" s="18" t="s">
        <v>2170</v>
      </c>
      <c r="G225" s="34" t="s">
        <v>552</v>
      </c>
      <c r="H225" s="12" t="s">
        <v>2164</v>
      </c>
      <c r="I225" s="12" t="s">
        <v>1630</v>
      </c>
      <c r="J225" s="14"/>
      <c r="K225" s="27">
        <v>0</v>
      </c>
      <c r="L225" s="10"/>
      <c r="M225" s="12" t="s">
        <v>1485</v>
      </c>
      <c r="N225" s="12" t="s">
        <v>1486</v>
      </c>
      <c r="O225" s="8">
        <f t="shared" si="3"/>
        <v>0</v>
      </c>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4"/>
    </row>
    <row r="226" spans="1:52" ht="18.75" customHeight="1">
      <c r="A226" s="4">
        <v>207</v>
      </c>
      <c r="B226" s="11" t="s">
        <v>88</v>
      </c>
      <c r="C226" s="12"/>
      <c r="D226" s="12" t="s">
        <v>2171</v>
      </c>
      <c r="E226" s="12" t="s">
        <v>2172</v>
      </c>
      <c r="F226" s="18" t="s">
        <v>2173</v>
      </c>
      <c r="G226" s="34" t="s">
        <v>552</v>
      </c>
      <c r="H226" s="12" t="s">
        <v>2168</v>
      </c>
      <c r="I226" s="12" t="s">
        <v>1630</v>
      </c>
      <c r="J226" s="14"/>
      <c r="K226" s="27">
        <v>0</v>
      </c>
      <c r="L226" s="10"/>
      <c r="M226" s="12" t="s">
        <v>1485</v>
      </c>
      <c r="N226" s="12" t="s">
        <v>1486</v>
      </c>
      <c r="O226" s="8">
        <f t="shared" si="3"/>
        <v>6</v>
      </c>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v>6</v>
      </c>
      <c r="AX226" s="14"/>
    </row>
    <row r="227" spans="1:52" ht="18.75" customHeight="1">
      <c r="A227" s="4">
        <v>208</v>
      </c>
      <c r="B227" s="11" t="s">
        <v>88</v>
      </c>
      <c r="C227" s="12"/>
      <c r="D227" s="12" t="s">
        <v>2174</v>
      </c>
      <c r="E227" s="12" t="s">
        <v>2172</v>
      </c>
      <c r="F227" s="18" t="s">
        <v>2175</v>
      </c>
      <c r="G227" s="34" t="s">
        <v>552</v>
      </c>
      <c r="H227" s="12" t="s">
        <v>2171</v>
      </c>
      <c r="I227" s="12" t="s">
        <v>1630</v>
      </c>
      <c r="J227" s="14"/>
      <c r="K227" s="27">
        <v>0</v>
      </c>
      <c r="L227" s="10"/>
      <c r="M227" s="12" t="s">
        <v>1485</v>
      </c>
      <c r="N227" s="12" t="s">
        <v>1486</v>
      </c>
      <c r="O227" s="8">
        <f t="shared" si="3"/>
        <v>0</v>
      </c>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4"/>
    </row>
    <row r="228" spans="1:52" ht="18.75" customHeight="1">
      <c r="A228" s="4"/>
      <c r="B228" s="11" t="s">
        <v>88</v>
      </c>
      <c r="C228" s="12"/>
      <c r="D228" s="12" t="s">
        <v>2176</v>
      </c>
      <c r="E228" s="12" t="s">
        <v>2177</v>
      </c>
      <c r="F228" s="18" t="s">
        <v>1894</v>
      </c>
      <c r="G228" s="34"/>
      <c r="H228" s="12" t="s">
        <v>2174</v>
      </c>
      <c r="I228" s="12" t="s">
        <v>1630</v>
      </c>
      <c r="J228" s="14"/>
      <c r="K228" s="27">
        <v>0</v>
      </c>
      <c r="L228" s="10"/>
      <c r="M228" s="12" t="s">
        <v>1485</v>
      </c>
      <c r="N228" s="12" t="s">
        <v>1486</v>
      </c>
      <c r="O228" s="8">
        <f t="shared" si="3"/>
        <v>4</v>
      </c>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v>4</v>
      </c>
      <c r="AX228" s="14"/>
      <c r="AZ228" t="s">
        <v>2178</v>
      </c>
    </row>
    <row r="229" spans="1:52" ht="18.75" customHeight="1">
      <c r="A229" s="4"/>
      <c r="B229" s="11" t="s">
        <v>88</v>
      </c>
      <c r="C229" s="12"/>
      <c r="D229" s="12" t="s">
        <v>2179</v>
      </c>
      <c r="E229" s="12" t="s">
        <v>2180</v>
      </c>
      <c r="F229" s="18" t="s">
        <v>1894</v>
      </c>
      <c r="G229" s="34"/>
      <c r="H229" s="12" t="s">
        <v>2176</v>
      </c>
      <c r="I229" s="12" t="s">
        <v>1630</v>
      </c>
      <c r="J229" s="14"/>
      <c r="K229" s="27">
        <v>0</v>
      </c>
      <c r="L229" s="10"/>
      <c r="M229" s="12" t="s">
        <v>1485</v>
      </c>
      <c r="N229" s="12" t="s">
        <v>1486</v>
      </c>
      <c r="O229" s="8">
        <f t="shared" si="3"/>
        <v>2</v>
      </c>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v>2</v>
      </c>
      <c r="AX229" s="14"/>
      <c r="AZ229" t="s">
        <v>2178</v>
      </c>
    </row>
    <row r="230" spans="1:52" ht="18.75" customHeight="1">
      <c r="A230" s="4"/>
      <c r="B230" s="11" t="s">
        <v>88</v>
      </c>
      <c r="C230" s="12"/>
      <c r="D230" s="12" t="s">
        <v>2181</v>
      </c>
      <c r="E230" s="12" t="s">
        <v>2182</v>
      </c>
      <c r="F230" s="18"/>
      <c r="G230" s="34"/>
      <c r="H230" s="12" t="s">
        <v>2179</v>
      </c>
      <c r="I230" s="12" t="s">
        <v>1630</v>
      </c>
      <c r="J230" s="14"/>
      <c r="K230" s="27">
        <v>0</v>
      </c>
      <c r="L230" s="10"/>
      <c r="M230" s="12" t="s">
        <v>1485</v>
      </c>
      <c r="N230" s="12" t="s">
        <v>1486</v>
      </c>
      <c r="O230" s="8">
        <f t="shared" si="3"/>
        <v>4</v>
      </c>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v>4</v>
      </c>
      <c r="AX230" s="14"/>
      <c r="AZ230" t="s">
        <v>2178</v>
      </c>
    </row>
    <row r="231" spans="1:52" ht="18.75" customHeight="1">
      <c r="A231" s="4"/>
      <c r="B231" s="11" t="s">
        <v>88</v>
      </c>
      <c r="C231" s="12"/>
      <c r="D231" s="12" t="s">
        <v>2183</v>
      </c>
      <c r="E231" s="12" t="s">
        <v>2184</v>
      </c>
      <c r="F231" s="18"/>
      <c r="G231" s="34"/>
      <c r="H231" s="12" t="s">
        <v>2183</v>
      </c>
      <c r="I231" s="12" t="s">
        <v>1630</v>
      </c>
      <c r="J231" s="14"/>
      <c r="K231" s="27">
        <v>0</v>
      </c>
      <c r="L231" s="10"/>
      <c r="M231" s="12" t="s">
        <v>1485</v>
      </c>
      <c r="N231" s="12" t="s">
        <v>1486</v>
      </c>
      <c r="O231" s="8">
        <f t="shared" si="3"/>
        <v>14</v>
      </c>
      <c r="P231" s="17"/>
      <c r="Q231" s="17"/>
      <c r="R231" s="17"/>
      <c r="S231" s="17"/>
      <c r="T231" s="17"/>
      <c r="U231" s="17"/>
      <c r="V231" s="17"/>
      <c r="W231" s="17"/>
      <c r="X231" s="17"/>
      <c r="Y231" s="17"/>
      <c r="Z231" s="17"/>
      <c r="AA231" s="17"/>
      <c r="AB231" s="17"/>
      <c r="AC231" s="17"/>
      <c r="AD231" s="17"/>
      <c r="AE231" s="17"/>
      <c r="AF231" s="17">
        <v>7</v>
      </c>
      <c r="AG231" s="17">
        <v>7</v>
      </c>
      <c r="AH231" s="17"/>
      <c r="AI231" s="17"/>
      <c r="AJ231" s="17"/>
      <c r="AK231" s="17"/>
      <c r="AL231" s="17"/>
      <c r="AM231" s="17"/>
      <c r="AN231" s="17"/>
      <c r="AO231" s="17"/>
      <c r="AP231" s="17"/>
      <c r="AQ231" s="17"/>
      <c r="AR231" s="17"/>
      <c r="AS231" s="17"/>
      <c r="AT231" s="17"/>
      <c r="AU231" s="17"/>
      <c r="AV231" s="17"/>
      <c r="AW231" s="17"/>
      <c r="AX231" s="14" t="s">
        <v>2185</v>
      </c>
    </row>
    <row r="232" spans="1:52" ht="18.75" customHeight="1">
      <c r="A232" s="4">
        <v>209</v>
      </c>
      <c r="B232" s="5" t="s">
        <v>88</v>
      </c>
      <c r="C232" s="6"/>
      <c r="D232" s="35" t="s">
        <v>2186</v>
      </c>
      <c r="E232" s="35" t="s">
        <v>2187</v>
      </c>
      <c r="F232" s="7"/>
      <c r="G232" s="9"/>
      <c r="H232" s="9"/>
      <c r="I232" s="9"/>
      <c r="J232" s="9"/>
      <c r="K232" s="20">
        <v>0</v>
      </c>
      <c r="L232" s="4"/>
      <c r="M232" s="9" t="s">
        <v>1485</v>
      </c>
      <c r="N232" s="9"/>
      <c r="O232" s="8">
        <f t="shared" si="3"/>
        <v>0</v>
      </c>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9"/>
    </row>
    <row r="233" spans="1:52" ht="18.399999999999999" customHeight="1">
      <c r="A233" s="4">
        <v>210</v>
      </c>
      <c r="B233" s="11" t="s">
        <v>88</v>
      </c>
      <c r="C233" s="12"/>
      <c r="D233" s="12" t="s">
        <v>2188</v>
      </c>
      <c r="E233" s="12" t="s">
        <v>2189</v>
      </c>
      <c r="F233" s="18" t="s">
        <v>1862</v>
      </c>
      <c r="G233" s="34" t="s">
        <v>552</v>
      </c>
      <c r="H233" s="12" t="s">
        <v>2188</v>
      </c>
      <c r="I233" s="12" t="s">
        <v>2190</v>
      </c>
      <c r="J233" s="14"/>
      <c r="K233" s="27">
        <v>0</v>
      </c>
      <c r="L233" s="10"/>
      <c r="M233" s="12" t="s">
        <v>1485</v>
      </c>
      <c r="N233" s="12" t="s">
        <v>1486</v>
      </c>
      <c r="O233" s="8">
        <f t="shared" si="3"/>
        <v>6</v>
      </c>
      <c r="P233" s="17"/>
      <c r="Q233" s="17"/>
      <c r="R233" s="17"/>
      <c r="S233" s="17"/>
      <c r="T233" s="17"/>
      <c r="U233" s="17"/>
      <c r="V233" s="17">
        <v>1</v>
      </c>
      <c r="W233" s="17">
        <v>1</v>
      </c>
      <c r="X233" s="17"/>
      <c r="Y233" s="17"/>
      <c r="Z233" s="17">
        <v>1</v>
      </c>
      <c r="AA233" s="17"/>
      <c r="AB233" s="17"/>
      <c r="AC233" s="17"/>
      <c r="AD233" s="17"/>
      <c r="AE233" s="17"/>
      <c r="AF233" s="17">
        <v>1</v>
      </c>
      <c r="AG233" s="17">
        <v>1</v>
      </c>
      <c r="AH233" s="17"/>
      <c r="AI233" s="17"/>
      <c r="AJ233" s="17"/>
      <c r="AK233" s="17"/>
      <c r="AL233" s="17"/>
      <c r="AM233" s="17"/>
      <c r="AN233" s="17"/>
      <c r="AO233" s="17"/>
      <c r="AP233" s="17">
        <v>1</v>
      </c>
      <c r="AQ233" s="17"/>
      <c r="AR233" s="17"/>
      <c r="AS233" s="17"/>
      <c r="AT233" s="17"/>
      <c r="AU233" s="17"/>
      <c r="AV233" s="17"/>
      <c r="AW233" s="17"/>
      <c r="AX233" s="14"/>
    </row>
    <row r="234" spans="1:52" ht="18.75" customHeight="1">
      <c r="A234" s="4">
        <v>211</v>
      </c>
      <c r="B234" s="11" t="s">
        <v>88</v>
      </c>
      <c r="C234" s="12"/>
      <c r="D234" s="12" t="s">
        <v>2191</v>
      </c>
      <c r="E234" s="12" t="s">
        <v>2192</v>
      </c>
      <c r="F234" s="18" t="s">
        <v>2193</v>
      </c>
      <c r="G234" s="34" t="s">
        <v>552</v>
      </c>
      <c r="H234" s="12" t="s">
        <v>2191</v>
      </c>
      <c r="I234" s="12" t="s">
        <v>2194</v>
      </c>
      <c r="J234" s="14"/>
      <c r="K234" s="27">
        <v>0</v>
      </c>
      <c r="L234" s="10"/>
      <c r="M234" s="12" t="s">
        <v>1485</v>
      </c>
      <c r="N234" s="12" t="s">
        <v>1486</v>
      </c>
      <c r="O234" s="8">
        <f t="shared" si="3"/>
        <v>0</v>
      </c>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4"/>
    </row>
    <row r="235" spans="1:52" ht="18.399999999999999" customHeight="1">
      <c r="A235" s="4">
        <v>212</v>
      </c>
      <c r="B235" s="11" t="s">
        <v>88</v>
      </c>
      <c r="C235" s="12"/>
      <c r="D235" s="12" t="s">
        <v>2195</v>
      </c>
      <c r="E235" s="12" t="s">
        <v>2196</v>
      </c>
      <c r="F235" s="18" t="s">
        <v>2197</v>
      </c>
      <c r="G235" s="34" t="s">
        <v>552</v>
      </c>
      <c r="H235" s="12" t="s">
        <v>2195</v>
      </c>
      <c r="I235" s="12" t="s">
        <v>2131</v>
      </c>
      <c r="J235" s="14"/>
      <c r="K235" s="27">
        <v>0</v>
      </c>
      <c r="L235" s="10"/>
      <c r="M235" s="12" t="s">
        <v>1485</v>
      </c>
      <c r="N235" s="12" t="s">
        <v>1486</v>
      </c>
      <c r="O235" s="8">
        <f t="shared" si="3"/>
        <v>0</v>
      </c>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6"/>
    </row>
    <row r="236" spans="1:52" ht="20.65" customHeight="1">
      <c r="A236" s="4">
        <v>213</v>
      </c>
      <c r="B236" s="11" t="s">
        <v>88</v>
      </c>
      <c r="C236" s="12"/>
      <c r="D236" s="12" t="s">
        <v>2198</v>
      </c>
      <c r="E236" s="12" t="s">
        <v>2199</v>
      </c>
      <c r="F236" s="18" t="s">
        <v>2200</v>
      </c>
      <c r="G236" s="34" t="s">
        <v>552</v>
      </c>
      <c r="H236" s="12" t="s">
        <v>2198</v>
      </c>
      <c r="I236" s="12" t="s">
        <v>2201</v>
      </c>
      <c r="J236" s="14"/>
      <c r="K236" s="27">
        <v>0</v>
      </c>
      <c r="L236" s="10"/>
      <c r="M236" s="12" t="s">
        <v>1485</v>
      </c>
      <c r="N236" s="12" t="s">
        <v>1486</v>
      </c>
      <c r="O236" s="8">
        <f t="shared" si="3"/>
        <v>3</v>
      </c>
      <c r="P236" s="17"/>
      <c r="Q236" s="17"/>
      <c r="R236" s="17"/>
      <c r="S236" s="17"/>
      <c r="T236" s="17"/>
      <c r="U236" s="17"/>
      <c r="V236" s="17"/>
      <c r="W236" s="17">
        <v>1</v>
      </c>
      <c r="X236" s="17"/>
      <c r="Y236" s="17"/>
      <c r="Z236" s="17"/>
      <c r="AA236" s="17"/>
      <c r="AB236" s="17"/>
      <c r="AC236" s="17"/>
      <c r="AD236" s="17"/>
      <c r="AE236" s="17"/>
      <c r="AF236" s="17"/>
      <c r="AG236" s="17">
        <v>1</v>
      </c>
      <c r="AH236" s="17"/>
      <c r="AI236" s="17"/>
      <c r="AJ236" s="17"/>
      <c r="AK236" s="17"/>
      <c r="AL236" s="17"/>
      <c r="AM236" s="17"/>
      <c r="AN236" s="17"/>
      <c r="AO236" s="17"/>
      <c r="AP236" s="17">
        <v>1</v>
      </c>
      <c r="AQ236" s="17"/>
      <c r="AR236" s="17"/>
      <c r="AS236" s="17"/>
      <c r="AT236" s="17"/>
      <c r="AU236" s="17"/>
      <c r="AV236" s="17"/>
      <c r="AW236" s="17"/>
      <c r="AX236" s="16"/>
      <c r="AZ236" t="s">
        <v>2202</v>
      </c>
    </row>
    <row r="237" spans="1:52" ht="18.75" customHeight="1">
      <c r="A237" s="4">
        <v>214</v>
      </c>
      <c r="B237" s="11" t="s">
        <v>88</v>
      </c>
      <c r="C237" s="12"/>
      <c r="D237" s="12" t="s">
        <v>2203</v>
      </c>
      <c r="E237" s="12" t="s">
        <v>2204</v>
      </c>
      <c r="F237" s="109" t="s">
        <v>2205</v>
      </c>
      <c r="G237" s="34" t="s">
        <v>552</v>
      </c>
      <c r="H237" s="12" t="s">
        <v>2203</v>
      </c>
      <c r="I237" s="12" t="s">
        <v>2206</v>
      </c>
      <c r="J237" s="14"/>
      <c r="K237" s="27">
        <v>0</v>
      </c>
      <c r="L237" s="10"/>
      <c r="M237" s="12" t="s">
        <v>1485</v>
      </c>
      <c r="N237" s="12" t="s">
        <v>1486</v>
      </c>
      <c r="O237" s="8">
        <f t="shared" si="3"/>
        <v>3</v>
      </c>
      <c r="P237" s="17"/>
      <c r="Q237" s="17"/>
      <c r="R237" s="17"/>
      <c r="S237" s="17"/>
      <c r="T237" s="17"/>
      <c r="U237" s="17"/>
      <c r="V237" s="17"/>
      <c r="W237" s="17">
        <v>1</v>
      </c>
      <c r="X237" s="17"/>
      <c r="Y237" s="17"/>
      <c r="Z237" s="17"/>
      <c r="AA237" s="17"/>
      <c r="AB237" s="17"/>
      <c r="AC237" s="17"/>
      <c r="AD237" s="17"/>
      <c r="AE237" s="17"/>
      <c r="AF237" s="17"/>
      <c r="AG237" s="17">
        <v>1</v>
      </c>
      <c r="AH237" s="17"/>
      <c r="AI237" s="17"/>
      <c r="AJ237" s="17"/>
      <c r="AK237" s="17"/>
      <c r="AL237" s="17"/>
      <c r="AM237" s="17"/>
      <c r="AN237" s="17"/>
      <c r="AO237" s="17"/>
      <c r="AP237" s="17">
        <v>1</v>
      </c>
      <c r="AQ237" s="17"/>
      <c r="AR237" s="17"/>
      <c r="AS237" s="17"/>
      <c r="AT237" s="17"/>
      <c r="AU237" s="17"/>
      <c r="AV237" s="17"/>
      <c r="AW237" s="17"/>
      <c r="AX237" s="16"/>
      <c r="AZ237" t="s">
        <v>2207</v>
      </c>
    </row>
    <row r="238" spans="1:52" ht="18.75" customHeight="1">
      <c r="A238" s="4">
        <v>214</v>
      </c>
      <c r="B238" s="11" t="s">
        <v>88</v>
      </c>
      <c r="C238" s="12"/>
      <c r="D238" s="12" t="s">
        <v>2208</v>
      </c>
      <c r="E238" s="12" t="s">
        <v>2204</v>
      </c>
      <c r="F238" s="18" t="s">
        <v>2209</v>
      </c>
      <c r="G238" s="34" t="s">
        <v>552</v>
      </c>
      <c r="H238" s="12" t="s">
        <v>2203</v>
      </c>
      <c r="I238" s="12" t="s">
        <v>2206</v>
      </c>
      <c r="J238" s="14"/>
      <c r="K238" s="27">
        <v>0</v>
      </c>
      <c r="L238" s="10"/>
      <c r="M238" s="12" t="s">
        <v>1485</v>
      </c>
      <c r="N238" s="12" t="s">
        <v>1486</v>
      </c>
      <c r="O238" s="8">
        <f t="shared" si="3"/>
        <v>1</v>
      </c>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v>1</v>
      </c>
      <c r="AQ238" s="17"/>
      <c r="AR238" s="17"/>
      <c r="AS238" s="17"/>
      <c r="AT238" s="17"/>
      <c r="AU238" s="17"/>
      <c r="AV238" s="17"/>
      <c r="AW238" s="17"/>
      <c r="AX238" s="16"/>
      <c r="AZ238" t="s">
        <v>2207</v>
      </c>
    </row>
    <row r="239" spans="1:52" ht="18.75" customHeight="1">
      <c r="A239" s="4">
        <v>215</v>
      </c>
      <c r="B239" s="11" t="s">
        <v>88</v>
      </c>
      <c r="C239" s="12"/>
      <c r="D239" s="12" t="s">
        <v>2210</v>
      </c>
      <c r="E239" s="12" t="s">
        <v>2211</v>
      </c>
      <c r="F239" s="18" t="s">
        <v>2212</v>
      </c>
      <c r="G239" s="34" t="s">
        <v>552</v>
      </c>
      <c r="H239" s="12" t="s">
        <v>2208</v>
      </c>
      <c r="I239" s="12" t="s">
        <v>2142</v>
      </c>
      <c r="J239" s="14"/>
      <c r="K239" s="27">
        <v>0</v>
      </c>
      <c r="L239" s="10"/>
      <c r="M239" s="12" t="s">
        <v>1485</v>
      </c>
      <c r="N239" s="12" t="s">
        <v>1486</v>
      </c>
      <c r="O239" s="8">
        <f t="shared" si="3"/>
        <v>14</v>
      </c>
      <c r="P239" s="17"/>
      <c r="Q239" s="17"/>
      <c r="R239" s="17"/>
      <c r="S239" s="17"/>
      <c r="T239" s="17"/>
      <c r="U239" s="17"/>
      <c r="V239" s="17">
        <v>2</v>
      </c>
      <c r="W239" s="17">
        <v>2</v>
      </c>
      <c r="X239" s="17"/>
      <c r="Y239" s="17"/>
      <c r="Z239" s="17">
        <v>2</v>
      </c>
      <c r="AA239" s="17"/>
      <c r="AB239" s="17"/>
      <c r="AC239" s="17"/>
      <c r="AD239" s="17"/>
      <c r="AE239" s="17"/>
      <c r="AF239" s="17">
        <v>2</v>
      </c>
      <c r="AG239" s="17">
        <v>6</v>
      </c>
      <c r="AH239" s="17"/>
      <c r="AI239" s="17"/>
      <c r="AJ239" s="17"/>
      <c r="AK239" s="17"/>
      <c r="AL239" s="17"/>
      <c r="AM239" s="17"/>
      <c r="AN239" s="17"/>
      <c r="AO239" s="17"/>
      <c r="AP239" s="17"/>
      <c r="AQ239" s="17"/>
      <c r="AR239" s="17"/>
      <c r="AS239" s="17"/>
      <c r="AT239" s="17"/>
      <c r="AU239" s="17"/>
      <c r="AV239" s="17"/>
      <c r="AW239" s="17"/>
      <c r="AX239" s="16"/>
      <c r="AZ239" t="s">
        <v>2213</v>
      </c>
    </row>
    <row r="240" spans="1:52" ht="18.75" customHeight="1">
      <c r="A240" s="4">
        <v>216</v>
      </c>
      <c r="B240" s="11" t="s">
        <v>88</v>
      </c>
      <c r="C240" s="12"/>
      <c r="D240" s="12" t="s">
        <v>2214</v>
      </c>
      <c r="E240" s="12" t="s">
        <v>2215</v>
      </c>
      <c r="F240" s="18" t="s">
        <v>2216</v>
      </c>
      <c r="G240" s="34" t="s">
        <v>552</v>
      </c>
      <c r="H240" s="12" t="s">
        <v>2210</v>
      </c>
      <c r="I240" s="12" t="s">
        <v>2217</v>
      </c>
      <c r="J240" s="14"/>
      <c r="K240" s="27">
        <v>0</v>
      </c>
      <c r="L240" s="10"/>
      <c r="M240" s="12" t="s">
        <v>1485</v>
      </c>
      <c r="N240" s="12" t="s">
        <v>1486</v>
      </c>
      <c r="O240" s="8">
        <f t="shared" si="3"/>
        <v>0</v>
      </c>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6"/>
    </row>
    <row r="241" spans="1:52" ht="18.75" customHeight="1">
      <c r="A241" s="4">
        <v>217</v>
      </c>
      <c r="B241" s="11" t="s">
        <v>88</v>
      </c>
      <c r="C241" s="12"/>
      <c r="D241" s="12" t="s">
        <v>2218</v>
      </c>
      <c r="E241" s="12" t="s">
        <v>2219</v>
      </c>
      <c r="F241" s="18" t="s">
        <v>1891</v>
      </c>
      <c r="G241" s="34" t="s">
        <v>552</v>
      </c>
      <c r="H241" s="12" t="s">
        <v>2214</v>
      </c>
      <c r="I241" s="12" t="s">
        <v>2073</v>
      </c>
      <c r="J241" s="14"/>
      <c r="K241" s="27">
        <v>0</v>
      </c>
      <c r="L241" s="10"/>
      <c r="M241" s="12" t="s">
        <v>1485</v>
      </c>
      <c r="N241" s="12" t="s">
        <v>1486</v>
      </c>
      <c r="O241" s="8">
        <f t="shared" si="3"/>
        <v>20</v>
      </c>
      <c r="P241" s="17"/>
      <c r="Q241" s="17"/>
      <c r="R241" s="17"/>
      <c r="S241" s="17"/>
      <c r="T241" s="17"/>
      <c r="U241" s="17"/>
      <c r="V241" s="17">
        <v>4</v>
      </c>
      <c r="W241" s="17">
        <v>4</v>
      </c>
      <c r="X241" s="17"/>
      <c r="Y241" s="17"/>
      <c r="Z241" s="17">
        <v>4</v>
      </c>
      <c r="AA241" s="17"/>
      <c r="AB241" s="17"/>
      <c r="AC241" s="17"/>
      <c r="AD241" s="17"/>
      <c r="AE241" s="17"/>
      <c r="AF241" s="17">
        <v>4</v>
      </c>
      <c r="AG241" s="17">
        <v>4</v>
      </c>
      <c r="AH241" s="17"/>
      <c r="AI241" s="17"/>
      <c r="AJ241" s="17"/>
      <c r="AK241" s="17"/>
      <c r="AL241" s="17"/>
      <c r="AM241" s="17"/>
      <c r="AN241" s="17"/>
      <c r="AO241" s="17"/>
      <c r="AP241" s="17"/>
      <c r="AQ241" s="17"/>
      <c r="AR241" s="17"/>
      <c r="AS241" s="17"/>
      <c r="AT241" s="17"/>
      <c r="AU241" s="17"/>
      <c r="AV241" s="17"/>
      <c r="AW241" s="17"/>
      <c r="AX241" s="16"/>
      <c r="AZ241" t="s">
        <v>2220</v>
      </c>
    </row>
    <row r="242" spans="1:52" ht="18.75" customHeight="1">
      <c r="A242" s="4">
        <v>218</v>
      </c>
      <c r="B242" s="11" t="s">
        <v>88</v>
      </c>
      <c r="C242" s="12"/>
      <c r="D242" s="12" t="s">
        <v>2221</v>
      </c>
      <c r="E242" s="12" t="s">
        <v>2219</v>
      </c>
      <c r="F242" s="18" t="s">
        <v>1894</v>
      </c>
      <c r="G242" s="34" t="s">
        <v>552</v>
      </c>
      <c r="H242" s="12" t="s">
        <v>2218</v>
      </c>
      <c r="I242" s="12" t="s">
        <v>2222</v>
      </c>
      <c r="J242" s="14"/>
      <c r="K242" s="27">
        <v>0</v>
      </c>
      <c r="L242" s="10"/>
      <c r="M242" s="12" t="s">
        <v>1485</v>
      </c>
      <c r="N242" s="12" t="s">
        <v>1486</v>
      </c>
      <c r="O242" s="8">
        <f t="shared" si="3"/>
        <v>0</v>
      </c>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6"/>
    </row>
    <row r="243" spans="1:52" ht="18.75" customHeight="1">
      <c r="A243" s="4">
        <v>219</v>
      </c>
      <c r="B243" s="11" t="s">
        <v>88</v>
      </c>
      <c r="C243" s="12"/>
      <c r="D243" s="12" t="s">
        <v>2223</v>
      </c>
      <c r="E243" s="12" t="s">
        <v>2224</v>
      </c>
      <c r="F243" s="18" t="s">
        <v>1891</v>
      </c>
      <c r="G243" s="34" t="s">
        <v>552</v>
      </c>
      <c r="H243" s="12" t="s">
        <v>2221</v>
      </c>
      <c r="I243" s="12" t="s">
        <v>2077</v>
      </c>
      <c r="J243" s="14"/>
      <c r="K243" s="27">
        <v>0</v>
      </c>
      <c r="L243" s="10"/>
      <c r="M243" s="12" t="s">
        <v>1485</v>
      </c>
      <c r="N243" s="12" t="s">
        <v>1486</v>
      </c>
      <c r="O243" s="8">
        <f t="shared" si="3"/>
        <v>0</v>
      </c>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6"/>
    </row>
    <row r="244" spans="1:52" ht="18.75" customHeight="1">
      <c r="A244" s="4">
        <v>220</v>
      </c>
      <c r="B244" s="11" t="s">
        <v>88</v>
      </c>
      <c r="C244" s="12"/>
      <c r="D244" s="12" t="s">
        <v>2225</v>
      </c>
      <c r="E244" s="12" t="s">
        <v>2226</v>
      </c>
      <c r="F244" s="18" t="s">
        <v>1894</v>
      </c>
      <c r="G244" s="34" t="s">
        <v>552</v>
      </c>
      <c r="H244" s="12" t="s">
        <v>2223</v>
      </c>
      <c r="I244" s="12" t="s">
        <v>2227</v>
      </c>
      <c r="J244" s="14"/>
      <c r="K244" s="27">
        <v>0</v>
      </c>
      <c r="L244" s="10"/>
      <c r="M244" s="12" t="s">
        <v>1485</v>
      </c>
      <c r="N244" s="12" t="s">
        <v>1486</v>
      </c>
      <c r="O244" s="8">
        <f t="shared" si="3"/>
        <v>28</v>
      </c>
      <c r="P244" s="17"/>
      <c r="Q244" s="17"/>
      <c r="R244" s="106">
        <v>2</v>
      </c>
      <c r="S244" s="106">
        <v>3</v>
      </c>
      <c r="T244" s="106">
        <v>3</v>
      </c>
      <c r="U244" s="106">
        <v>1</v>
      </c>
      <c r="V244" s="17"/>
      <c r="W244" s="17"/>
      <c r="X244" s="106">
        <v>6</v>
      </c>
      <c r="Y244" s="106">
        <v>1</v>
      </c>
      <c r="Z244" s="17"/>
      <c r="AA244" s="17"/>
      <c r="AB244" s="17"/>
      <c r="AC244" s="17">
        <v>6</v>
      </c>
      <c r="AD244" s="17">
        <v>6</v>
      </c>
      <c r="AE244" s="17"/>
      <c r="AF244" s="17"/>
      <c r="AG244" s="17"/>
      <c r="AH244" s="17"/>
      <c r="AI244" s="17"/>
      <c r="AJ244" s="17"/>
      <c r="AK244" s="17"/>
      <c r="AL244" s="17"/>
      <c r="AM244" s="17"/>
      <c r="AN244" s="17"/>
      <c r="AO244" s="17"/>
      <c r="AP244" s="17"/>
      <c r="AQ244" s="17"/>
      <c r="AR244" s="17"/>
      <c r="AS244" s="17"/>
      <c r="AT244" s="17"/>
      <c r="AU244" s="17"/>
      <c r="AV244" s="17"/>
      <c r="AW244" s="17"/>
      <c r="AX244" s="16" t="s">
        <v>2228</v>
      </c>
      <c r="AZ244" t="s">
        <v>2229</v>
      </c>
    </row>
    <row r="245" spans="1:52" ht="18.75" customHeight="1">
      <c r="A245" s="4">
        <v>221</v>
      </c>
      <c r="B245" s="11" t="s">
        <v>88</v>
      </c>
      <c r="C245" s="12"/>
      <c r="D245" s="12" t="s">
        <v>2230</v>
      </c>
      <c r="E245" s="12" t="s">
        <v>2231</v>
      </c>
      <c r="F245" s="18" t="s">
        <v>2232</v>
      </c>
      <c r="G245" s="34" t="s">
        <v>552</v>
      </c>
      <c r="H245" s="12" t="s">
        <v>2225</v>
      </c>
      <c r="I245" s="12" t="s">
        <v>2084</v>
      </c>
      <c r="J245" s="14"/>
      <c r="K245" s="27">
        <v>0</v>
      </c>
      <c r="L245" s="10"/>
      <c r="M245" s="12" t="s">
        <v>1485</v>
      </c>
      <c r="N245" s="12" t="s">
        <v>1486</v>
      </c>
      <c r="O245" s="8">
        <f t="shared" si="3"/>
        <v>0</v>
      </c>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6"/>
    </row>
    <row r="246" spans="1:52" ht="56.25" customHeight="1">
      <c r="A246" s="4">
        <v>222</v>
      </c>
      <c r="B246" s="11" t="s">
        <v>88</v>
      </c>
      <c r="C246" s="12"/>
      <c r="D246" s="12" t="s">
        <v>2233</v>
      </c>
      <c r="E246" s="12" t="s">
        <v>2231</v>
      </c>
      <c r="F246" s="109" t="s">
        <v>2234</v>
      </c>
      <c r="G246" s="34" t="s">
        <v>552</v>
      </c>
      <c r="H246" s="12" t="s">
        <v>2230</v>
      </c>
      <c r="I246" s="12" t="s">
        <v>2084</v>
      </c>
      <c r="J246" s="12" t="s">
        <v>2085</v>
      </c>
      <c r="K246" s="27">
        <v>0</v>
      </c>
      <c r="L246" s="10"/>
      <c r="M246" s="12" t="s">
        <v>1485</v>
      </c>
      <c r="N246" s="12" t="s">
        <v>1486</v>
      </c>
      <c r="O246" s="8">
        <f t="shared" si="3"/>
        <v>28</v>
      </c>
      <c r="P246" s="17"/>
      <c r="Q246" s="17"/>
      <c r="R246" s="106">
        <v>2</v>
      </c>
      <c r="S246" s="106">
        <v>3</v>
      </c>
      <c r="T246" s="106">
        <v>3</v>
      </c>
      <c r="U246" s="106">
        <v>1</v>
      </c>
      <c r="V246" s="17"/>
      <c r="W246" s="17"/>
      <c r="X246" s="106">
        <v>6</v>
      </c>
      <c r="Y246" s="106">
        <v>1</v>
      </c>
      <c r="Z246" s="17"/>
      <c r="AA246" s="17"/>
      <c r="AB246" s="17"/>
      <c r="AC246" s="17">
        <v>6</v>
      </c>
      <c r="AD246" s="17">
        <v>6</v>
      </c>
      <c r="AE246" s="17"/>
      <c r="AF246" s="17"/>
      <c r="AG246" s="17"/>
      <c r="AH246" s="17"/>
      <c r="AI246" s="17"/>
      <c r="AJ246" s="17"/>
      <c r="AK246" s="17"/>
      <c r="AL246" s="17"/>
      <c r="AM246" s="17"/>
      <c r="AN246" s="17"/>
      <c r="AO246" s="17"/>
      <c r="AP246" s="17"/>
      <c r="AQ246" s="17"/>
      <c r="AR246" s="17"/>
      <c r="AS246" s="17"/>
      <c r="AT246" s="17"/>
      <c r="AU246" s="17"/>
      <c r="AV246" s="17"/>
      <c r="AW246" s="17"/>
      <c r="AX246" s="16"/>
      <c r="AZ246" t="s">
        <v>2235</v>
      </c>
    </row>
    <row r="247" spans="1:52" ht="18.75" customHeight="1">
      <c r="A247" s="4">
        <v>223</v>
      </c>
      <c r="B247" s="11" t="s">
        <v>88</v>
      </c>
      <c r="C247" s="12"/>
      <c r="D247" s="12" t="s">
        <v>2236</v>
      </c>
      <c r="E247" s="12" t="s">
        <v>2237</v>
      </c>
      <c r="F247" s="18" t="s">
        <v>1933</v>
      </c>
      <c r="G247" s="34" t="s">
        <v>552</v>
      </c>
      <c r="H247" s="12" t="s">
        <v>2233</v>
      </c>
      <c r="I247" s="12" t="s">
        <v>2238</v>
      </c>
      <c r="J247" s="14"/>
      <c r="K247" s="27">
        <v>0</v>
      </c>
      <c r="L247" s="10"/>
      <c r="M247" s="12" t="s">
        <v>1485</v>
      </c>
      <c r="N247" s="12" t="s">
        <v>1486</v>
      </c>
      <c r="O247" s="8">
        <f t="shared" si="3"/>
        <v>1</v>
      </c>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v>1</v>
      </c>
      <c r="AQ247" s="17"/>
      <c r="AR247" s="17"/>
      <c r="AS247" s="17"/>
      <c r="AT247" s="17"/>
      <c r="AU247" s="17"/>
      <c r="AV247" s="17"/>
      <c r="AW247" s="17"/>
      <c r="AX247" s="16"/>
      <c r="AZ247" t="s">
        <v>2239</v>
      </c>
    </row>
    <row r="248" spans="1:52" ht="18.75" customHeight="1">
      <c r="A248" s="4">
        <v>224</v>
      </c>
      <c r="B248" s="11" t="s">
        <v>88</v>
      </c>
      <c r="C248" s="12"/>
      <c r="D248" s="12" t="s">
        <v>2240</v>
      </c>
      <c r="E248" s="12" t="s">
        <v>2241</v>
      </c>
      <c r="F248" s="18" t="s">
        <v>2242</v>
      </c>
      <c r="G248" s="34" t="s">
        <v>552</v>
      </c>
      <c r="H248" s="12" t="s">
        <v>2236</v>
      </c>
      <c r="I248" s="12" t="s">
        <v>2243</v>
      </c>
      <c r="J248" s="14"/>
      <c r="K248" s="27">
        <v>0</v>
      </c>
      <c r="L248" s="10"/>
      <c r="M248" s="12" t="s">
        <v>1485</v>
      </c>
      <c r="N248" s="12" t="s">
        <v>1486</v>
      </c>
      <c r="O248" s="8">
        <f t="shared" si="3"/>
        <v>1</v>
      </c>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v>1</v>
      </c>
      <c r="AQ248" s="17"/>
      <c r="AR248" s="17"/>
      <c r="AS248" s="17"/>
      <c r="AT248" s="17"/>
      <c r="AU248" s="17"/>
      <c r="AV248" s="17"/>
      <c r="AW248" s="17"/>
      <c r="AX248" s="16"/>
      <c r="AZ248" t="s">
        <v>2244</v>
      </c>
    </row>
    <row r="249" spans="1:52" ht="18.75" customHeight="1">
      <c r="A249" s="4">
        <v>227</v>
      </c>
      <c r="B249" s="11" t="s">
        <v>88</v>
      </c>
      <c r="C249" s="12"/>
      <c r="D249" s="12" t="s">
        <v>2245</v>
      </c>
      <c r="E249" s="12" t="s">
        <v>2246</v>
      </c>
      <c r="F249" s="18" t="s">
        <v>2247</v>
      </c>
      <c r="G249" s="34" t="s">
        <v>552</v>
      </c>
      <c r="H249" s="12" t="s">
        <v>2248</v>
      </c>
      <c r="I249" s="12" t="s">
        <v>2249</v>
      </c>
      <c r="J249" s="14"/>
      <c r="K249" s="27">
        <v>0</v>
      </c>
      <c r="L249" s="10"/>
      <c r="M249" s="12" t="s">
        <v>1485</v>
      </c>
      <c r="N249" s="12" t="s">
        <v>1486</v>
      </c>
      <c r="O249" s="8">
        <f t="shared" si="3"/>
        <v>0</v>
      </c>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6"/>
    </row>
    <row r="250" spans="1:52" ht="18.75" customHeight="1">
      <c r="A250" s="4">
        <v>228</v>
      </c>
      <c r="B250" s="11" t="s">
        <v>88</v>
      </c>
      <c r="C250" s="12"/>
      <c r="D250" s="12" t="s">
        <v>2248</v>
      </c>
      <c r="E250" s="12" t="s">
        <v>2250</v>
      </c>
      <c r="F250" s="18" t="s">
        <v>2251</v>
      </c>
      <c r="G250" s="34" t="s">
        <v>552</v>
      </c>
      <c r="H250" s="12" t="s">
        <v>2252</v>
      </c>
      <c r="I250" s="12" t="s">
        <v>2253</v>
      </c>
      <c r="J250" s="14"/>
      <c r="K250" s="27">
        <v>0</v>
      </c>
      <c r="L250" s="10"/>
      <c r="M250" s="12" t="s">
        <v>1485</v>
      </c>
      <c r="N250" s="12" t="s">
        <v>1486</v>
      </c>
      <c r="O250" s="8">
        <f t="shared" si="3"/>
        <v>0</v>
      </c>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6"/>
    </row>
    <row r="251" spans="1:52" ht="18.75" customHeight="1">
      <c r="A251" s="4">
        <v>229</v>
      </c>
      <c r="B251" s="11" t="s">
        <v>88</v>
      </c>
      <c r="C251" s="12"/>
      <c r="D251" s="12" t="s">
        <v>2252</v>
      </c>
      <c r="E251" s="12" t="s">
        <v>2254</v>
      </c>
      <c r="F251" s="18" t="s">
        <v>1891</v>
      </c>
      <c r="G251" s="34" t="s">
        <v>552</v>
      </c>
      <c r="H251" s="12" t="s">
        <v>2255</v>
      </c>
      <c r="I251" s="12" t="s">
        <v>2073</v>
      </c>
      <c r="J251" s="14"/>
      <c r="K251" s="27">
        <v>0</v>
      </c>
      <c r="L251" s="10"/>
      <c r="M251" s="12" t="s">
        <v>1485</v>
      </c>
      <c r="N251" s="12" t="s">
        <v>1486</v>
      </c>
      <c r="O251" s="8">
        <f t="shared" si="3"/>
        <v>0</v>
      </c>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6"/>
    </row>
    <row r="252" spans="1:52" ht="18.75" customHeight="1">
      <c r="A252" s="4"/>
      <c r="B252" s="11" t="s">
        <v>88</v>
      </c>
      <c r="C252" s="12"/>
      <c r="D252" s="12" t="s">
        <v>2255</v>
      </c>
      <c r="E252" s="12" t="s">
        <v>2256</v>
      </c>
      <c r="F252" s="18" t="s">
        <v>2257</v>
      </c>
      <c r="G252" s="34"/>
      <c r="H252" s="12" t="s">
        <v>2258</v>
      </c>
      <c r="I252" s="12" t="s">
        <v>2073</v>
      </c>
      <c r="J252" s="14"/>
      <c r="K252" s="27"/>
      <c r="L252" s="10"/>
      <c r="M252" s="12" t="s">
        <v>1485</v>
      </c>
      <c r="N252" s="12" t="s">
        <v>1486</v>
      </c>
      <c r="O252" s="8">
        <f t="shared" si="3"/>
        <v>80</v>
      </c>
      <c r="P252" s="17"/>
      <c r="Q252" s="17"/>
      <c r="R252" s="106">
        <f>2*5</f>
        <v>10</v>
      </c>
      <c r="S252" s="106">
        <f>3*5</f>
        <v>15</v>
      </c>
      <c r="T252" s="106">
        <f>3*5</f>
        <v>15</v>
      </c>
      <c r="U252" s="106">
        <f>1*5</f>
        <v>5</v>
      </c>
      <c r="V252" s="17"/>
      <c r="W252" s="17"/>
      <c r="X252" s="106">
        <f>6*5</f>
        <v>30</v>
      </c>
      <c r="Y252" s="106">
        <f>1*5</f>
        <v>5</v>
      </c>
      <c r="Z252" s="17"/>
      <c r="AA252" s="17"/>
      <c r="AB252" s="17"/>
      <c r="AC252" s="17">
        <f>V246*5</f>
        <v>0</v>
      </c>
      <c r="AD252" s="17">
        <f>W246*5</f>
        <v>0</v>
      </c>
      <c r="AE252" s="17"/>
      <c r="AF252" s="17"/>
      <c r="AG252" s="17"/>
      <c r="AH252" s="17"/>
      <c r="AI252" s="17"/>
      <c r="AJ252" s="17"/>
      <c r="AK252" s="17"/>
      <c r="AL252" s="17"/>
      <c r="AM252" s="17"/>
      <c r="AN252" s="17"/>
      <c r="AO252" s="17"/>
      <c r="AP252" s="17"/>
      <c r="AQ252" s="17"/>
      <c r="AR252" s="17"/>
      <c r="AS252" s="17"/>
      <c r="AT252" s="17"/>
      <c r="AU252" s="17"/>
      <c r="AV252" s="17"/>
      <c r="AW252" s="17"/>
      <c r="AX252" s="16"/>
    </row>
    <row r="253" spans="1:52" ht="18.75" customHeight="1">
      <c r="A253" s="4">
        <v>230</v>
      </c>
      <c r="B253" s="5" t="s">
        <v>88</v>
      </c>
      <c r="C253" s="6"/>
      <c r="D253" s="35" t="s">
        <v>2259</v>
      </c>
      <c r="E253" s="35" t="s">
        <v>2260</v>
      </c>
      <c r="F253" s="7"/>
      <c r="G253" s="9"/>
      <c r="H253" s="9"/>
      <c r="I253" s="9"/>
      <c r="J253" s="9"/>
      <c r="K253" s="20">
        <v>0</v>
      </c>
      <c r="L253" s="4"/>
      <c r="M253" s="9" t="s">
        <v>1485</v>
      </c>
      <c r="N253" s="9"/>
      <c r="O253" s="8">
        <f t="shared" si="3"/>
        <v>0</v>
      </c>
      <c r="P253" s="8"/>
      <c r="Q253" s="17"/>
      <c r="R253" s="8"/>
      <c r="S253" s="8"/>
      <c r="T253" s="8"/>
      <c r="U253" s="8"/>
      <c r="V253" s="17"/>
      <c r="W253" s="17"/>
      <c r="X253" s="8"/>
      <c r="Y253" s="8"/>
      <c r="Z253" s="17"/>
      <c r="AA253" s="8"/>
      <c r="AB253" s="8"/>
      <c r="AC253" s="17"/>
      <c r="AD253" s="17"/>
      <c r="AE253" s="8"/>
      <c r="AF253" s="17"/>
      <c r="AG253" s="17"/>
      <c r="AH253" s="8"/>
      <c r="AI253" s="8"/>
      <c r="AJ253" s="8"/>
      <c r="AK253" s="8"/>
      <c r="AL253" s="8"/>
      <c r="AM253" s="8"/>
      <c r="AN253" s="8"/>
      <c r="AO253" s="8"/>
      <c r="AP253" s="17"/>
      <c r="AQ253" s="17"/>
      <c r="AR253" s="8"/>
      <c r="AS253" s="8"/>
      <c r="AT253" s="8"/>
      <c r="AU253" s="8"/>
      <c r="AV253" s="8"/>
      <c r="AW253" s="8"/>
      <c r="AX253" s="16"/>
    </row>
    <row r="254" spans="1:52" ht="18.75" customHeight="1">
      <c r="A254" s="4">
        <v>231</v>
      </c>
      <c r="B254" s="11" t="s">
        <v>88</v>
      </c>
      <c r="C254" s="12"/>
      <c r="D254" s="12" t="s">
        <v>2261</v>
      </c>
      <c r="E254" s="12" t="s">
        <v>2262</v>
      </c>
      <c r="F254" s="18" t="s">
        <v>1862</v>
      </c>
      <c r="G254" s="34" t="s">
        <v>552</v>
      </c>
      <c r="H254" s="12" t="s">
        <v>2263</v>
      </c>
      <c r="I254" s="12" t="s">
        <v>2264</v>
      </c>
      <c r="J254" s="14"/>
      <c r="K254" s="27">
        <v>0</v>
      </c>
      <c r="L254" s="10"/>
      <c r="M254" s="12" t="s">
        <v>1485</v>
      </c>
      <c r="N254" s="12" t="s">
        <v>1486</v>
      </c>
      <c r="O254" s="8">
        <f t="shared" si="3"/>
        <v>0</v>
      </c>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6"/>
    </row>
    <row r="255" spans="1:52" ht="18.75" customHeight="1">
      <c r="A255" s="4">
        <v>232</v>
      </c>
      <c r="B255" s="11" t="s">
        <v>88</v>
      </c>
      <c r="C255" s="12"/>
      <c r="D255" s="12" t="s">
        <v>2265</v>
      </c>
      <c r="E255" s="12" t="s">
        <v>2266</v>
      </c>
      <c r="F255" s="18" t="s">
        <v>1867</v>
      </c>
      <c r="G255" s="34" t="s">
        <v>552</v>
      </c>
      <c r="H255" s="12" t="s">
        <v>2267</v>
      </c>
      <c r="I255" s="12" t="s">
        <v>2268</v>
      </c>
      <c r="J255" s="14"/>
      <c r="K255" s="27">
        <v>0</v>
      </c>
      <c r="L255" s="10"/>
      <c r="M255" s="12" t="s">
        <v>1485</v>
      </c>
      <c r="N255" s="12" t="s">
        <v>1486</v>
      </c>
      <c r="O255" s="8">
        <f t="shared" si="3"/>
        <v>0</v>
      </c>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6"/>
    </row>
    <row r="256" spans="1:52" ht="18.75" customHeight="1">
      <c r="A256" s="4">
        <v>233</v>
      </c>
      <c r="B256" s="11" t="s">
        <v>88</v>
      </c>
      <c r="C256" s="12"/>
      <c r="D256" s="12" t="s">
        <v>2269</v>
      </c>
      <c r="E256" s="12" t="s">
        <v>2270</v>
      </c>
      <c r="F256" s="18" t="s">
        <v>2193</v>
      </c>
      <c r="G256" s="34" t="s">
        <v>552</v>
      </c>
      <c r="H256" s="12" t="s">
        <v>2271</v>
      </c>
      <c r="I256" s="12" t="s">
        <v>2104</v>
      </c>
      <c r="J256" s="14"/>
      <c r="K256" s="27">
        <v>0</v>
      </c>
      <c r="L256" s="10"/>
      <c r="M256" s="12" t="s">
        <v>1485</v>
      </c>
      <c r="N256" s="12" t="s">
        <v>1486</v>
      </c>
      <c r="O256" s="8">
        <f t="shared" si="3"/>
        <v>0</v>
      </c>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6"/>
    </row>
    <row r="257" spans="1:52" ht="18.75" customHeight="1">
      <c r="A257" s="4">
        <v>234</v>
      </c>
      <c r="B257" s="11" t="s">
        <v>88</v>
      </c>
      <c r="C257" s="12"/>
      <c r="D257" s="12" t="s">
        <v>2272</v>
      </c>
      <c r="E257" s="12" t="s">
        <v>2273</v>
      </c>
      <c r="F257" s="18" t="s">
        <v>2274</v>
      </c>
      <c r="G257" s="34" t="s">
        <v>552</v>
      </c>
      <c r="H257" s="12" t="s">
        <v>2275</v>
      </c>
      <c r="I257" s="12" t="s">
        <v>2276</v>
      </c>
      <c r="J257" s="14"/>
      <c r="K257" s="27">
        <v>0</v>
      </c>
      <c r="L257" s="10"/>
      <c r="M257" s="12" t="s">
        <v>1485</v>
      </c>
      <c r="N257" s="12" t="s">
        <v>1486</v>
      </c>
      <c r="O257" s="8">
        <f t="shared" si="3"/>
        <v>0</v>
      </c>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6"/>
    </row>
    <row r="258" spans="1:52" ht="18.75" customHeight="1">
      <c r="A258" s="4">
        <v>235</v>
      </c>
      <c r="B258" s="11" t="s">
        <v>88</v>
      </c>
      <c r="C258" s="12"/>
      <c r="D258" s="12" t="s">
        <v>2277</v>
      </c>
      <c r="E258" s="12" t="s">
        <v>2278</v>
      </c>
      <c r="F258" s="18" t="s">
        <v>2150</v>
      </c>
      <c r="G258" s="34" t="s">
        <v>552</v>
      </c>
      <c r="H258" s="12" t="s">
        <v>2279</v>
      </c>
      <c r="I258" s="12" t="s">
        <v>2151</v>
      </c>
      <c r="J258" s="14"/>
      <c r="K258" s="27">
        <v>0</v>
      </c>
      <c r="L258" s="10"/>
      <c r="M258" s="12" t="s">
        <v>1485</v>
      </c>
      <c r="N258" s="12" t="s">
        <v>1486</v>
      </c>
      <c r="O258" s="8">
        <f t="shared" si="3"/>
        <v>0</v>
      </c>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6"/>
    </row>
    <row r="259" spans="1:52" ht="18.75" customHeight="1">
      <c r="A259" s="4">
        <v>236</v>
      </c>
      <c r="B259" s="11" t="s">
        <v>88</v>
      </c>
      <c r="C259" s="12"/>
      <c r="D259" s="12" t="s">
        <v>2280</v>
      </c>
      <c r="E259" s="12" t="s">
        <v>2281</v>
      </c>
      <c r="F259" s="18" t="s">
        <v>2282</v>
      </c>
      <c r="G259" s="34" t="s">
        <v>552</v>
      </c>
      <c r="H259" s="12" t="s">
        <v>2283</v>
      </c>
      <c r="I259" s="12" t="s">
        <v>2284</v>
      </c>
      <c r="J259" s="14"/>
      <c r="K259" s="27">
        <v>0</v>
      </c>
      <c r="L259" s="10"/>
      <c r="M259" s="12" t="s">
        <v>1485</v>
      </c>
      <c r="N259" s="12" t="s">
        <v>1486</v>
      </c>
      <c r="O259" s="8">
        <f t="shared" si="3"/>
        <v>0</v>
      </c>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6"/>
    </row>
    <row r="260" spans="1:52" ht="18.75" customHeight="1">
      <c r="A260" s="4">
        <v>237</v>
      </c>
      <c r="B260" s="11" t="s">
        <v>88</v>
      </c>
      <c r="C260" s="12"/>
      <c r="D260" s="12" t="s">
        <v>2285</v>
      </c>
      <c r="E260" s="12" t="s">
        <v>2286</v>
      </c>
      <c r="F260" s="18" t="s">
        <v>2287</v>
      </c>
      <c r="G260" s="34" t="s">
        <v>552</v>
      </c>
      <c r="H260" s="12" t="s">
        <v>2288</v>
      </c>
      <c r="I260" s="12" t="s">
        <v>2289</v>
      </c>
      <c r="J260" s="14"/>
      <c r="K260" s="27">
        <v>0</v>
      </c>
      <c r="L260" s="10"/>
      <c r="M260" s="12" t="s">
        <v>1485</v>
      </c>
      <c r="N260" s="12" t="s">
        <v>1486</v>
      </c>
      <c r="O260" s="8">
        <f t="shared" si="3"/>
        <v>0</v>
      </c>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6"/>
    </row>
    <row r="261" spans="1:52" ht="18.75" customHeight="1">
      <c r="A261" s="4">
        <v>238</v>
      </c>
      <c r="B261" s="11" t="s">
        <v>88</v>
      </c>
      <c r="C261" s="12"/>
      <c r="D261" s="12" t="s">
        <v>2290</v>
      </c>
      <c r="E261" s="12" t="s">
        <v>2291</v>
      </c>
      <c r="F261" s="18" t="s">
        <v>2292</v>
      </c>
      <c r="G261" s="34" t="s">
        <v>552</v>
      </c>
      <c r="H261" s="12" t="s">
        <v>2293</v>
      </c>
      <c r="I261" s="12" t="s">
        <v>2155</v>
      </c>
      <c r="J261" s="14"/>
      <c r="K261" s="27">
        <v>0</v>
      </c>
      <c r="L261" s="10"/>
      <c r="M261" s="12" t="s">
        <v>1485</v>
      </c>
      <c r="N261" s="12" t="s">
        <v>1486</v>
      </c>
      <c r="O261" s="8">
        <f t="shared" si="3"/>
        <v>0</v>
      </c>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4"/>
    </row>
    <row r="262" spans="1:52" ht="18.75" customHeight="1">
      <c r="A262" s="4">
        <v>239</v>
      </c>
      <c r="B262" s="11" t="s">
        <v>88</v>
      </c>
      <c r="C262" s="12"/>
      <c r="D262" s="12" t="s">
        <v>2294</v>
      </c>
      <c r="E262" s="12" t="s">
        <v>2295</v>
      </c>
      <c r="F262" s="18" t="s">
        <v>2158</v>
      </c>
      <c r="G262" s="34" t="s">
        <v>552</v>
      </c>
      <c r="H262" s="12" t="s">
        <v>2296</v>
      </c>
      <c r="I262" s="12" t="s">
        <v>2159</v>
      </c>
      <c r="J262" s="14"/>
      <c r="K262" s="27">
        <v>0</v>
      </c>
      <c r="L262" s="10"/>
      <c r="M262" s="12" t="s">
        <v>1485</v>
      </c>
      <c r="N262" s="12" t="s">
        <v>1486</v>
      </c>
      <c r="O262" s="8">
        <f t="shared" si="3"/>
        <v>0</v>
      </c>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4"/>
    </row>
    <row r="263" spans="1:52" ht="18.75" customHeight="1">
      <c r="A263" s="4">
        <v>240</v>
      </c>
      <c r="B263" s="11" t="s">
        <v>88</v>
      </c>
      <c r="C263" s="12"/>
      <c r="D263" s="12" t="s">
        <v>2297</v>
      </c>
      <c r="E263" s="12" t="s">
        <v>2298</v>
      </c>
      <c r="F263" s="18" t="s">
        <v>2162</v>
      </c>
      <c r="G263" s="34" t="s">
        <v>552</v>
      </c>
      <c r="H263" s="12" t="s">
        <v>2299</v>
      </c>
      <c r="I263" s="12" t="s">
        <v>2163</v>
      </c>
      <c r="J263" s="14"/>
      <c r="K263" s="27">
        <v>0</v>
      </c>
      <c r="L263" s="10"/>
      <c r="M263" s="12" t="s">
        <v>1485</v>
      </c>
      <c r="N263" s="12" t="s">
        <v>1486</v>
      </c>
      <c r="O263" s="8">
        <f t="shared" si="3"/>
        <v>0</v>
      </c>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4"/>
    </row>
    <row r="264" spans="1:52" ht="18.75" customHeight="1">
      <c r="A264" s="4">
        <v>241</v>
      </c>
      <c r="B264" s="11" t="s">
        <v>88</v>
      </c>
      <c r="C264" s="12"/>
      <c r="D264" s="12" t="s">
        <v>2300</v>
      </c>
      <c r="E264" s="12" t="s">
        <v>2301</v>
      </c>
      <c r="F264" s="18" t="s">
        <v>2166</v>
      </c>
      <c r="G264" s="34" t="s">
        <v>552</v>
      </c>
      <c r="H264" s="12" t="s">
        <v>2302</v>
      </c>
      <c r="I264" s="12" t="s">
        <v>2167</v>
      </c>
      <c r="J264" s="14"/>
      <c r="K264" s="27">
        <v>0</v>
      </c>
      <c r="L264" s="10"/>
      <c r="M264" s="12" t="s">
        <v>1485</v>
      </c>
      <c r="N264" s="12" t="s">
        <v>1486</v>
      </c>
      <c r="O264" s="8">
        <f t="shared" si="3"/>
        <v>0</v>
      </c>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4"/>
    </row>
    <row r="265" spans="1:52" ht="18.75" customHeight="1">
      <c r="A265" s="4">
        <v>242</v>
      </c>
      <c r="B265" s="11" t="s">
        <v>88</v>
      </c>
      <c r="C265" s="12"/>
      <c r="D265" s="12" t="s">
        <v>2303</v>
      </c>
      <c r="E265" s="12" t="s">
        <v>2304</v>
      </c>
      <c r="F265" s="18" t="s">
        <v>2305</v>
      </c>
      <c r="G265" s="34" t="s">
        <v>552</v>
      </c>
      <c r="H265" s="12" t="s">
        <v>2306</v>
      </c>
      <c r="I265" s="12" t="s">
        <v>2307</v>
      </c>
      <c r="J265" s="14"/>
      <c r="K265" s="27">
        <v>0</v>
      </c>
      <c r="L265" s="10"/>
      <c r="M265" s="12" t="s">
        <v>1485</v>
      </c>
      <c r="N265" s="12" t="s">
        <v>1486</v>
      </c>
      <c r="O265" s="8">
        <f t="shared" si="3"/>
        <v>0</v>
      </c>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4"/>
    </row>
    <row r="266" spans="1:52" ht="18.75" customHeight="1">
      <c r="A266" s="4">
        <v>243</v>
      </c>
      <c r="B266" s="11" t="s">
        <v>88</v>
      </c>
      <c r="C266" s="12"/>
      <c r="D266" s="12" t="s">
        <v>2308</v>
      </c>
      <c r="E266" s="12" t="s">
        <v>2309</v>
      </c>
      <c r="F266" s="18" t="s">
        <v>2310</v>
      </c>
      <c r="G266" s="34" t="s">
        <v>552</v>
      </c>
      <c r="H266" s="12" t="s">
        <v>2311</v>
      </c>
      <c r="I266" s="12" t="s">
        <v>2312</v>
      </c>
      <c r="J266" s="14"/>
      <c r="K266" s="27">
        <v>0</v>
      </c>
      <c r="L266" s="10"/>
      <c r="M266" s="12" t="s">
        <v>1485</v>
      </c>
      <c r="N266" s="12" t="s">
        <v>1486</v>
      </c>
      <c r="O266" s="8">
        <f t="shared" ref="O266:O329" si="4">SUM(P266:AW266)</f>
        <v>0</v>
      </c>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4"/>
    </row>
    <row r="267" spans="1:52" ht="18.399999999999999" customHeight="1">
      <c r="A267" s="4">
        <v>244</v>
      </c>
      <c r="B267" s="11" t="s">
        <v>88</v>
      </c>
      <c r="C267" s="12"/>
      <c r="D267" s="12" t="s">
        <v>2313</v>
      </c>
      <c r="E267" s="12" t="s">
        <v>2314</v>
      </c>
      <c r="F267" s="18" t="s">
        <v>2315</v>
      </c>
      <c r="G267" s="34" t="s">
        <v>552</v>
      </c>
      <c r="H267" s="12" t="s">
        <v>2316</v>
      </c>
      <c r="I267" s="12" t="s">
        <v>2317</v>
      </c>
      <c r="J267" s="14"/>
      <c r="K267" s="27">
        <v>0</v>
      </c>
      <c r="L267" s="10"/>
      <c r="M267" s="12" t="s">
        <v>1485</v>
      </c>
      <c r="N267" s="12" t="s">
        <v>1486</v>
      </c>
      <c r="O267" s="8">
        <f t="shared" si="4"/>
        <v>0</v>
      </c>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4"/>
    </row>
    <row r="268" spans="1:52" ht="18.75" customHeight="1">
      <c r="A268" s="4">
        <v>245</v>
      </c>
      <c r="B268" s="11" t="s">
        <v>88</v>
      </c>
      <c r="C268" s="12"/>
      <c r="D268" s="12" t="s">
        <v>2318</v>
      </c>
      <c r="E268" s="12" t="s">
        <v>2319</v>
      </c>
      <c r="F268" s="18" t="s">
        <v>2320</v>
      </c>
      <c r="G268" s="34" t="s">
        <v>552</v>
      </c>
      <c r="H268" s="12" t="s">
        <v>2321</v>
      </c>
      <c r="I268" s="12" t="s">
        <v>2322</v>
      </c>
      <c r="J268" s="14"/>
      <c r="K268" s="27">
        <v>0</v>
      </c>
      <c r="L268" s="10"/>
      <c r="M268" s="12" t="s">
        <v>1485</v>
      </c>
      <c r="N268" s="12" t="s">
        <v>1486</v>
      </c>
      <c r="O268" s="8">
        <f t="shared" si="4"/>
        <v>0</v>
      </c>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4"/>
    </row>
    <row r="269" spans="1:52" ht="18.75" customHeight="1">
      <c r="A269" s="4">
        <v>246</v>
      </c>
      <c r="B269" s="11" t="s">
        <v>88</v>
      </c>
      <c r="C269" s="12"/>
      <c r="D269" s="12" t="s">
        <v>2323</v>
      </c>
      <c r="E269" s="12" t="s">
        <v>2324</v>
      </c>
      <c r="F269" s="18" t="s">
        <v>1933</v>
      </c>
      <c r="G269" s="34" t="s">
        <v>552</v>
      </c>
      <c r="H269" s="12" t="s">
        <v>2325</v>
      </c>
      <c r="I269" s="12" t="s">
        <v>2326</v>
      </c>
      <c r="J269" s="14"/>
      <c r="K269" s="27">
        <v>0</v>
      </c>
      <c r="L269" s="10"/>
      <c r="M269" s="12" t="s">
        <v>1485</v>
      </c>
      <c r="N269" s="12" t="s">
        <v>1486</v>
      </c>
      <c r="O269" s="8">
        <f t="shared" si="4"/>
        <v>2</v>
      </c>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v>1</v>
      </c>
      <c r="AQ269" s="17"/>
      <c r="AR269" s="17"/>
      <c r="AS269" s="17">
        <v>1</v>
      </c>
      <c r="AT269" s="17"/>
      <c r="AU269" s="17"/>
      <c r="AV269" s="17"/>
      <c r="AW269" s="17"/>
      <c r="AX269" s="14"/>
      <c r="AZ269" t="s">
        <v>2327</v>
      </c>
    </row>
    <row r="270" spans="1:52" ht="18.75" customHeight="1">
      <c r="A270" s="4">
        <v>247</v>
      </c>
      <c r="B270" s="11" t="s">
        <v>88</v>
      </c>
      <c r="C270" s="12"/>
      <c r="D270" s="12" t="s">
        <v>2328</v>
      </c>
      <c r="E270" s="12" t="s">
        <v>2329</v>
      </c>
      <c r="F270" s="18" t="s">
        <v>2330</v>
      </c>
      <c r="G270" s="34" t="s">
        <v>552</v>
      </c>
      <c r="H270" s="12" t="s">
        <v>2331</v>
      </c>
      <c r="I270" s="12" t="s">
        <v>2332</v>
      </c>
      <c r="J270" s="14"/>
      <c r="K270" s="27">
        <v>0</v>
      </c>
      <c r="L270" s="10"/>
      <c r="M270" s="12" t="s">
        <v>1485</v>
      </c>
      <c r="N270" s="12" t="s">
        <v>1486</v>
      </c>
      <c r="O270" s="8">
        <f t="shared" si="4"/>
        <v>0</v>
      </c>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4"/>
    </row>
    <row r="271" spans="1:52" ht="18.75" customHeight="1">
      <c r="A271" s="4">
        <v>248</v>
      </c>
      <c r="B271" s="11" t="s">
        <v>88</v>
      </c>
      <c r="C271" s="12"/>
      <c r="D271" s="12" t="s">
        <v>2333</v>
      </c>
      <c r="E271" s="12" t="s">
        <v>2334</v>
      </c>
      <c r="F271" s="18" t="s">
        <v>2335</v>
      </c>
      <c r="G271" s="34" t="s">
        <v>552</v>
      </c>
      <c r="H271" s="12" t="s">
        <v>2336</v>
      </c>
      <c r="I271" s="12" t="s">
        <v>2337</v>
      </c>
      <c r="J271" s="14"/>
      <c r="K271" s="27">
        <v>0</v>
      </c>
      <c r="L271" s="10"/>
      <c r="M271" s="12" t="s">
        <v>1485</v>
      </c>
      <c r="N271" s="12" t="s">
        <v>1486</v>
      </c>
      <c r="O271" s="8">
        <f t="shared" si="4"/>
        <v>0</v>
      </c>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4"/>
    </row>
    <row r="272" spans="1:52" ht="18.75" customHeight="1">
      <c r="A272" s="4">
        <v>249</v>
      </c>
      <c r="B272" s="11" t="s">
        <v>88</v>
      </c>
      <c r="C272" s="12"/>
      <c r="D272" s="12" t="s">
        <v>2338</v>
      </c>
      <c r="E272" s="12" t="s">
        <v>2339</v>
      </c>
      <c r="F272" s="18" t="s">
        <v>2340</v>
      </c>
      <c r="G272" s="34" t="s">
        <v>552</v>
      </c>
      <c r="H272" s="12" t="s">
        <v>2341</v>
      </c>
      <c r="I272" s="12" t="s">
        <v>2342</v>
      </c>
      <c r="J272" s="14"/>
      <c r="K272" s="27">
        <v>0</v>
      </c>
      <c r="L272" s="10"/>
      <c r="M272" s="12" t="s">
        <v>1485</v>
      </c>
      <c r="N272" s="12" t="s">
        <v>1486</v>
      </c>
      <c r="O272" s="8">
        <f t="shared" si="4"/>
        <v>0</v>
      </c>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4"/>
    </row>
    <row r="273" spans="1:52" s="46" customFormat="1" ht="18.75" customHeight="1">
      <c r="A273" s="4">
        <v>250</v>
      </c>
      <c r="B273" s="48" t="s">
        <v>88</v>
      </c>
      <c r="C273" s="49"/>
      <c r="D273" s="40" t="s">
        <v>2343</v>
      </c>
      <c r="E273" s="40" t="s">
        <v>2344</v>
      </c>
      <c r="F273" s="50"/>
      <c r="G273" s="49"/>
      <c r="H273" s="49" t="s">
        <v>2343</v>
      </c>
      <c r="I273" s="49"/>
      <c r="J273" s="51"/>
      <c r="K273" s="52"/>
      <c r="L273" s="53"/>
      <c r="M273" s="49" t="s">
        <v>2345</v>
      </c>
      <c r="N273" s="49"/>
      <c r="O273" s="8">
        <f t="shared" si="4"/>
        <v>0</v>
      </c>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4"/>
      <c r="AS273" s="54"/>
      <c r="AT273" s="54"/>
      <c r="AU273" s="54"/>
      <c r="AV273" s="54"/>
      <c r="AW273" s="54"/>
      <c r="AX273" s="49"/>
    </row>
    <row r="274" spans="1:52" s="46" customFormat="1" ht="18.75" customHeight="1">
      <c r="A274" s="4">
        <v>251</v>
      </c>
      <c r="B274" s="48" t="s">
        <v>88</v>
      </c>
      <c r="C274" s="49"/>
      <c r="D274" s="49" t="s">
        <v>2346</v>
      </c>
      <c r="E274" s="49" t="s">
        <v>2347</v>
      </c>
      <c r="F274" s="50" t="s">
        <v>2348</v>
      </c>
      <c r="G274" s="49"/>
      <c r="H274" s="49" t="s">
        <v>2346</v>
      </c>
      <c r="I274" s="49"/>
      <c r="J274" s="51"/>
      <c r="K274" s="52"/>
      <c r="L274" s="53"/>
      <c r="M274" s="49" t="s">
        <v>2345</v>
      </c>
      <c r="N274" s="49"/>
      <c r="O274" s="8">
        <f t="shared" si="4"/>
        <v>0</v>
      </c>
      <c r="P274" s="54"/>
      <c r="Q274" s="54"/>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c r="AP274" s="54"/>
      <c r="AQ274" s="54"/>
      <c r="AR274" s="54"/>
      <c r="AS274" s="54"/>
      <c r="AT274" s="54"/>
      <c r="AU274" s="54"/>
      <c r="AV274" s="54"/>
      <c r="AW274" s="54"/>
      <c r="AX274" s="49"/>
    </row>
    <row r="275" spans="1:52" s="46" customFormat="1" ht="26.45" customHeight="1">
      <c r="A275" s="4">
        <v>252</v>
      </c>
      <c r="B275" s="48" t="s">
        <v>88</v>
      </c>
      <c r="C275" s="49"/>
      <c r="D275" s="49" t="s">
        <v>2349</v>
      </c>
      <c r="E275" s="49" t="s">
        <v>2350</v>
      </c>
      <c r="F275" s="50" t="s">
        <v>2351</v>
      </c>
      <c r="G275" s="49"/>
      <c r="H275" s="49" t="s">
        <v>2349</v>
      </c>
      <c r="I275" s="49"/>
      <c r="J275" s="51"/>
      <c r="K275" s="52"/>
      <c r="L275" s="53"/>
      <c r="M275" s="49" t="s">
        <v>2345</v>
      </c>
      <c r="N275" s="49"/>
      <c r="O275" s="8">
        <f t="shared" si="4"/>
        <v>6</v>
      </c>
      <c r="P275" s="54"/>
      <c r="Q275" s="111">
        <v>2</v>
      </c>
      <c r="R275" s="111">
        <v>2</v>
      </c>
      <c r="S275" s="111"/>
      <c r="T275" s="111"/>
      <c r="U275" s="111">
        <v>2</v>
      </c>
      <c r="V275" s="54"/>
      <c r="W275" s="54"/>
      <c r="X275" s="54"/>
      <c r="Y275" s="54"/>
      <c r="Z275" s="54"/>
      <c r="AA275" s="54"/>
      <c r="AB275" s="54"/>
      <c r="AC275" s="54"/>
      <c r="AD275" s="54"/>
      <c r="AE275" s="54"/>
      <c r="AF275" s="54"/>
      <c r="AG275" s="54"/>
      <c r="AH275" s="54"/>
      <c r="AI275" s="54"/>
      <c r="AJ275" s="54"/>
      <c r="AK275" s="54"/>
      <c r="AL275" s="54"/>
      <c r="AM275" s="54"/>
      <c r="AN275" s="54"/>
      <c r="AO275" s="54"/>
      <c r="AP275" s="54"/>
      <c r="AQ275" s="54"/>
      <c r="AR275" s="54"/>
      <c r="AS275" s="54"/>
      <c r="AT275" s="54"/>
      <c r="AU275" s="54"/>
      <c r="AV275" s="54"/>
      <c r="AW275" s="54"/>
      <c r="AX275" s="49"/>
    </row>
    <row r="276" spans="1:52" s="46" customFormat="1" ht="26.45" customHeight="1">
      <c r="A276" s="4">
        <v>253</v>
      </c>
      <c r="B276" s="48" t="s">
        <v>88</v>
      </c>
      <c r="C276" s="49"/>
      <c r="D276" s="49" t="s">
        <v>2352</v>
      </c>
      <c r="E276" s="49" t="s">
        <v>2353</v>
      </c>
      <c r="F276" s="50" t="s">
        <v>2354</v>
      </c>
      <c r="G276" s="49"/>
      <c r="H276" s="49" t="s">
        <v>2352</v>
      </c>
      <c r="I276" s="49"/>
      <c r="J276" s="51"/>
      <c r="K276" s="52"/>
      <c r="L276" s="53"/>
      <c r="M276" s="49" t="s">
        <v>2345</v>
      </c>
      <c r="N276" s="49"/>
      <c r="O276" s="8">
        <f t="shared" si="4"/>
        <v>6</v>
      </c>
      <c r="P276" s="54"/>
      <c r="Q276" s="111">
        <v>2</v>
      </c>
      <c r="R276" s="111">
        <v>2</v>
      </c>
      <c r="S276" s="111"/>
      <c r="T276" s="111"/>
      <c r="U276" s="111">
        <v>2</v>
      </c>
      <c r="V276" s="54"/>
      <c r="W276" s="54"/>
      <c r="X276" s="54"/>
      <c r="Y276" s="54"/>
      <c r="Z276" s="54"/>
      <c r="AA276" s="54"/>
      <c r="AB276" s="54"/>
      <c r="AC276" s="54"/>
      <c r="AD276" s="54"/>
      <c r="AE276" s="54"/>
      <c r="AF276" s="54"/>
      <c r="AG276" s="54"/>
      <c r="AH276" s="54"/>
      <c r="AI276" s="54"/>
      <c r="AJ276" s="54"/>
      <c r="AK276" s="54"/>
      <c r="AL276" s="54"/>
      <c r="AM276" s="54"/>
      <c r="AN276" s="54"/>
      <c r="AO276" s="54"/>
      <c r="AP276" s="54"/>
      <c r="AQ276" s="54"/>
      <c r="AR276" s="54"/>
      <c r="AS276" s="54"/>
      <c r="AT276" s="54"/>
      <c r="AU276" s="54"/>
      <c r="AV276" s="54"/>
      <c r="AW276" s="54"/>
      <c r="AX276" s="49"/>
    </row>
    <row r="277" spans="1:52" s="46" customFormat="1" ht="26.45" customHeight="1">
      <c r="A277" s="4">
        <v>254</v>
      </c>
      <c r="B277" s="48" t="s">
        <v>88</v>
      </c>
      <c r="C277" s="49"/>
      <c r="D277" s="49" t="s">
        <v>2355</v>
      </c>
      <c r="E277" s="49" t="s">
        <v>2356</v>
      </c>
      <c r="F277" s="50" t="s">
        <v>2357</v>
      </c>
      <c r="G277" s="49"/>
      <c r="H277" s="49" t="s">
        <v>2355</v>
      </c>
      <c r="I277" s="49"/>
      <c r="J277" s="51"/>
      <c r="K277" s="52"/>
      <c r="L277" s="53"/>
      <c r="M277" s="49" t="s">
        <v>2345</v>
      </c>
      <c r="N277" s="49"/>
      <c r="O277" s="8">
        <f t="shared" si="4"/>
        <v>53</v>
      </c>
      <c r="P277" s="54"/>
      <c r="Q277" s="111">
        <f>2+2+2+3</f>
        <v>9</v>
      </c>
      <c r="R277" s="111">
        <f>6+4+4+13</f>
        <v>27</v>
      </c>
      <c r="S277" s="111"/>
      <c r="T277" s="111"/>
      <c r="U277" s="111">
        <f>2+2+2+3</f>
        <v>9</v>
      </c>
      <c r="V277" s="54"/>
      <c r="W277" s="54"/>
      <c r="X277" s="54"/>
      <c r="Y277" s="54"/>
      <c r="Z277" s="106">
        <f>2+2</f>
        <v>4</v>
      </c>
      <c r="AA277" s="54"/>
      <c r="AB277" s="54"/>
      <c r="AC277" s="54"/>
      <c r="AD277" s="54"/>
      <c r="AE277" s="54"/>
      <c r="AF277" s="54"/>
      <c r="AG277" s="54"/>
      <c r="AH277" s="54"/>
      <c r="AI277" s="54"/>
      <c r="AJ277" s="54"/>
      <c r="AK277" s="54"/>
      <c r="AL277" s="54"/>
      <c r="AM277" s="54"/>
      <c r="AN277" s="54"/>
      <c r="AO277" s="54"/>
      <c r="AP277" s="106">
        <f>2+2</f>
        <v>4</v>
      </c>
      <c r="AQ277" s="54"/>
      <c r="AR277" s="54"/>
      <c r="AS277" s="54"/>
      <c r="AT277" s="54"/>
      <c r="AU277" s="54"/>
      <c r="AV277" s="54"/>
      <c r="AW277" s="54"/>
      <c r="AX277" s="49"/>
    </row>
    <row r="278" spans="1:52" s="46" customFormat="1" ht="26.45" customHeight="1">
      <c r="A278" s="4"/>
      <c r="B278" s="48" t="s">
        <v>88</v>
      </c>
      <c r="C278" s="49"/>
      <c r="D278" s="49" t="s">
        <v>2358</v>
      </c>
      <c r="E278" s="49" t="s">
        <v>2359</v>
      </c>
      <c r="F278" s="50" t="s">
        <v>2360</v>
      </c>
      <c r="G278" s="49"/>
      <c r="H278" s="49"/>
      <c r="I278" s="49"/>
      <c r="J278" s="51"/>
      <c r="K278" s="52"/>
      <c r="L278" s="53"/>
      <c r="M278" s="49"/>
      <c r="N278" s="49"/>
      <c r="O278" s="8">
        <f t="shared" si="4"/>
        <v>16</v>
      </c>
      <c r="P278" s="54"/>
      <c r="Q278" s="111">
        <v>0</v>
      </c>
      <c r="R278" s="111">
        <v>16</v>
      </c>
      <c r="S278" s="111"/>
      <c r="T278" s="111"/>
      <c r="U278" s="111">
        <v>0</v>
      </c>
      <c r="V278" s="54"/>
      <c r="W278" s="54"/>
      <c r="X278" s="54"/>
      <c r="Y278" s="54"/>
      <c r="Z278" s="54"/>
      <c r="AA278" s="54"/>
      <c r="AB278" s="54"/>
      <c r="AC278" s="54"/>
      <c r="AD278" s="54"/>
      <c r="AE278" s="54"/>
      <c r="AF278" s="54"/>
      <c r="AG278" s="54"/>
      <c r="AH278" s="54"/>
      <c r="AI278" s="54"/>
      <c r="AJ278" s="54"/>
      <c r="AK278" s="54"/>
      <c r="AL278" s="54"/>
      <c r="AM278" s="54"/>
      <c r="AN278" s="54"/>
      <c r="AO278" s="54"/>
      <c r="AP278" s="54"/>
      <c r="AQ278" s="54"/>
      <c r="AR278" s="54"/>
      <c r="AS278" s="54"/>
      <c r="AT278" s="54"/>
      <c r="AU278" s="54"/>
      <c r="AV278" s="54"/>
      <c r="AW278" s="54"/>
      <c r="AX278" s="49"/>
    </row>
    <row r="279" spans="1:52" s="46" customFormat="1" ht="18.75" customHeight="1">
      <c r="A279" s="4">
        <v>255</v>
      </c>
      <c r="B279" s="48" t="s">
        <v>88</v>
      </c>
      <c r="C279" s="49"/>
      <c r="D279" s="49" t="s">
        <v>2361</v>
      </c>
      <c r="E279" s="49" t="s">
        <v>2362</v>
      </c>
      <c r="F279" s="50" t="s">
        <v>2363</v>
      </c>
      <c r="G279" s="49"/>
      <c r="H279" s="49" t="s">
        <v>2358</v>
      </c>
      <c r="I279" s="49"/>
      <c r="J279" s="51"/>
      <c r="K279" s="52"/>
      <c r="L279" s="53"/>
      <c r="M279" s="49" t="s">
        <v>2345</v>
      </c>
      <c r="N279" s="49"/>
      <c r="O279" s="8">
        <f t="shared" si="4"/>
        <v>42</v>
      </c>
      <c r="P279" s="54"/>
      <c r="Q279" s="111">
        <f>7+6+6</f>
        <v>19</v>
      </c>
      <c r="R279" s="111">
        <v>4</v>
      </c>
      <c r="S279" s="111"/>
      <c r="T279" s="111"/>
      <c r="U279" s="111">
        <f>7+6+6</f>
        <v>19</v>
      </c>
      <c r="V279" s="54"/>
      <c r="W279" s="54"/>
      <c r="X279" s="54"/>
      <c r="Y279" s="54"/>
      <c r="Z279" s="54"/>
      <c r="AA279" s="54"/>
      <c r="AB279" s="54"/>
      <c r="AC279" s="54"/>
      <c r="AD279" s="54"/>
      <c r="AE279" s="54"/>
      <c r="AF279" s="54"/>
      <c r="AG279" s="54"/>
      <c r="AH279" s="54"/>
      <c r="AI279" s="54"/>
      <c r="AJ279" s="54"/>
      <c r="AK279" s="54"/>
      <c r="AL279" s="54"/>
      <c r="AM279" s="54"/>
      <c r="AN279" s="54"/>
      <c r="AO279" s="54"/>
      <c r="AP279" s="54"/>
      <c r="AQ279" s="54"/>
      <c r="AR279" s="54"/>
      <c r="AS279" s="54"/>
      <c r="AT279" s="54"/>
      <c r="AU279" s="54"/>
      <c r="AV279" s="54"/>
      <c r="AW279" s="54"/>
      <c r="AX279" s="49"/>
    </row>
    <row r="280" spans="1:52" s="46" customFormat="1" ht="18.75" customHeight="1">
      <c r="A280" s="4"/>
      <c r="B280" s="48" t="s">
        <v>88</v>
      </c>
      <c r="C280" s="49"/>
      <c r="D280" s="49" t="s">
        <v>2364</v>
      </c>
      <c r="E280" s="49" t="s">
        <v>2362</v>
      </c>
      <c r="F280" s="50" t="s">
        <v>2365</v>
      </c>
      <c r="G280" s="49"/>
      <c r="H280" s="49" t="s">
        <v>2361</v>
      </c>
      <c r="I280" s="49"/>
      <c r="J280" s="51"/>
      <c r="K280" s="52"/>
      <c r="L280" s="53"/>
      <c r="M280" s="49" t="s">
        <v>2345</v>
      </c>
      <c r="N280" s="49"/>
      <c r="O280" s="8">
        <f t="shared" si="4"/>
        <v>0</v>
      </c>
      <c r="P280" s="54"/>
      <c r="Q280" s="111"/>
      <c r="R280" s="111"/>
      <c r="S280" s="111"/>
      <c r="T280" s="111"/>
      <c r="U280" s="111"/>
      <c r="V280" s="54"/>
      <c r="W280" s="54"/>
      <c r="X280" s="54"/>
      <c r="Y280" s="54"/>
      <c r="Z280" s="54"/>
      <c r="AA280" s="54"/>
      <c r="AB280" s="54"/>
      <c r="AC280" s="54"/>
      <c r="AD280" s="54"/>
      <c r="AE280" s="54"/>
      <c r="AF280" s="54"/>
      <c r="AG280" s="54"/>
      <c r="AH280" s="54"/>
      <c r="AI280" s="54"/>
      <c r="AJ280" s="54"/>
      <c r="AK280" s="54"/>
      <c r="AL280" s="54"/>
      <c r="AM280" s="54"/>
      <c r="AN280" s="54"/>
      <c r="AO280" s="54"/>
      <c r="AP280" s="54"/>
      <c r="AQ280" s="54"/>
      <c r="AR280" s="54"/>
      <c r="AS280" s="54"/>
      <c r="AT280" s="54"/>
      <c r="AU280" s="54"/>
      <c r="AV280" s="54"/>
      <c r="AW280" s="54"/>
      <c r="AX280" s="49"/>
    </row>
    <row r="281" spans="1:52" s="46" customFormat="1" ht="18.75" customHeight="1">
      <c r="A281" s="4">
        <v>256</v>
      </c>
      <c r="B281" s="48" t="s">
        <v>88</v>
      </c>
      <c r="C281" s="49"/>
      <c r="D281" s="49" t="s">
        <v>2366</v>
      </c>
      <c r="E281" s="55" t="s">
        <v>2362</v>
      </c>
      <c r="F281" s="50" t="s">
        <v>2367</v>
      </c>
      <c r="G281" s="49"/>
      <c r="H281" s="49" t="s">
        <v>2364</v>
      </c>
      <c r="I281" s="49"/>
      <c r="J281" s="51"/>
      <c r="K281" s="52"/>
      <c r="L281" s="53"/>
      <c r="M281" s="49" t="s">
        <v>2345</v>
      </c>
      <c r="N281" s="49"/>
      <c r="O281" s="8">
        <f t="shared" si="4"/>
        <v>21</v>
      </c>
      <c r="P281" s="54"/>
      <c r="Q281" s="111">
        <v>9</v>
      </c>
      <c r="R281" s="111">
        <v>3</v>
      </c>
      <c r="S281" s="111"/>
      <c r="T281" s="111"/>
      <c r="U281" s="111">
        <v>9</v>
      </c>
      <c r="V281" s="54"/>
      <c r="W281" s="54"/>
      <c r="X281" s="54"/>
      <c r="Y281" s="54"/>
      <c r="Z281" s="54"/>
      <c r="AA281" s="54"/>
      <c r="AB281" s="54"/>
      <c r="AC281" s="54"/>
      <c r="AD281" s="54"/>
      <c r="AE281" s="54"/>
      <c r="AF281" s="54"/>
      <c r="AG281" s="54"/>
      <c r="AH281" s="54"/>
      <c r="AI281" s="54"/>
      <c r="AJ281" s="54"/>
      <c r="AK281" s="54"/>
      <c r="AL281" s="54"/>
      <c r="AM281" s="54"/>
      <c r="AN281" s="54"/>
      <c r="AO281" s="54"/>
      <c r="AP281" s="54"/>
      <c r="AQ281" s="54"/>
      <c r="AR281" s="54"/>
      <c r="AS281" s="54"/>
      <c r="AT281" s="54"/>
      <c r="AU281" s="54"/>
      <c r="AV281" s="54"/>
      <c r="AW281" s="54"/>
      <c r="AX281" s="49"/>
    </row>
    <row r="282" spans="1:52" s="46" customFormat="1" ht="18.75" customHeight="1">
      <c r="A282" s="4">
        <v>256</v>
      </c>
      <c r="B282" s="48" t="s">
        <v>88</v>
      </c>
      <c r="C282" s="49"/>
      <c r="D282" s="49" t="s">
        <v>2368</v>
      </c>
      <c r="E282" s="55" t="s">
        <v>2362</v>
      </c>
      <c r="F282" s="50" t="s">
        <v>2369</v>
      </c>
      <c r="G282" s="49"/>
      <c r="H282" s="49" t="s">
        <v>2366</v>
      </c>
      <c r="I282" s="49"/>
      <c r="J282" s="51"/>
      <c r="K282" s="52"/>
      <c r="L282" s="53"/>
      <c r="M282" s="49" t="s">
        <v>2345</v>
      </c>
      <c r="N282" s="49"/>
      <c r="O282" s="8">
        <f t="shared" si="4"/>
        <v>0</v>
      </c>
      <c r="P282" s="54"/>
      <c r="Q282" s="111"/>
      <c r="R282" s="111"/>
      <c r="S282" s="111"/>
      <c r="T282" s="111"/>
      <c r="U282" s="111"/>
      <c r="V282" s="54"/>
      <c r="W282" s="54"/>
      <c r="X282" s="54"/>
      <c r="Y282" s="54"/>
      <c r="Z282" s="54"/>
      <c r="AA282" s="54"/>
      <c r="AB282" s="54"/>
      <c r="AC282" s="54"/>
      <c r="AD282" s="54"/>
      <c r="AE282" s="54"/>
      <c r="AF282" s="54"/>
      <c r="AG282" s="54"/>
      <c r="AH282" s="54"/>
      <c r="AI282" s="54"/>
      <c r="AJ282" s="54"/>
      <c r="AK282" s="54"/>
      <c r="AL282" s="54"/>
      <c r="AM282" s="54"/>
      <c r="AN282" s="54"/>
      <c r="AO282" s="54"/>
      <c r="AP282" s="54"/>
      <c r="AQ282" s="54"/>
      <c r="AR282" s="54"/>
      <c r="AS282" s="54"/>
      <c r="AT282" s="54"/>
      <c r="AU282" s="54"/>
      <c r="AV282" s="54"/>
      <c r="AW282" s="54"/>
      <c r="AX282" s="49"/>
    </row>
    <row r="283" spans="1:52" s="46" customFormat="1" ht="18.75" customHeight="1">
      <c r="A283" s="4">
        <v>257</v>
      </c>
      <c r="B283" s="48" t="s">
        <v>88</v>
      </c>
      <c r="C283" s="49"/>
      <c r="D283" s="49" t="s">
        <v>2370</v>
      </c>
      <c r="E283" s="55" t="s">
        <v>2362</v>
      </c>
      <c r="F283" s="50" t="s">
        <v>2371</v>
      </c>
      <c r="G283" s="49"/>
      <c r="H283" s="49" t="s">
        <v>2368</v>
      </c>
      <c r="I283" s="49"/>
      <c r="J283" s="51"/>
      <c r="K283" s="52"/>
      <c r="L283" s="53"/>
      <c r="M283" s="49" t="s">
        <v>2345</v>
      </c>
      <c r="N283" s="49"/>
      <c r="O283" s="8">
        <f t="shared" si="4"/>
        <v>42</v>
      </c>
      <c r="P283" s="54"/>
      <c r="Q283" s="111">
        <v>10</v>
      </c>
      <c r="R283" s="111">
        <f>12+10</f>
        <v>22</v>
      </c>
      <c r="S283" s="111"/>
      <c r="T283" s="111"/>
      <c r="U283" s="111">
        <v>10</v>
      </c>
      <c r="V283" s="54"/>
      <c r="W283" s="54"/>
      <c r="X283" s="54"/>
      <c r="Y283" s="54"/>
      <c r="Z283" s="54"/>
      <c r="AA283" s="54"/>
      <c r="AB283" s="54"/>
      <c r="AC283" s="54"/>
      <c r="AD283" s="54"/>
      <c r="AE283" s="54"/>
      <c r="AF283" s="54"/>
      <c r="AG283" s="54"/>
      <c r="AH283" s="54"/>
      <c r="AI283" s="54"/>
      <c r="AJ283" s="54"/>
      <c r="AK283" s="54"/>
      <c r="AL283" s="54"/>
      <c r="AM283" s="54"/>
      <c r="AN283" s="54"/>
      <c r="AO283" s="54"/>
      <c r="AP283" s="54"/>
      <c r="AQ283" s="54"/>
      <c r="AR283" s="54"/>
      <c r="AS283" s="54"/>
      <c r="AT283" s="54"/>
      <c r="AU283" s="54"/>
      <c r="AV283" s="54"/>
      <c r="AW283" s="54"/>
      <c r="AX283" s="49"/>
      <c r="AZ283" s="46" t="s">
        <v>1554</v>
      </c>
    </row>
    <row r="284" spans="1:52" s="46" customFormat="1" ht="18.75" customHeight="1">
      <c r="A284" s="4">
        <v>257</v>
      </c>
      <c r="B284" s="48" t="s">
        <v>88</v>
      </c>
      <c r="C284" s="49"/>
      <c r="D284" s="49" t="s">
        <v>2372</v>
      </c>
      <c r="E284" s="55" t="s">
        <v>2362</v>
      </c>
      <c r="F284" s="50" t="s">
        <v>2373</v>
      </c>
      <c r="G284" s="49"/>
      <c r="H284" s="49" t="s">
        <v>2370</v>
      </c>
      <c r="I284" s="49"/>
      <c r="J284" s="51"/>
      <c r="K284" s="52"/>
      <c r="L284" s="53"/>
      <c r="M284" s="49" t="s">
        <v>2345</v>
      </c>
      <c r="N284" s="49"/>
      <c r="O284" s="8">
        <f t="shared" si="4"/>
        <v>27</v>
      </c>
      <c r="P284" s="54"/>
      <c r="Q284" s="111">
        <f>4+4</f>
        <v>8</v>
      </c>
      <c r="R284" s="111">
        <f>9+2</f>
        <v>11</v>
      </c>
      <c r="S284" s="111"/>
      <c r="T284" s="111"/>
      <c r="U284" s="111">
        <f>4+4</f>
        <v>8</v>
      </c>
      <c r="V284" s="54"/>
      <c r="W284" s="54"/>
      <c r="X284" s="54"/>
      <c r="Y284" s="54"/>
      <c r="Z284" s="54"/>
      <c r="AA284" s="54"/>
      <c r="AB284" s="54"/>
      <c r="AC284" s="54"/>
      <c r="AD284" s="54"/>
      <c r="AE284" s="54"/>
      <c r="AF284" s="54"/>
      <c r="AG284" s="54"/>
      <c r="AH284" s="54"/>
      <c r="AI284" s="54"/>
      <c r="AJ284" s="54"/>
      <c r="AK284" s="54"/>
      <c r="AL284" s="54"/>
      <c r="AM284" s="54"/>
      <c r="AN284" s="54"/>
      <c r="AO284" s="54"/>
      <c r="AP284" s="54"/>
      <c r="AQ284" s="54"/>
      <c r="AR284" s="54"/>
      <c r="AS284" s="54"/>
      <c r="AT284" s="54"/>
      <c r="AU284" s="54"/>
      <c r="AV284" s="54"/>
      <c r="AW284" s="54"/>
      <c r="AX284" s="49"/>
    </row>
    <row r="285" spans="1:52" s="46" customFormat="1" ht="18.75" customHeight="1">
      <c r="A285" s="4">
        <v>257</v>
      </c>
      <c r="B285" s="48" t="s">
        <v>88</v>
      </c>
      <c r="C285" s="49"/>
      <c r="D285" s="49" t="s">
        <v>2374</v>
      </c>
      <c r="E285" s="55" t="s">
        <v>2362</v>
      </c>
      <c r="F285" s="50" t="s">
        <v>2375</v>
      </c>
      <c r="G285" s="49"/>
      <c r="H285" s="49" t="s">
        <v>2372</v>
      </c>
      <c r="I285" s="49"/>
      <c r="J285" s="51"/>
      <c r="K285" s="52"/>
      <c r="L285" s="53"/>
      <c r="M285" s="49" t="s">
        <v>2345</v>
      </c>
      <c r="N285" s="49"/>
      <c r="O285" s="8">
        <f t="shared" si="4"/>
        <v>0</v>
      </c>
      <c r="P285" s="54"/>
      <c r="Q285" s="111"/>
      <c r="R285" s="111"/>
      <c r="S285" s="111"/>
      <c r="T285" s="111"/>
      <c r="U285" s="111"/>
      <c r="V285" s="54"/>
      <c r="W285" s="54"/>
      <c r="X285" s="54"/>
      <c r="Y285" s="54"/>
      <c r="Z285" s="54"/>
      <c r="AA285" s="54"/>
      <c r="AB285" s="54"/>
      <c r="AC285" s="54"/>
      <c r="AD285" s="54"/>
      <c r="AE285" s="54"/>
      <c r="AF285" s="54"/>
      <c r="AG285" s="54"/>
      <c r="AH285" s="54"/>
      <c r="AI285" s="54"/>
      <c r="AJ285" s="54"/>
      <c r="AK285" s="54"/>
      <c r="AL285" s="54"/>
      <c r="AM285" s="54"/>
      <c r="AN285" s="54"/>
      <c r="AO285" s="54"/>
      <c r="AP285" s="54"/>
      <c r="AQ285" s="54"/>
      <c r="AR285" s="54"/>
      <c r="AS285" s="54"/>
      <c r="AT285" s="54"/>
      <c r="AU285" s="54"/>
      <c r="AV285" s="54"/>
      <c r="AW285" s="54"/>
      <c r="AX285" s="49"/>
    </row>
    <row r="286" spans="1:52" s="46" customFormat="1" ht="18.75" customHeight="1">
      <c r="A286" s="4">
        <v>257</v>
      </c>
      <c r="B286" s="48" t="s">
        <v>88</v>
      </c>
      <c r="C286" s="49"/>
      <c r="D286" s="49" t="s">
        <v>2376</v>
      </c>
      <c r="E286" s="55" t="s">
        <v>2362</v>
      </c>
      <c r="F286" s="50" t="s">
        <v>2377</v>
      </c>
      <c r="G286" s="49"/>
      <c r="H286" s="49" t="s">
        <v>2374</v>
      </c>
      <c r="I286" s="49"/>
      <c r="J286" s="51"/>
      <c r="K286" s="52"/>
      <c r="L286" s="53"/>
      <c r="M286" s="49" t="s">
        <v>2345</v>
      </c>
      <c r="N286" s="49"/>
      <c r="O286" s="8">
        <f t="shared" si="4"/>
        <v>0</v>
      </c>
      <c r="P286" s="54"/>
      <c r="Q286" s="111"/>
      <c r="R286" s="111"/>
      <c r="S286" s="111"/>
      <c r="T286" s="111"/>
      <c r="U286" s="111"/>
      <c r="V286" s="54"/>
      <c r="W286" s="54"/>
      <c r="X286" s="54"/>
      <c r="Y286" s="54"/>
      <c r="Z286" s="54"/>
      <c r="AA286" s="54"/>
      <c r="AB286" s="54"/>
      <c r="AC286" s="54"/>
      <c r="AD286" s="54"/>
      <c r="AE286" s="54"/>
      <c r="AF286" s="54"/>
      <c r="AG286" s="54"/>
      <c r="AH286" s="54"/>
      <c r="AI286" s="54"/>
      <c r="AJ286" s="54"/>
      <c r="AK286" s="54"/>
      <c r="AL286" s="54"/>
      <c r="AM286" s="54"/>
      <c r="AN286" s="54"/>
      <c r="AO286" s="54"/>
      <c r="AP286" s="54"/>
      <c r="AQ286" s="54"/>
      <c r="AR286" s="54"/>
      <c r="AS286" s="54"/>
      <c r="AT286" s="54"/>
      <c r="AU286" s="54"/>
      <c r="AV286" s="54"/>
      <c r="AW286" s="54"/>
      <c r="AX286" s="49"/>
    </row>
    <row r="287" spans="1:52" s="46" customFormat="1" ht="18.75" customHeight="1">
      <c r="A287" s="4">
        <v>257</v>
      </c>
      <c r="B287" s="48" t="s">
        <v>88</v>
      </c>
      <c r="C287" s="49"/>
      <c r="D287" s="49" t="s">
        <v>2378</v>
      </c>
      <c r="E287" s="55" t="s">
        <v>2362</v>
      </c>
      <c r="F287" s="50" t="s">
        <v>2379</v>
      </c>
      <c r="G287" s="49"/>
      <c r="H287" s="49" t="s">
        <v>2374</v>
      </c>
      <c r="I287" s="49"/>
      <c r="J287" s="51"/>
      <c r="K287" s="52"/>
      <c r="L287" s="53"/>
      <c r="M287" s="49" t="s">
        <v>2345</v>
      </c>
      <c r="N287" s="49"/>
      <c r="O287" s="8">
        <f t="shared" si="4"/>
        <v>29</v>
      </c>
      <c r="P287" s="54"/>
      <c r="Q287" s="111">
        <v>8</v>
      </c>
      <c r="R287" s="111">
        <v>13</v>
      </c>
      <c r="S287" s="111"/>
      <c r="T287" s="111"/>
      <c r="U287" s="111">
        <v>8</v>
      </c>
      <c r="V287" s="54"/>
      <c r="W287" s="54"/>
      <c r="X287" s="54"/>
      <c r="Y287" s="54"/>
      <c r="Z287" s="54"/>
      <c r="AA287" s="54"/>
      <c r="AB287" s="54"/>
      <c r="AC287" s="54"/>
      <c r="AD287" s="54"/>
      <c r="AE287" s="54"/>
      <c r="AF287" s="54"/>
      <c r="AG287" s="54"/>
      <c r="AH287" s="54"/>
      <c r="AI287" s="54"/>
      <c r="AJ287" s="54"/>
      <c r="AK287" s="54"/>
      <c r="AL287" s="54"/>
      <c r="AM287" s="54"/>
      <c r="AN287" s="54"/>
      <c r="AO287" s="54"/>
      <c r="AP287" s="54"/>
      <c r="AQ287" s="54"/>
      <c r="AR287" s="54"/>
      <c r="AS287" s="54"/>
      <c r="AT287" s="54"/>
      <c r="AU287" s="54"/>
      <c r="AV287" s="54"/>
      <c r="AW287" s="54"/>
      <c r="AX287" s="49"/>
    </row>
  </sheetData>
  <autoFilter ref="A5:AW287" xr:uid="{00000000-0009-0000-0000-000006000000}"/>
  <mergeCells count="7">
    <mergeCell ref="AC3:AW3"/>
    <mergeCell ref="AX3:AX5"/>
    <mergeCell ref="P3:AB3"/>
    <mergeCell ref="A1:AX1"/>
    <mergeCell ref="O3:O5"/>
    <mergeCell ref="N3:N5"/>
    <mergeCell ref="A2:AX2"/>
  </mergeCells>
  <pageMargins left="1" right="1" top="1" bottom="1" header="0.3" footer="0.3"/>
  <pageSetup paperSize="0" orientation="portrait"/>
  <headerFooter>
    <oddHeader>&amp;L&amp;"Calibri"&amp;8&amp;K000000 대외비(Restricted)&amp;1#_x000D_</oddHead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743A1-6D07-4F5A-B4FB-22033E5D5847}">
  <dimension ref="C4:N20"/>
  <sheetViews>
    <sheetView workbookViewId="0">
      <selection activeCell="N20" sqref="N20"/>
    </sheetView>
  </sheetViews>
  <sheetFormatPr defaultRowHeight="15"/>
  <sheetData>
    <row r="4" spans="3:3">
      <c r="C4" t="s">
        <v>2380</v>
      </c>
    </row>
    <row r="18" spans="3:14">
      <c r="C18" t="s">
        <v>2381</v>
      </c>
      <c r="D18" t="s">
        <v>2382</v>
      </c>
      <c r="E18" t="s">
        <v>2383</v>
      </c>
      <c r="F18" t="s">
        <v>2384</v>
      </c>
      <c r="G18" t="s">
        <v>2385</v>
      </c>
      <c r="H18" t="s">
        <v>2386</v>
      </c>
      <c r="I18" t="s">
        <v>2387</v>
      </c>
      <c r="J18" t="s">
        <v>2388</v>
      </c>
      <c r="K18" t="s">
        <v>2389</v>
      </c>
      <c r="L18" t="s">
        <v>2390</v>
      </c>
      <c r="M18" t="s">
        <v>2391</v>
      </c>
      <c r="N18" t="s">
        <v>2392</v>
      </c>
    </row>
    <row r="19" spans="3:14">
      <c r="C19" s="112">
        <v>452</v>
      </c>
      <c r="D19" s="112" t="s">
        <v>2393</v>
      </c>
      <c r="E19" s="112" t="s">
        <v>2394</v>
      </c>
      <c r="F19" s="112" t="s">
        <v>2394</v>
      </c>
      <c r="G19" s="112" t="s">
        <v>2395</v>
      </c>
      <c r="H19" s="112" t="s">
        <v>2396</v>
      </c>
      <c r="I19" s="112" t="s">
        <v>2397</v>
      </c>
      <c r="J19" s="112" t="s">
        <v>2398</v>
      </c>
      <c r="K19" s="112" t="s">
        <v>2399</v>
      </c>
      <c r="L19" s="112" t="s">
        <v>2400</v>
      </c>
      <c r="M19" s="112" t="s">
        <v>2401</v>
      </c>
      <c r="N19" s="112" t="s">
        <v>2402</v>
      </c>
    </row>
    <row r="20" spans="3:14">
      <c r="C20" s="112">
        <v>453</v>
      </c>
      <c r="D20" s="112" t="s">
        <v>2403</v>
      </c>
      <c r="E20" s="112" t="s">
        <v>2394</v>
      </c>
      <c r="F20" s="112" t="s">
        <v>2394</v>
      </c>
      <c r="G20" s="112" t="s">
        <v>2395</v>
      </c>
      <c r="H20" s="112" t="s">
        <v>2396</v>
      </c>
      <c r="I20" s="112" t="s">
        <v>2397</v>
      </c>
      <c r="J20" s="112" t="s">
        <v>2398</v>
      </c>
      <c r="K20" s="112" t="s">
        <v>2399</v>
      </c>
      <c r="L20" s="112" t="s">
        <v>2404</v>
      </c>
      <c r="M20" s="112" t="s">
        <v>2401</v>
      </c>
      <c r="N20" s="112" t="s">
        <v>2405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08ADEC9AB2D74E8EF8811BBC4F9F5F" ma:contentTypeVersion="8" ma:contentTypeDescription="Create a new document." ma:contentTypeScope="" ma:versionID="2690d556195b320edd44746ffa2568c6">
  <xsd:schema xmlns:xsd="http://www.w3.org/2001/XMLSchema" xmlns:xs="http://www.w3.org/2001/XMLSchema" xmlns:p="http://schemas.microsoft.com/office/2006/metadata/properties" xmlns:ns2="31d58751-bbf6-4d52-983e-b571b4cec1a2" targetNamespace="http://schemas.microsoft.com/office/2006/metadata/properties" ma:root="true" ma:fieldsID="70d97248967d01b09a4591b9ffa30ba5" ns2:_="">
    <xsd:import namespace="31d58751-bbf6-4d52-983e-b571b4cec1a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d58751-bbf6-4d52-983e-b571b4cec1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F21CD4-CF6E-42DA-8C53-70B6E446D9E1}"/>
</file>

<file path=customXml/itemProps2.xml><?xml version="1.0" encoding="utf-8"?>
<ds:datastoreItem xmlns:ds="http://schemas.openxmlformats.org/officeDocument/2006/customXml" ds:itemID="{F134D70B-EF05-4598-A578-6221E205724D}"/>
</file>

<file path=customXml/itemProps3.xml><?xml version="1.0" encoding="utf-8"?>
<ds:datastoreItem xmlns:ds="http://schemas.openxmlformats.org/officeDocument/2006/customXml" ds:itemID="{386F9EB0-4389-4F21-91AB-F8AF458BB972}"/>
</file>

<file path=docMetadata/LabelInfo.xml><?xml version="1.0" encoding="utf-8"?>
<clbl:labelList xmlns:clbl="http://schemas.microsoft.com/office/2020/mipLabelMetadata">
  <clbl:label id="{a11ee6e5-21a0-48c4-8af4-6cc1347f763e}" enabled="1" method="Privileged" siteId="{a27ddcc1-bea5-4183-aa29-fd96d7612a1d}"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강동철</dc:creator>
  <cp:keywords/>
  <dc:description/>
  <cp:lastModifiedBy>제제헬프랑카(JEZEHEL FRANCA) 책임매니저</cp:lastModifiedBy>
  <cp:revision/>
  <dcterms:created xsi:type="dcterms:W3CDTF">2025-12-30T07:03:01Z</dcterms:created>
  <dcterms:modified xsi:type="dcterms:W3CDTF">2026-07-27T08:09:17Z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19.2.5.0</vt:lpwstr>
  </property>
  <property fmtid="{D5CDD505-2E9C-101B-9397-08002B2CF9AE}" pid="9" name="ContentTypeId">
    <vt:lpwstr>0x0101001708ADEC9AB2D74E8EF8811BBC4F9F5F</vt:lpwstr>
  </property>
  <property fmtid="{D5CDD505-2E9C-101B-9397-08002B2CF9AE}" pid="382" name="Matl" linkTarget="Prop_Matl">
    <vt:lpwstr>#REF!</vt:lpwstr>
  </property>
  <property fmtid="{D5CDD505-2E9C-101B-9397-08002B2CF9AE}" pid="383" name="Matl_Rate" linkTarget="Prop_Matl_Rate">
    <vt:lpwstr>#REF!</vt:lpwstr>
  </property>
  <property fmtid="{D5CDD505-2E9C-101B-9397-08002B2CF9AE}" pid="384" name="MD" linkTarget="Prop_MD">
    <vt:lpwstr>#REF!</vt:lpwstr>
  </property>
  <property fmtid="{D5CDD505-2E9C-101B-9397-08002B2CF9AE}" pid="385" name="MD_Rate" linkTarget="Prop_MD_Rate">
    <vt:lpwstr>#REF!</vt:lpwstr>
  </property>
  <property fmtid="{D5CDD505-2E9C-101B-9397-08002B2CF9AE}" pid="386" name="Total_Matl" linkTarget="Prop_Total_Matl">
    <vt:lpwstr>#REF!</vt:lpwstr>
  </property>
  <property fmtid="{D5CDD505-2E9C-101B-9397-08002B2CF9AE}" pid="387" name="Total_MD" linkTarget="Prop_Total_MD">
    <vt:lpwstr>#REF!</vt:lpwstr>
  </property>
</Properties>
</file>