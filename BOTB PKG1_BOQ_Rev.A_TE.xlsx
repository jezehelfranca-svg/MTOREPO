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bookViews>
    <workbookView xWindow="28680" yWindow="-1950" windowWidth="29040" windowHeight="17640" tabRatio="861" firstSheet="6" activeTab="6" xr2:uid="{00000000-000D-0000-FFFF-FFFF00000000}"/>
  </bookViews>
  <sheets>
    <sheet name="Cover" sheetId="1" r:id="rId1"/>
    <sheet name="Cable" sheetId="2" r:id="rId2"/>
    <sheet name="Cable Tray" sheetId="3" r:id="rId3"/>
    <sheet name="Conduit" sheetId="4" r:id="rId4"/>
    <sheet name="Cable Gland" sheetId="5" r:id="rId5"/>
    <sheet name="Support" sheetId="6" r:id="rId6"/>
    <sheet name="Telecom &amp; Security System" sheetId="7"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s>
  <definedNames>
    <definedName name="\a">#N/A</definedName>
    <definedName name="\b">#N/A</definedName>
    <definedName name="\c">#N/A</definedName>
    <definedName name="\d">[1]회사99!#REF!</definedName>
    <definedName name="\E" localSheetId="0">#REF!</definedName>
    <definedName name="\E">#REF!</definedName>
    <definedName name="\f">#N/A</definedName>
    <definedName name="\FF" localSheetId="0">'[2]97 사업추정(WEKI)'!#REF!</definedName>
    <definedName name="\FF">'[3]97 사업추정(WEKI)'!#REF!</definedName>
    <definedName name="\FG" localSheetId="0">[4]손익차9월2!#REF!</definedName>
    <definedName name="\FG">[5]손익차9월2!#REF!</definedName>
    <definedName name="\g" localSheetId="0">#REF!</definedName>
    <definedName name="\g">#REF!</definedName>
    <definedName name="\O" localSheetId="0">#REF!</definedName>
    <definedName name="\O">#REF!</definedName>
    <definedName name="\p" localSheetId="0">#REF!</definedName>
    <definedName name="\p">#REF!</definedName>
    <definedName name="\PP">#REF!</definedName>
    <definedName name="\q">#REF!</definedName>
    <definedName name="\s" localSheetId="0">'[6]95삼성급(본사)'!#REF!</definedName>
    <definedName name="\s">'[7]95삼성급(본사)'!#REF!</definedName>
    <definedName name="\X">#REF!</definedName>
    <definedName name="\Z" localSheetId="0">#REF!</definedName>
    <definedName name="\z">#N/A</definedName>
    <definedName name="_____________________PRO1">#REF!</definedName>
    <definedName name="_____________________PRO2">#REF!</definedName>
    <definedName name="_____________________PRO4">#REF!</definedName>
    <definedName name="_____________________PRO5">#REF!</definedName>
    <definedName name="_____________________PRO6">#REF!</definedName>
    <definedName name="_____________________PRO7">#REF!</definedName>
    <definedName name="____________________PRO1">#REF!</definedName>
    <definedName name="____________________PRO2">#REF!</definedName>
    <definedName name="____________________PRO4">#REF!</definedName>
    <definedName name="____________________PRO5">#REF!</definedName>
    <definedName name="____________________PRO6">#REF!</definedName>
    <definedName name="____________________PRO7">#REF!</definedName>
    <definedName name="___________________FLL2" hidden="1">#REF!</definedName>
    <definedName name="___________________PRO1">#REF!</definedName>
    <definedName name="___________________PRO2">#REF!</definedName>
    <definedName name="___________________PRO4">#REF!</definedName>
    <definedName name="___________________PRO5">#REF!</definedName>
    <definedName name="___________________PRO6">#REF!</definedName>
    <definedName name="___________________PRO7">#REF!</definedName>
    <definedName name="__________________A1" localSheetId="0" hidden="1">{#N/A,#N/A,TRUE,"Basic";#N/A,#N/A,TRUE,"EXT-TABLE";#N/A,#N/A,TRUE,"STEEL";#N/A,#N/A,TRUE,"INT-Table";#N/A,#N/A,TRUE,"STEEL";#N/A,#N/A,TRUE,"Door"}</definedName>
    <definedName name="__________________A1" hidden="1">{#N/A,#N/A,TRUE,"Basic";#N/A,#N/A,TRUE,"EXT-TABLE";#N/A,#N/A,TRUE,"STEEL";#N/A,#N/A,TRUE,"INT-Table";#N/A,#N/A,TRUE,"STEEL";#N/A,#N/A,TRUE,"Door"}</definedName>
    <definedName name="__________________FLL2" localSheetId="0" hidden="1">#REF!</definedName>
    <definedName name="__________________FLL2" hidden="1">#REF!</definedName>
    <definedName name="__________________plc1">[8]INSTR!$A$5:$M$208</definedName>
    <definedName name="__________________PRO1" localSheetId="0">#REF!</definedName>
    <definedName name="__________________PRO1">#REF!</definedName>
    <definedName name="__________________PRO2">#REF!</definedName>
    <definedName name="__________________PRO4">#REF!</definedName>
    <definedName name="__________________PRO5">#REF!</definedName>
    <definedName name="__________________PRO6">#REF!</definedName>
    <definedName name="__________________PRO7">#REF!</definedName>
    <definedName name="__________________STM11">#REF!</definedName>
    <definedName name="_________________A1" localSheetId="0" hidden="1">{#N/A,#N/A,TRUE,"Basic";#N/A,#N/A,TRUE,"EXT-TABLE";#N/A,#N/A,TRUE,"STEEL";#N/A,#N/A,TRUE,"INT-Table";#N/A,#N/A,TRUE,"STEEL";#N/A,#N/A,TRUE,"Door"}</definedName>
    <definedName name="_________________A1" hidden="1">{#N/A,#N/A,TRUE,"Basic";#N/A,#N/A,TRUE,"EXT-TABLE";#N/A,#N/A,TRUE,"STEEL";#N/A,#N/A,TRUE,"INT-Table";#N/A,#N/A,TRUE,"STEEL";#N/A,#N/A,TRUE,"Door"}</definedName>
    <definedName name="_________________A66" localSheetId="0">[9]!_________________KT66</definedName>
    <definedName name="_________________A66">#N/A</definedName>
    <definedName name="_________________ac4" localSheetId="0">#N/A</definedName>
    <definedName name="_________________ac4">#N/A</definedName>
    <definedName name="_________________FLL2" hidden="1">#REF!</definedName>
    <definedName name="_________________KT66" localSheetId="0">#N/A</definedName>
    <definedName name="_________________KT66">#N/A</definedName>
    <definedName name="_________________plc1">[8]INSTR!$A$5:$M$208</definedName>
    <definedName name="_________________PRO1" localSheetId="0">#REF!</definedName>
    <definedName name="_________________PRO1">#REF!</definedName>
    <definedName name="_________________PRO2">#REF!</definedName>
    <definedName name="_________________PRO4">#REF!</definedName>
    <definedName name="_________________PRO5">#REF!</definedName>
    <definedName name="_________________PRO6">#REF!</definedName>
    <definedName name="_________________PRO7">#REF!</definedName>
    <definedName name="_________________STM11">#REF!</definedName>
    <definedName name="_________________TB1">#REF!</definedName>
    <definedName name="________________A1" localSheetId="0" hidden="1">{#N/A,#N/A,TRUE,"Basic";#N/A,#N/A,TRUE,"EXT-TABLE";#N/A,#N/A,TRUE,"STEEL";#N/A,#N/A,TRUE,"INT-Table";#N/A,#N/A,TRUE,"STEEL";#N/A,#N/A,TRUE,"Door"}</definedName>
    <definedName name="________________A1" hidden="1">{#N/A,#N/A,TRUE,"Basic";#N/A,#N/A,TRUE,"EXT-TABLE";#N/A,#N/A,TRUE,"STEEL";#N/A,#N/A,TRUE,"INT-Table";#N/A,#N/A,TRUE,"STEEL";#N/A,#N/A,TRUE,"Door"}</definedName>
    <definedName name="________________A66" localSheetId="0">[9]!________________KT66</definedName>
    <definedName name="________________A66">#N/A</definedName>
    <definedName name="________________ac4" localSheetId="0">#N/A</definedName>
    <definedName name="________________ac4">#N/A</definedName>
    <definedName name="________________B1">#REF!</definedName>
    <definedName name="________________END1">'[10]개시대사 (2)'!$G$49</definedName>
    <definedName name="________________FLL2" hidden="1">#REF!</definedName>
    <definedName name="________________KT66" localSheetId="0">#N/A</definedName>
    <definedName name="________________KT66">#N/A</definedName>
    <definedName name="________________plc1">[8]INSTR!$A$5:$M$208</definedName>
    <definedName name="________________PRO1" localSheetId="0">#REF!</definedName>
    <definedName name="________________PRO1">#REF!</definedName>
    <definedName name="________________PRO2">#REF!</definedName>
    <definedName name="________________PRO4">#REF!</definedName>
    <definedName name="________________PRO5">#REF!</definedName>
    <definedName name="________________PRO6">#REF!</definedName>
    <definedName name="________________PRO7">#REF!</definedName>
    <definedName name="________________s3">'[11]h-013211-2'!$C$5</definedName>
    <definedName name="________________SHT1">'[12]L V Separator'!$A$1:$AC$65</definedName>
    <definedName name="________________STM11">#REF!</definedName>
    <definedName name="________________TB1">#REF!</definedName>
    <definedName name="_______________A1" localSheetId="0" hidden="1">{#N/A,#N/A,TRUE,"Basic";#N/A,#N/A,TRUE,"EXT-TABLE";#N/A,#N/A,TRUE,"STEEL";#N/A,#N/A,TRUE,"INT-Table";#N/A,#N/A,TRUE,"STEEL";#N/A,#N/A,TRUE,"Door"}</definedName>
    <definedName name="_______________A1" hidden="1">{#N/A,#N/A,TRUE,"Basic";#N/A,#N/A,TRUE,"EXT-TABLE";#N/A,#N/A,TRUE,"STEEL";#N/A,#N/A,TRUE,"INT-Table";#N/A,#N/A,TRUE,"STEEL";#N/A,#N/A,TRUE,"Door"}</definedName>
    <definedName name="_______________A66" localSheetId="0">[9]!_______________KT66</definedName>
    <definedName name="_______________A66">#N/A</definedName>
    <definedName name="_______________ac4" localSheetId="0">#N/A</definedName>
    <definedName name="_______________ac4">#N/A</definedName>
    <definedName name="_______________B1">#REF!</definedName>
    <definedName name="_______________END1">'[10]개시대사 (2)'!$G$49</definedName>
    <definedName name="_______________FLL2" hidden="1">#REF!</definedName>
    <definedName name="_______________KT66" localSheetId="0">#N/A</definedName>
    <definedName name="_______________KT66">#N/A</definedName>
    <definedName name="_______________plc1">[8]INSTR!$A$5:$M$208</definedName>
    <definedName name="_______________PRO1" localSheetId="0">#REF!</definedName>
    <definedName name="_______________PRO1">#REF!</definedName>
    <definedName name="_______________PRO2">#REF!</definedName>
    <definedName name="_______________PRO4">#REF!</definedName>
    <definedName name="_______________PRO5">#REF!</definedName>
    <definedName name="_______________PRO6">#REF!</definedName>
    <definedName name="_______________PRO7">#REF!</definedName>
    <definedName name="_______________s3">'[11]h-013211-2'!$C$5</definedName>
    <definedName name="_______________SHT1">'[12]L V Separator'!$A$1:$AC$65</definedName>
    <definedName name="_______________STM11">#REF!</definedName>
    <definedName name="_______________TB1">#REF!</definedName>
    <definedName name="______________A1" localSheetId="0" hidden="1">{#N/A,#N/A,TRUE,"Basic";#N/A,#N/A,TRUE,"EXT-TABLE";#N/A,#N/A,TRUE,"STEEL";#N/A,#N/A,TRUE,"INT-Table";#N/A,#N/A,TRUE,"STEEL";#N/A,#N/A,TRUE,"Door"}</definedName>
    <definedName name="______________A1" hidden="1">{#N/A,#N/A,TRUE,"Basic";#N/A,#N/A,TRUE,"EXT-TABLE";#N/A,#N/A,TRUE,"STEEL";#N/A,#N/A,TRUE,"INT-Table";#N/A,#N/A,TRUE,"STEEL";#N/A,#N/A,TRUE,"Door"}</definedName>
    <definedName name="______________A66" localSheetId="0">[9]!______________KT66</definedName>
    <definedName name="______________A66">#N/A</definedName>
    <definedName name="______________ac4" localSheetId="0">#N/A</definedName>
    <definedName name="______________ac4">#N/A</definedName>
    <definedName name="______________B1">#REF!</definedName>
    <definedName name="______________END1">'[10]개시대사 (2)'!$G$49</definedName>
    <definedName name="______________FLL2" hidden="1">#REF!</definedName>
    <definedName name="______________KT66" localSheetId="0">#N/A</definedName>
    <definedName name="______________KT66">#N/A</definedName>
    <definedName name="______________plc1">[8]INSTR!$A$5:$M$208</definedName>
    <definedName name="______________PRO1" localSheetId="0">#REF!</definedName>
    <definedName name="______________PRO1">#REF!</definedName>
    <definedName name="______________PRO2">#REF!</definedName>
    <definedName name="______________PRO4">#REF!</definedName>
    <definedName name="______________PRO5">#REF!</definedName>
    <definedName name="______________PRO6">#REF!</definedName>
    <definedName name="______________PRO7">#REF!</definedName>
    <definedName name="______________s3">'[11]h-013211-2'!$C$5</definedName>
    <definedName name="______________SHT1">'[12]L V Separator'!$A$1:$AC$65</definedName>
    <definedName name="______________STM11">#REF!</definedName>
    <definedName name="______________TB1">#REF!</definedName>
    <definedName name="_____________A1" localSheetId="0" hidden="1">{#N/A,#N/A,TRUE,"Basic";#N/A,#N/A,TRUE,"EXT-TABLE";#N/A,#N/A,TRUE,"STEEL";#N/A,#N/A,TRUE,"INT-Table";#N/A,#N/A,TRUE,"STEEL";#N/A,#N/A,TRUE,"Door"}</definedName>
    <definedName name="_____________A1" hidden="1">{#N/A,#N/A,TRUE,"Basic";#N/A,#N/A,TRUE,"EXT-TABLE";#N/A,#N/A,TRUE,"STEEL";#N/A,#N/A,TRUE,"INT-Table";#N/A,#N/A,TRUE,"STEEL";#N/A,#N/A,TRUE,"Door"}</definedName>
    <definedName name="_____________A66" localSheetId="0">[9]!_____________KT66</definedName>
    <definedName name="_____________A66">#N/A</definedName>
    <definedName name="_____________ac4" localSheetId="0">#N/A</definedName>
    <definedName name="_____________ac4">#N/A</definedName>
    <definedName name="_____________B1">#REF!</definedName>
    <definedName name="_____________END1">'[10]개시대사 (2)'!$G$49</definedName>
    <definedName name="_____________FLL2" hidden="1">#REF!</definedName>
    <definedName name="_____________KT66" localSheetId="0">#N/A</definedName>
    <definedName name="_____________KT66">#N/A</definedName>
    <definedName name="_____________plc1">[8]INSTR!$A$5:$M$208</definedName>
    <definedName name="_____________PRO1" localSheetId="0">#REF!</definedName>
    <definedName name="_____________PRO1">#REF!</definedName>
    <definedName name="_____________PRO2">#REF!</definedName>
    <definedName name="_____________PRO4">#REF!</definedName>
    <definedName name="_____________PRO5">#REF!</definedName>
    <definedName name="_____________PRO6">#REF!</definedName>
    <definedName name="_____________PRO7">#REF!</definedName>
    <definedName name="_____________s3">'[11]h-013211-2'!$C$5</definedName>
    <definedName name="_____________SHT1">'[12]L V Separator'!$A$1:$AC$65</definedName>
    <definedName name="_____________STM11">#REF!</definedName>
    <definedName name="_____________TB1">#REF!</definedName>
    <definedName name="____________A1" localSheetId="0" hidden="1">{#N/A,#N/A,TRUE,"Basic";#N/A,#N/A,TRUE,"EXT-TABLE";#N/A,#N/A,TRUE,"STEEL";#N/A,#N/A,TRUE,"INT-Table";#N/A,#N/A,TRUE,"STEEL";#N/A,#N/A,TRUE,"Door"}</definedName>
    <definedName name="____________A1" hidden="1">{#N/A,#N/A,TRUE,"Basic";#N/A,#N/A,TRUE,"EXT-TABLE";#N/A,#N/A,TRUE,"STEEL";#N/A,#N/A,TRUE,"INT-Table";#N/A,#N/A,TRUE,"STEEL";#N/A,#N/A,TRUE,"Door"}</definedName>
    <definedName name="____________A66" localSheetId="0">[9]!____________KT66</definedName>
    <definedName name="____________A66">#N/A</definedName>
    <definedName name="____________ac4" localSheetId="0">#N/A</definedName>
    <definedName name="____________ac4">#N/A</definedName>
    <definedName name="____________B1">#REF!</definedName>
    <definedName name="____________END1">'[10]개시대사 (2)'!$G$49</definedName>
    <definedName name="____________FLL2" hidden="1">#REF!</definedName>
    <definedName name="____________KT66" localSheetId="0">#N/A</definedName>
    <definedName name="____________KT66">#N/A</definedName>
    <definedName name="____________plc1">[8]INSTR!$A$5:$M$208</definedName>
    <definedName name="____________PRO1" localSheetId="0">#REF!</definedName>
    <definedName name="____________PRO1">#REF!</definedName>
    <definedName name="____________PRO2" localSheetId="0">#REF!</definedName>
    <definedName name="____________PRO2">#REF!</definedName>
    <definedName name="____________PRO4" localSheetId="0">#REF!</definedName>
    <definedName name="____________PRO4">#REF!</definedName>
    <definedName name="____________PRO5" localSheetId="0">#REF!</definedName>
    <definedName name="____________PRO5">#REF!</definedName>
    <definedName name="____________PRO6" localSheetId="0">#REF!</definedName>
    <definedName name="____________PRO6">#REF!</definedName>
    <definedName name="____________PRO7" localSheetId="0">#REF!</definedName>
    <definedName name="____________PRO7">#REF!</definedName>
    <definedName name="____________s3">'[11]h-013211-2'!$C$5</definedName>
    <definedName name="____________SHT1">'[12]L V Separator'!$A$1:$AC$65</definedName>
    <definedName name="____________STM11">#REF!</definedName>
    <definedName name="____________TB1">#REF!</definedName>
    <definedName name="___________A1" localSheetId="0" hidden="1">{#N/A,#N/A,TRUE,"Basic";#N/A,#N/A,TRUE,"EXT-TABLE";#N/A,#N/A,TRUE,"STEEL";#N/A,#N/A,TRUE,"INT-Table";#N/A,#N/A,TRUE,"STEEL";#N/A,#N/A,TRUE,"Door"}</definedName>
    <definedName name="___________A1" hidden="1">{#N/A,#N/A,TRUE,"Basic";#N/A,#N/A,TRUE,"EXT-TABLE";#N/A,#N/A,TRUE,"STEEL";#N/A,#N/A,TRUE,"INT-Table";#N/A,#N/A,TRUE,"STEEL";#N/A,#N/A,TRUE,"Door"}</definedName>
    <definedName name="___________A66" localSheetId="0">[9]!___________KT66</definedName>
    <definedName name="___________A66">#N/A</definedName>
    <definedName name="___________ac4" localSheetId="0">#N/A</definedName>
    <definedName name="___________ac4">#N/A</definedName>
    <definedName name="___________B1">#REF!</definedName>
    <definedName name="___________END1">'[10]개시대사 (2)'!$G$49</definedName>
    <definedName name="___________FLL2" hidden="1">#REF!</definedName>
    <definedName name="___________KT66" localSheetId="0">#N/A</definedName>
    <definedName name="___________KT66">#N/A</definedName>
    <definedName name="___________plc1">[8]INSTR!$A$5:$M$208</definedName>
    <definedName name="___________PRO1" localSheetId="0">#REF!</definedName>
    <definedName name="___________PRO1">#REF!</definedName>
    <definedName name="___________PRO2">#REF!</definedName>
    <definedName name="___________PRO4">#REF!</definedName>
    <definedName name="___________PRO5">#REF!</definedName>
    <definedName name="___________PRO6">#REF!</definedName>
    <definedName name="___________PRO7">#REF!</definedName>
    <definedName name="___________s3">'[11]h-013211-2'!$C$5</definedName>
    <definedName name="___________SHT1">'[12]L V Separator'!$A$1:$AC$65</definedName>
    <definedName name="___________STM11">#REF!</definedName>
    <definedName name="___________TB1">#REF!</definedName>
    <definedName name="__________A1" localSheetId="0" hidden="1">{#N/A,#N/A,TRUE,"Basic";#N/A,#N/A,TRUE,"EXT-TABLE";#N/A,#N/A,TRUE,"STEEL";#N/A,#N/A,TRUE,"INT-Table";#N/A,#N/A,TRUE,"STEEL";#N/A,#N/A,TRUE,"Door"}</definedName>
    <definedName name="__________A66" localSheetId="0">[9]!__________KT66</definedName>
    <definedName name="__________A66">#N/A</definedName>
    <definedName name="__________ac4" localSheetId="0">[9]!ClearSheet</definedName>
    <definedName name="__________ac4">#N/A</definedName>
    <definedName name="__________B1">#REF!</definedName>
    <definedName name="__________END1">'[10]개시대사 (2)'!$G$49</definedName>
    <definedName name="__________FLL2" hidden="1">#REF!</definedName>
    <definedName name="__________KT66" localSheetId="0">#N/A</definedName>
    <definedName name="__________KT66">#N/A</definedName>
    <definedName name="__________plc1">[8]INSTR!$A$5:$M$208</definedName>
    <definedName name="__________PRO1" localSheetId="0">#REF!</definedName>
    <definedName name="__________PRO1">#REF!</definedName>
    <definedName name="__________PRO2">#REF!</definedName>
    <definedName name="__________PRO4">#REF!</definedName>
    <definedName name="__________PRO5">#REF!</definedName>
    <definedName name="__________PRO6">#REF!</definedName>
    <definedName name="__________PRO7">#REF!</definedName>
    <definedName name="__________s3">'[11]h-013211-2'!$C$5</definedName>
    <definedName name="__________SHT1">'[12]L V Separator'!$A$1:$AC$65</definedName>
    <definedName name="__________STM11" localSheetId="0">#REF!</definedName>
    <definedName name="__________TB1">#REF!</definedName>
    <definedName name="_________A1" localSheetId="0" hidden="1">{#N/A,#N/A,TRUE,"Basic";#N/A,#N/A,TRUE,"EXT-TABLE";#N/A,#N/A,TRUE,"STEEL";#N/A,#N/A,TRUE,"INT-Table";#N/A,#N/A,TRUE,"STEEL";#N/A,#N/A,TRUE,"Door"}</definedName>
    <definedName name="_________A1" hidden="1">{#N/A,#N/A,TRUE,"Basic";#N/A,#N/A,TRUE,"EXT-TABLE";#N/A,#N/A,TRUE,"STEEL";#N/A,#N/A,TRUE,"INT-Table";#N/A,#N/A,TRUE,"STEEL";#N/A,#N/A,TRUE,"Door"}</definedName>
    <definedName name="_________A66" localSheetId="0">[0]!_________KT66</definedName>
    <definedName name="_________ac4" localSheetId="0">[0]!ClearSheet</definedName>
    <definedName name="_________B1">#REF!</definedName>
    <definedName name="_________END1">'[10]개시대사 (2)'!$G$49</definedName>
    <definedName name="_________FLL2" hidden="1">#REF!</definedName>
    <definedName name="_________KT66" localSheetId="0">[0]!_________KT66</definedName>
    <definedName name="_________KT66">#N/A</definedName>
    <definedName name="_________plc1">[8]INSTR!$A$5:$M$208</definedName>
    <definedName name="_________PRO1" localSheetId="0">#REF!</definedName>
    <definedName name="_________PRO1">#REF!</definedName>
    <definedName name="_________PRO2">#REF!</definedName>
    <definedName name="_________PRO4">#REF!</definedName>
    <definedName name="_________PRO5">#REF!</definedName>
    <definedName name="_________PRO6">#REF!</definedName>
    <definedName name="_________PRO7">#REF!</definedName>
    <definedName name="_________s3">'[11]h-013211-2'!$C$5</definedName>
    <definedName name="_________SHT1">'[12]L V Separator'!$A$1:$AC$65</definedName>
    <definedName name="_________STM11">#REF!</definedName>
    <definedName name="_________TB1">#REF!</definedName>
    <definedName name="________A66" localSheetId="0">[9]!________KT66</definedName>
    <definedName name="________A66">#N/A</definedName>
    <definedName name="________ac4" localSheetId="0">[9]!ClearSheet</definedName>
    <definedName name="________ac4">#N/A</definedName>
    <definedName name="________B1">#REF!</definedName>
    <definedName name="________END1">'[10]개시대사 (2)'!$G$49</definedName>
    <definedName name="________FLL2" hidden="1">#REF!</definedName>
    <definedName name="________KT66" localSheetId="0">#N/A</definedName>
    <definedName name="________KT66">#N/A</definedName>
    <definedName name="________plc1">[8]INSTR!$A$5:$M$208</definedName>
    <definedName name="________PRO1" localSheetId="0">#REF!</definedName>
    <definedName name="________PRO1">#REF!</definedName>
    <definedName name="________PRO2">#REF!</definedName>
    <definedName name="________PRO4">#REF!</definedName>
    <definedName name="________PRO5">#REF!</definedName>
    <definedName name="________PRO6">#REF!</definedName>
    <definedName name="________PRO7">#REF!</definedName>
    <definedName name="________s3">'[11]h-013211-2'!$C$5</definedName>
    <definedName name="________SHT1">'[12]L V Separator'!$A$1:$AC$65</definedName>
    <definedName name="________STM11">#REF!</definedName>
    <definedName name="________TB1">#REF!</definedName>
    <definedName name="_______A1" localSheetId="0" hidden="1">{#N/A,#N/A,TRUE,"Basic";#N/A,#N/A,TRUE,"EXT-TABLE";#N/A,#N/A,TRUE,"STEEL";#N/A,#N/A,TRUE,"INT-Table";#N/A,#N/A,TRUE,"STEEL";#N/A,#N/A,TRUE,"Door"}</definedName>
    <definedName name="_______A1" hidden="1">{#N/A,#N/A,TRUE,"Basic";#N/A,#N/A,TRUE,"EXT-TABLE";#N/A,#N/A,TRUE,"STEEL";#N/A,#N/A,TRUE,"INT-Table";#N/A,#N/A,TRUE,"STEEL";#N/A,#N/A,TRUE,"Door"}</definedName>
    <definedName name="_______A66" localSheetId="0">[9]!_______KT66</definedName>
    <definedName name="_______A66">#N/A</definedName>
    <definedName name="_______ac4" localSheetId="0">#N/A</definedName>
    <definedName name="_______ac4">#N/A</definedName>
    <definedName name="_______B1">#REF!</definedName>
    <definedName name="_______END1">'[10]개시대사 (2)'!$G$49</definedName>
    <definedName name="_______FLL2" hidden="1">#REF!</definedName>
    <definedName name="_______KT66" localSheetId="0">#N/A</definedName>
    <definedName name="_______KT66">#N/A</definedName>
    <definedName name="_______plc1">[8]INSTR!$A$5:$M$208</definedName>
    <definedName name="_______PRO1" localSheetId="0">#REF!</definedName>
    <definedName name="_______PRO1">#REF!</definedName>
    <definedName name="_______PRO2">#REF!</definedName>
    <definedName name="_______PRO4">#REF!</definedName>
    <definedName name="_______PRO5">#REF!</definedName>
    <definedName name="_______PRO6">#REF!</definedName>
    <definedName name="_______PRO7">#REF!</definedName>
    <definedName name="_______s3">'[11]h-013211-2'!$C$5</definedName>
    <definedName name="_______SHT1">'[12]L V Separator'!$A$1:$AC$65</definedName>
    <definedName name="_______STM11">#REF!</definedName>
    <definedName name="_______TB1">#REF!</definedName>
    <definedName name="______A1" localSheetId="0" hidden="1">{#N/A,#N/A,TRUE,"Basic";#N/A,#N/A,TRUE,"EXT-TABLE";#N/A,#N/A,TRUE,"STEEL";#N/A,#N/A,TRUE,"INT-Table";#N/A,#N/A,TRUE,"STEEL";#N/A,#N/A,TRUE,"Door"}</definedName>
    <definedName name="______A1" hidden="1">{#N/A,#N/A,TRUE,"Basic";#N/A,#N/A,TRUE,"EXT-TABLE";#N/A,#N/A,TRUE,"STEEL";#N/A,#N/A,TRUE,"INT-Table";#N/A,#N/A,TRUE,"STEEL";#N/A,#N/A,TRUE,"Door"}</definedName>
    <definedName name="______A66" localSheetId="0">[9]!______KT66</definedName>
    <definedName name="______A66">#N/A</definedName>
    <definedName name="______ac4" localSheetId="0">#N/A</definedName>
    <definedName name="______ac4">#N/A</definedName>
    <definedName name="______B1">#REF!</definedName>
    <definedName name="______END1">'[10]개시대사 (2)'!$G$49</definedName>
    <definedName name="______FLL2" hidden="1">#REF!</definedName>
    <definedName name="______KT66" localSheetId="0">#N/A</definedName>
    <definedName name="______KT66">#N/A</definedName>
    <definedName name="______plc1">[8]INSTR!$A$5:$M$208</definedName>
    <definedName name="______PRO1" localSheetId="0">#REF!</definedName>
    <definedName name="______PRO1">#REF!</definedName>
    <definedName name="______PRO2">#REF!</definedName>
    <definedName name="______PRO4">#REF!</definedName>
    <definedName name="______PRO5">#REF!</definedName>
    <definedName name="______PRO6">#REF!</definedName>
    <definedName name="______PRO7">#REF!</definedName>
    <definedName name="______s3">'[11]h-013211-2'!$C$5</definedName>
    <definedName name="______SHT1">'[12]L V Separator'!$A$1:$AC$65</definedName>
    <definedName name="______STM11">#REF!</definedName>
    <definedName name="______TB1">#REF!</definedName>
    <definedName name="_____A1" localSheetId="0" hidden="1">{#N/A,#N/A,TRUE,"Basic";#N/A,#N/A,TRUE,"EXT-TABLE";#N/A,#N/A,TRUE,"STEEL";#N/A,#N/A,TRUE,"INT-Table";#N/A,#N/A,TRUE,"STEEL";#N/A,#N/A,TRUE,"Door"}</definedName>
    <definedName name="_____A1" hidden="1">{#N/A,#N/A,TRUE,"Basic";#N/A,#N/A,TRUE,"EXT-TABLE";#N/A,#N/A,TRUE,"STEEL";#N/A,#N/A,TRUE,"INT-Table";#N/A,#N/A,TRUE,"STEEL";#N/A,#N/A,TRUE,"Door"}</definedName>
    <definedName name="_____A66" localSheetId="0">[9]!_____KT66</definedName>
    <definedName name="_____A66">#N/A</definedName>
    <definedName name="_____ac4" localSheetId="0">#N/A</definedName>
    <definedName name="_____ac4">#N/A</definedName>
    <definedName name="_____B1">#REF!</definedName>
    <definedName name="_____END1">'[10]개시대사 (2)'!$G$49</definedName>
    <definedName name="_____FLL2" hidden="1">#REF!</definedName>
    <definedName name="_____KT66" localSheetId="0">#N/A</definedName>
    <definedName name="_____KT66">#N/A</definedName>
    <definedName name="_____plc1">[8]INSTR!$A$5:$M$208</definedName>
    <definedName name="_____PRO1" localSheetId="0">#REF!</definedName>
    <definedName name="_____PRO1">#REF!</definedName>
    <definedName name="_____PRO2">#REF!</definedName>
    <definedName name="_____PRO4">#REF!</definedName>
    <definedName name="_____PRO5">#REF!</definedName>
    <definedName name="_____PRO6">#REF!</definedName>
    <definedName name="_____PRO7">#REF!</definedName>
    <definedName name="_____PRO8">#REF!</definedName>
    <definedName name="_____PRO9">#REF!</definedName>
    <definedName name="_____s3">'[11]h-013211-2'!$C$5</definedName>
    <definedName name="_____SHT1">'[12]L V Separator'!$A$1:$AC$65</definedName>
    <definedName name="_____STM11">#REF!</definedName>
    <definedName name="_____TB1">#REF!</definedName>
    <definedName name="____A1" localSheetId="0" hidden="1">{#N/A,#N/A,TRUE,"Basic";#N/A,#N/A,TRUE,"EXT-TABLE";#N/A,#N/A,TRUE,"STEEL";#N/A,#N/A,TRUE,"INT-Table";#N/A,#N/A,TRUE,"STEEL";#N/A,#N/A,TRUE,"Door"}</definedName>
    <definedName name="____A1" hidden="1">{#N/A,#N/A,TRUE,"Basic";#N/A,#N/A,TRUE,"EXT-TABLE";#N/A,#N/A,TRUE,"STEEL";#N/A,#N/A,TRUE,"INT-Table";#N/A,#N/A,TRUE,"STEEL";#N/A,#N/A,TRUE,"Door"}</definedName>
    <definedName name="____A66" localSheetId="0">[9]!____KT66</definedName>
    <definedName name="____A66">#N/A</definedName>
    <definedName name="____ac4" localSheetId="0">#N/A</definedName>
    <definedName name="____ac4">#N/A</definedName>
    <definedName name="____B1">#REF!</definedName>
    <definedName name="____END1">'[10]개시대사 (2)'!$G$49</definedName>
    <definedName name="____FLL2" hidden="1">#REF!</definedName>
    <definedName name="____KT66" localSheetId="0">#N/A</definedName>
    <definedName name="____KT66">#N/A</definedName>
    <definedName name="____plc1">[8]INSTR!$A$5:$M$208</definedName>
    <definedName name="____PRO1" localSheetId="0">#REF!</definedName>
    <definedName name="____PRO1">#REF!</definedName>
    <definedName name="____PRO2">#REF!</definedName>
    <definedName name="____PRO4">#REF!</definedName>
    <definedName name="____PRO5">#REF!</definedName>
    <definedName name="____PRO6">#REF!</definedName>
    <definedName name="____PRO7">#REF!</definedName>
    <definedName name="____PRO8">#REF!</definedName>
    <definedName name="____PRO9">#REF!</definedName>
    <definedName name="____s3">'[11]h-013211-2'!$C$5</definedName>
    <definedName name="____SHT1">'[12]L V Separator'!$A$1:$AC$65</definedName>
    <definedName name="____SHT2">'[13]L V Separator'!#REF!</definedName>
    <definedName name="____SHT3">'[13]L V Separator'!#REF!</definedName>
    <definedName name="____STM11">#REF!</definedName>
    <definedName name="____TB1">#REF!</definedName>
    <definedName name="___A1" localSheetId="0" hidden="1">{#N/A,#N/A,TRUE,"Basic";#N/A,#N/A,TRUE,"EXT-TABLE";#N/A,#N/A,TRUE,"STEEL";#N/A,#N/A,TRUE,"INT-Table";#N/A,#N/A,TRUE,"STEEL";#N/A,#N/A,TRUE,"Door"}</definedName>
    <definedName name="___A1" hidden="1">{#N/A,#N/A,TRUE,"Basic";#N/A,#N/A,TRUE,"EXT-TABLE";#N/A,#N/A,TRUE,"STEEL";#N/A,#N/A,TRUE,"INT-Table";#N/A,#N/A,TRUE,"STEEL";#N/A,#N/A,TRUE,"Door"}</definedName>
    <definedName name="___A66" localSheetId="0">[9]!___KT66</definedName>
    <definedName name="___A66">#N/A</definedName>
    <definedName name="___ac4" localSheetId="0">#N/A</definedName>
    <definedName name="___ac4">#N/A</definedName>
    <definedName name="___B1">#REF!</definedName>
    <definedName name="___END1">'[10]개시대사 (2)'!$G$49</definedName>
    <definedName name="___FLL2" hidden="1">#REF!</definedName>
    <definedName name="___KT66" localSheetId="0">#N/A</definedName>
    <definedName name="___KT66">#N/A</definedName>
    <definedName name="___plc1">[8]INSTR!$A$5:$M$208</definedName>
    <definedName name="___PRO1">#REF!</definedName>
    <definedName name="___PRO2">#REF!</definedName>
    <definedName name="___PRO4">#REF!</definedName>
    <definedName name="___PRO5">#REF!</definedName>
    <definedName name="___PRO6">#REF!</definedName>
    <definedName name="___PRO7">#REF!</definedName>
    <definedName name="___PRO8">#REF!</definedName>
    <definedName name="___PRO9">#REF!</definedName>
    <definedName name="___s3">'[11]h-013211-2'!$C$5</definedName>
    <definedName name="___SHT1">'[12]L V Separator'!$A$1:$AC$65</definedName>
    <definedName name="___SHT2">'[13]L V Separator'!#REF!</definedName>
    <definedName name="___SHT3">'[13]L V Separator'!#REF!</definedName>
    <definedName name="___STM11">#REF!</definedName>
    <definedName name="___TB1">#REF!</definedName>
    <definedName name="__123Graph_A" localSheetId="0" hidden="1">[14]DRUM!#REF!</definedName>
    <definedName name="__123Graph_A" hidden="1">[12]DRUM!#REF!</definedName>
    <definedName name="__123Graph_B" localSheetId="0" hidden="1">[14]DRUM!#REF!</definedName>
    <definedName name="__123Graph_B" hidden="1">[12]DRUM!#REF!</definedName>
    <definedName name="__123Graph_C" localSheetId="0" hidden="1">[14]DRUM!#REF!</definedName>
    <definedName name="__123Graph_C" hidden="1">[12]DRUM!#REF!</definedName>
    <definedName name="__123Graph_D" localSheetId="0" hidden="1">[14]DRUM!#REF!</definedName>
    <definedName name="__123Graph_D" hidden="1">[12]DRUM!#REF!</definedName>
    <definedName name="__123Graph_X" localSheetId="0" hidden="1">[14]DRUM!#REF!</definedName>
    <definedName name="__123Graph_X" hidden="1">[12]DRUM!#REF!</definedName>
    <definedName name="__A1" localSheetId="0" hidden="1">{#N/A,#N/A,TRUE,"Basic";#N/A,#N/A,TRUE,"EXT-TABLE";#N/A,#N/A,TRUE,"STEEL";#N/A,#N/A,TRUE,"INT-Table";#N/A,#N/A,TRUE,"STEEL";#N/A,#N/A,TRUE,"Door"}</definedName>
    <definedName name="__A1" hidden="1">{#N/A,#N/A,TRUE,"Basic";#N/A,#N/A,TRUE,"EXT-TABLE";#N/A,#N/A,TRUE,"STEEL";#N/A,#N/A,TRUE,"INT-Table";#N/A,#N/A,TRUE,"STEEL";#N/A,#N/A,TRUE,"Door"}</definedName>
    <definedName name="__A66" localSheetId="0">[9]!__KT66</definedName>
    <definedName name="__A66">#N/A</definedName>
    <definedName name="__ac4" localSheetId="0">#N/A</definedName>
    <definedName name="__ac4">#N/A</definedName>
    <definedName name="__B1">#REF!</definedName>
    <definedName name="__BBJ3">'[7]95삼성급(본사)'!#REF!</definedName>
    <definedName name="__BCJ3">'[7]95삼성급(본사)'!#REF!</definedName>
    <definedName name="__BDR3">'[7]95삼성급(본사)'!#REF!</definedName>
    <definedName name="__BGJ3">'[7]95삼성급(본사)'!#REF!</definedName>
    <definedName name="__END1">'[10]개시대사 (2)'!$G$49</definedName>
    <definedName name="__FLL2" hidden="1">#REF!</definedName>
    <definedName name="__KT66" localSheetId="0">#N/A</definedName>
    <definedName name="__KT66">#N/A</definedName>
    <definedName name="__plc1">[8]INSTR!$A$5:$M$208</definedName>
    <definedName name="__PRO1">#REF!</definedName>
    <definedName name="__PRO2">#REF!</definedName>
    <definedName name="__PRO3">[15]PRO_DCI!#REF!</definedName>
    <definedName name="__PRO4">#REF!</definedName>
    <definedName name="__PRO5">#REF!</definedName>
    <definedName name="__PRO6">#REF!</definedName>
    <definedName name="__PRO7">#REF!</definedName>
    <definedName name="__PRO8">#REF!</definedName>
    <definedName name="__PRO9">#REF!</definedName>
    <definedName name="__s3" localSheetId="0">'[11]h-013211-2'!$C$5</definedName>
    <definedName name="__s3">'[16]h-013211-2'!$C$5</definedName>
    <definedName name="__SHT1">'[12]L V Separator'!$A$1:$AC$65</definedName>
    <definedName name="__SHT2">'[13]L V Separator'!#REF!</definedName>
    <definedName name="__SHT3">'[13]L V Separator'!#REF!</definedName>
    <definedName name="__STM11">#REF!</definedName>
    <definedName name="__TB1">#REF!</definedName>
    <definedName name="_1">#REF!</definedName>
    <definedName name="_10A_">[17]연돌일위집계!#REF!</definedName>
    <definedName name="_10A_1">[17]연돌일위집계!#REF!</definedName>
    <definedName name="_10A_10">[17]연돌일위집계!#REF!</definedName>
    <definedName name="_10A_11">[17]연돌일위집계!#REF!</definedName>
    <definedName name="_10A_12">[17]연돌일위집계!#REF!</definedName>
    <definedName name="_10A_13">[17]연돌일위집계!#REF!</definedName>
    <definedName name="_10A_14">[17]연돌일위집계!#REF!</definedName>
    <definedName name="_10A_15">[17]연돌일위집계!#REF!</definedName>
    <definedName name="_10A_16">[17]연돌일위집계!#REF!</definedName>
    <definedName name="_10A_17">[17]연돌일위집계!#REF!</definedName>
    <definedName name="_10A_18">[17]연돌일위집계!#REF!</definedName>
    <definedName name="_10A_19">[17]연돌일위집계!#REF!</definedName>
    <definedName name="_10A_2">[17]연돌일위집계!#REF!</definedName>
    <definedName name="_10A_20">[17]연돌일위집계!#REF!</definedName>
    <definedName name="_10A_21">[17]연돌일위집계!#REF!</definedName>
    <definedName name="_10A_22">[17]연돌일위집계!#REF!</definedName>
    <definedName name="_10A_23">[17]연돌일위집계!#REF!</definedName>
    <definedName name="_10A_24">[17]연돌일위집계!#REF!</definedName>
    <definedName name="_10A_25">[17]연돌일위집계!#REF!</definedName>
    <definedName name="_10A_26">[17]연돌일위집계!#REF!</definedName>
    <definedName name="_10A_27">[17]연돌일위집계!#REF!</definedName>
    <definedName name="_10A_28">[17]연돌일위집계!#REF!</definedName>
    <definedName name="_10A_29">[17]연돌일위집계!#REF!</definedName>
    <definedName name="_10A_3">[17]연돌일위집계!#REF!</definedName>
    <definedName name="_10A_30">[17]연돌일위집계!#REF!</definedName>
    <definedName name="_10A_31">[17]연돌일위집계!#REF!</definedName>
    <definedName name="_10A_32">[17]연돌일위집계!#REF!</definedName>
    <definedName name="_10A_33">[17]연돌일위집계!#REF!</definedName>
    <definedName name="_10A_34">[17]연돌일위집계!#REF!</definedName>
    <definedName name="_10A_35">[17]연돌일위집계!#REF!</definedName>
    <definedName name="_10A_36">[17]연돌일위집계!#REF!</definedName>
    <definedName name="_10A_37">[17]연돌일위집계!#REF!</definedName>
    <definedName name="_10A_38">[17]연돌일위집계!#REF!</definedName>
    <definedName name="_10A_39">[17]연돌일위집계!#REF!</definedName>
    <definedName name="_10A_4">[17]연돌일위집계!#REF!</definedName>
    <definedName name="_10A_40">[17]연돌일위집계!#REF!</definedName>
    <definedName name="_10A_41">[17]연돌일위집계!#REF!</definedName>
    <definedName name="_10A_42">[17]연돌일위집계!#REF!</definedName>
    <definedName name="_10A_43">[17]연돌일위집계!#REF!</definedName>
    <definedName name="_10A_44">[17]연돌일위집계!#REF!</definedName>
    <definedName name="_10A_45">[17]연돌일위집계!#REF!</definedName>
    <definedName name="_10A_46">[17]연돌일위집계!#REF!</definedName>
    <definedName name="_10A_47">[17]연돌일위집계!#REF!</definedName>
    <definedName name="_10A_48">[17]연돌일위집계!#REF!</definedName>
    <definedName name="_10A_49">[17]연돌일위집계!#REF!</definedName>
    <definedName name="_10A_5">[17]연돌일위집계!#REF!</definedName>
    <definedName name="_10A_50">[17]연돌일위집계!#REF!</definedName>
    <definedName name="_10A_51">[17]연돌일위집계!#REF!</definedName>
    <definedName name="_10A_52">[17]연돌일위집계!#REF!</definedName>
    <definedName name="_10A_53">[17]연돌일위집계!#REF!</definedName>
    <definedName name="_10A_54">[17]연돌일위집계!#REF!</definedName>
    <definedName name="_10A_55">[17]연돌일위집계!#REF!</definedName>
    <definedName name="_10A_56">[17]연돌일위집계!#REF!</definedName>
    <definedName name="_10A_57">[17]연돌일위집계!#REF!</definedName>
    <definedName name="_10A_58">[17]연돌일위집계!#REF!</definedName>
    <definedName name="_10A_59">[17]연돌일위집계!#REF!</definedName>
    <definedName name="_10A_6">[17]연돌일위집계!#REF!</definedName>
    <definedName name="_10A_60">[17]연돌일위집계!#REF!</definedName>
    <definedName name="_10A_61">#N/A</definedName>
    <definedName name="_10A_62">#N/A</definedName>
    <definedName name="_10A_63">#REF!</definedName>
    <definedName name="_10A_64">#N/A</definedName>
    <definedName name="_10A_65">#N/A</definedName>
    <definedName name="_10A_66">#N/A</definedName>
    <definedName name="_10A_67">#N/A</definedName>
    <definedName name="_10A_68">#N/A</definedName>
    <definedName name="_10A_69">#N/A</definedName>
    <definedName name="_10A_7">[17]연돌일위집계!#REF!</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[17]연돌일위집계!#REF!</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[17]연돌일위집계!#REF!</definedName>
    <definedName name="_10A_90">#N/A</definedName>
    <definedName name="_10B_">[17]연돌일위집계!#REF!</definedName>
    <definedName name="_10B_1">[17]연돌일위집계!#REF!</definedName>
    <definedName name="_10B_10">[17]연돌일위집계!#REF!</definedName>
    <definedName name="_10B_11">[17]연돌일위집계!#REF!</definedName>
    <definedName name="_10B_12">[17]연돌일위집계!#REF!</definedName>
    <definedName name="_10B_13">[17]연돌일위집계!#REF!</definedName>
    <definedName name="_10B_14">[17]연돌일위집계!#REF!</definedName>
    <definedName name="_10B_15">[17]연돌일위집계!#REF!</definedName>
    <definedName name="_10B_16">[17]연돌일위집계!#REF!</definedName>
    <definedName name="_10B_17">[17]연돌일위집계!#REF!</definedName>
    <definedName name="_10B_18">[17]연돌일위집계!#REF!</definedName>
    <definedName name="_10B_19">[17]연돌일위집계!#REF!</definedName>
    <definedName name="_10B_2">[17]연돌일위집계!#REF!</definedName>
    <definedName name="_10B_20">[17]연돌일위집계!#REF!</definedName>
    <definedName name="_10B_21">[17]연돌일위집계!#REF!</definedName>
    <definedName name="_10B_22">[17]연돌일위집계!#REF!</definedName>
    <definedName name="_10B_23">[17]연돌일위집계!#REF!</definedName>
    <definedName name="_10B_24">[17]연돌일위집계!#REF!</definedName>
    <definedName name="_10B_25">[17]연돌일위집계!#REF!</definedName>
    <definedName name="_10B_26">[17]연돌일위집계!#REF!</definedName>
    <definedName name="_10B_27">[17]연돌일위집계!#REF!</definedName>
    <definedName name="_10B_28">[17]연돌일위집계!#REF!</definedName>
    <definedName name="_10B_29">[17]연돌일위집계!#REF!</definedName>
    <definedName name="_10B_3">[17]연돌일위집계!#REF!</definedName>
    <definedName name="_10B_30">[17]연돌일위집계!#REF!</definedName>
    <definedName name="_10B_31">[17]연돌일위집계!#REF!</definedName>
    <definedName name="_10B_32">[17]연돌일위집계!#REF!</definedName>
    <definedName name="_10B_33">[17]연돌일위집계!#REF!</definedName>
    <definedName name="_10B_34">[17]연돌일위집계!#REF!</definedName>
    <definedName name="_10B_35">[17]연돌일위집계!#REF!</definedName>
    <definedName name="_10B_36">[17]연돌일위집계!#REF!</definedName>
    <definedName name="_10B_37">[17]연돌일위집계!#REF!</definedName>
    <definedName name="_10B_38">[17]연돌일위집계!#REF!</definedName>
    <definedName name="_10B_39">[17]연돌일위집계!#REF!</definedName>
    <definedName name="_10B_4">[17]연돌일위집계!#REF!</definedName>
    <definedName name="_10B_40">[17]연돌일위집계!#REF!</definedName>
    <definedName name="_10B_41">[17]연돌일위집계!#REF!</definedName>
    <definedName name="_10B_42">[17]연돌일위집계!#REF!</definedName>
    <definedName name="_10B_43">[17]연돌일위집계!#REF!</definedName>
    <definedName name="_10B_44">[17]연돌일위집계!#REF!</definedName>
    <definedName name="_10B_45">[17]연돌일위집계!#REF!</definedName>
    <definedName name="_10B_46">[17]연돌일위집계!#REF!</definedName>
    <definedName name="_10B_47">[17]연돌일위집계!#REF!</definedName>
    <definedName name="_10B_48">[17]연돌일위집계!#REF!</definedName>
    <definedName name="_10B_49">[17]연돌일위집계!#REF!</definedName>
    <definedName name="_10B_5">[17]연돌일위집계!#REF!</definedName>
    <definedName name="_10B_50">[17]연돌일위집계!#REF!</definedName>
    <definedName name="_10B_51">[17]연돌일위집계!#REF!</definedName>
    <definedName name="_10B_52">[17]연돌일위집계!#REF!</definedName>
    <definedName name="_10B_53">[17]연돌일위집계!#REF!</definedName>
    <definedName name="_10B_54">[17]연돌일위집계!#REF!</definedName>
    <definedName name="_10B_55">[17]연돌일위집계!#REF!</definedName>
    <definedName name="_10B_56">[17]연돌일위집계!#REF!</definedName>
    <definedName name="_10B_57">[17]연돌일위집계!#REF!</definedName>
    <definedName name="_10B_58">[17]연돌일위집계!#REF!</definedName>
    <definedName name="_10B_59">[17]연돌일위집계!#REF!</definedName>
    <definedName name="_10B_6">[17]연돌일위집계!#REF!</definedName>
    <definedName name="_10B_60">[17]연돌일위집계!#REF!</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[17]연돌일위집계!#REF!</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[17]연돌일위집계!#REF!</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[17]연돌일위집계!#REF!</definedName>
    <definedName name="_10B_90">#N/A</definedName>
    <definedName name="_10C_">[17]연돌일위집계!#REF!</definedName>
    <definedName name="_10C_1">[17]연돌일위집계!#REF!</definedName>
    <definedName name="_10C_10">[17]연돌일위집계!#REF!</definedName>
    <definedName name="_10C_11">[17]연돌일위집계!#REF!</definedName>
    <definedName name="_10C_12">[17]연돌일위집계!#REF!</definedName>
    <definedName name="_10C_13">[17]연돌일위집계!#REF!</definedName>
    <definedName name="_10C_14">[17]연돌일위집계!#REF!</definedName>
    <definedName name="_10C_15">[17]연돌일위집계!#REF!</definedName>
    <definedName name="_10C_16">[17]연돌일위집계!#REF!</definedName>
    <definedName name="_10C_17">[17]연돌일위집계!#REF!</definedName>
    <definedName name="_10C_18">[17]연돌일위집계!#REF!</definedName>
    <definedName name="_10C_19">[17]연돌일위집계!#REF!</definedName>
    <definedName name="_10C_2">[17]연돌일위집계!#REF!</definedName>
    <definedName name="_10C_20">[17]연돌일위집계!#REF!</definedName>
    <definedName name="_10C_21">[17]연돌일위집계!#REF!</definedName>
    <definedName name="_10C_22">[17]연돌일위집계!#REF!</definedName>
    <definedName name="_10C_23">[17]연돌일위집계!#REF!</definedName>
    <definedName name="_10C_24">[17]연돌일위집계!#REF!</definedName>
    <definedName name="_10C_25">[17]연돌일위집계!#REF!</definedName>
    <definedName name="_10C_26">[17]연돌일위집계!#REF!</definedName>
    <definedName name="_10C_27">[17]연돌일위집계!#REF!</definedName>
    <definedName name="_10C_28">[17]연돌일위집계!#REF!</definedName>
    <definedName name="_10C_29">[17]연돌일위집계!#REF!</definedName>
    <definedName name="_10C_3">[17]연돌일위집계!#REF!</definedName>
    <definedName name="_10C_30">[17]연돌일위집계!#REF!</definedName>
    <definedName name="_10C_31">[17]연돌일위집계!#REF!</definedName>
    <definedName name="_10C_32">[17]연돌일위집계!#REF!</definedName>
    <definedName name="_10C_33">[17]연돌일위집계!#REF!</definedName>
    <definedName name="_10C_34">[17]연돌일위집계!#REF!</definedName>
    <definedName name="_10C_35">[17]연돌일위집계!#REF!</definedName>
    <definedName name="_10C_36">[17]연돌일위집계!#REF!</definedName>
    <definedName name="_10C_37">[17]연돌일위집계!#REF!</definedName>
    <definedName name="_10C_38">[17]연돌일위집계!#REF!</definedName>
    <definedName name="_10C_39">[17]연돌일위집계!#REF!</definedName>
    <definedName name="_10C_4">[17]연돌일위집계!#REF!</definedName>
    <definedName name="_10C_40">[17]연돌일위집계!#REF!</definedName>
    <definedName name="_10C_41">[17]연돌일위집계!#REF!</definedName>
    <definedName name="_10C_42">[17]연돌일위집계!#REF!</definedName>
    <definedName name="_10C_43">[17]연돌일위집계!#REF!</definedName>
    <definedName name="_10C_44">[17]연돌일위집계!#REF!</definedName>
    <definedName name="_10C_45">[17]연돌일위집계!#REF!</definedName>
    <definedName name="_10C_46">[17]연돌일위집계!#REF!</definedName>
    <definedName name="_10C_47">[17]연돌일위집계!#REF!</definedName>
    <definedName name="_10C_48">[17]연돌일위집계!#REF!</definedName>
    <definedName name="_10C_49">[17]연돌일위집계!#REF!</definedName>
    <definedName name="_10C_5">[17]연돌일위집계!#REF!</definedName>
    <definedName name="_10C_50">[17]연돌일위집계!#REF!</definedName>
    <definedName name="_10C_51">[17]연돌일위집계!#REF!</definedName>
    <definedName name="_10C_52">[17]연돌일위집계!#REF!</definedName>
    <definedName name="_10C_53">[17]연돌일위집계!#REF!</definedName>
    <definedName name="_10C_54">[17]연돌일위집계!#REF!</definedName>
    <definedName name="_10C_55">[17]연돌일위집계!#REF!</definedName>
    <definedName name="_10C_56">[17]연돌일위집계!#REF!</definedName>
    <definedName name="_10C_57">[17]연돌일위집계!#REF!</definedName>
    <definedName name="_10C_58">[17]연돌일위집계!#REF!</definedName>
    <definedName name="_10C_59">[17]연돌일위집계!#REF!</definedName>
    <definedName name="_10C_6">[17]연돌일위집계!#REF!</definedName>
    <definedName name="_10C_60">[17]연돌일위집계!#REF!</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[17]연돌일위집계!#REF!</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[17]연돌일위집계!#REF!</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[17]연돌일위집계!#REF!</definedName>
    <definedName name="_10C_90">#N/A</definedName>
    <definedName name="_112Section_Data_Code_.BtnCancel_Click">[18]!'[Section Data Code].BtnCancel_Click'</definedName>
    <definedName name="_11A_1">[17]연돌일위집계!#REF!</definedName>
    <definedName name="_11A_10">[17]연돌일위집계!#REF!</definedName>
    <definedName name="_11A_11">[17]연돌일위집계!#REF!</definedName>
    <definedName name="_11A_12">[17]연돌일위집계!#REF!</definedName>
    <definedName name="_11A_13">[17]연돌일위집계!#REF!</definedName>
    <definedName name="_11A_14">[17]연돌일위집계!#REF!</definedName>
    <definedName name="_11A_15">[17]연돌일위집계!#REF!</definedName>
    <definedName name="_11A_16">[17]연돌일위집계!#REF!</definedName>
    <definedName name="_11A_17">[17]연돌일위집계!#REF!</definedName>
    <definedName name="_11A_18">[17]연돌일위집계!#REF!</definedName>
    <definedName name="_11A_19">[17]연돌일위집계!#REF!</definedName>
    <definedName name="_11A_2">[17]연돌일위집계!#REF!</definedName>
    <definedName name="_11A_20">[17]연돌일위집계!#REF!</definedName>
    <definedName name="_11A_21">[17]연돌일위집계!#REF!</definedName>
    <definedName name="_11A_22">[17]연돌일위집계!#REF!</definedName>
    <definedName name="_11A_23">[17]연돌일위집계!#REF!</definedName>
    <definedName name="_11A_24">[17]연돌일위집계!#REF!</definedName>
    <definedName name="_11A_25">[17]연돌일위집계!#REF!</definedName>
    <definedName name="_11A_26">[17]연돌일위집계!#REF!</definedName>
    <definedName name="_11A_27">[17]연돌일위집계!#REF!</definedName>
    <definedName name="_11A_28">[17]연돌일위집계!#REF!</definedName>
    <definedName name="_11A_29">[17]연돌일위집계!#REF!</definedName>
    <definedName name="_11A_3">[17]연돌일위집계!#REF!</definedName>
    <definedName name="_11A_30">[17]연돌일위집계!#REF!</definedName>
    <definedName name="_11A_4">[17]연돌일위집계!#REF!</definedName>
    <definedName name="_11A_5">[17]연돌일위집계!#REF!</definedName>
    <definedName name="_11A_6">[17]연돌일위집계!#REF!</definedName>
    <definedName name="_11A_7">[17]연돌일위집계!#REF!</definedName>
    <definedName name="_11A_8">[17]연돌일위집계!#REF!</definedName>
    <definedName name="_11A_9">[17]연돌일위집계!#REF!</definedName>
    <definedName name="_11B_1">[17]연돌일위집계!#REF!</definedName>
    <definedName name="_11B_10">[17]연돌일위집계!#REF!</definedName>
    <definedName name="_11B_11">[17]연돌일위집계!#REF!</definedName>
    <definedName name="_11B_12">[17]연돌일위집계!#REF!</definedName>
    <definedName name="_11B_13">[17]연돌일위집계!#REF!</definedName>
    <definedName name="_11B_14">[17]연돌일위집계!#REF!</definedName>
    <definedName name="_11B_15">[17]연돌일위집계!#REF!</definedName>
    <definedName name="_11B_16">[17]연돌일위집계!#REF!</definedName>
    <definedName name="_11B_17">[17]연돌일위집계!#REF!</definedName>
    <definedName name="_11B_18">[17]연돌일위집계!#REF!</definedName>
    <definedName name="_11B_19">[17]연돌일위집계!#REF!</definedName>
    <definedName name="_11B_2">[17]연돌일위집계!#REF!</definedName>
    <definedName name="_11B_20">[17]연돌일위집계!#REF!</definedName>
    <definedName name="_11B_21">[17]연돌일위집계!#REF!</definedName>
    <definedName name="_11B_22">[17]연돌일위집계!#REF!</definedName>
    <definedName name="_11B_23">[17]연돌일위집계!#REF!</definedName>
    <definedName name="_11B_24">[17]연돌일위집계!#REF!</definedName>
    <definedName name="_11B_25">[17]연돌일위집계!#REF!</definedName>
    <definedName name="_11B_26">[17]연돌일위집계!#REF!</definedName>
    <definedName name="_11B_27">[17]연돌일위집계!#REF!</definedName>
    <definedName name="_11B_28">[17]연돌일위집계!#REF!</definedName>
    <definedName name="_11B_29">[17]연돌일위집계!#REF!</definedName>
    <definedName name="_11B_3">[17]연돌일위집계!#REF!</definedName>
    <definedName name="_11B_30">[17]연돌일위집계!#REF!</definedName>
    <definedName name="_11B_4">[17]연돌일위집계!#REF!</definedName>
    <definedName name="_11B_5">[17]연돌일위집계!#REF!</definedName>
    <definedName name="_11B_6">[17]연돌일위집계!#REF!</definedName>
    <definedName name="_11B_7">[17]연돌일위집계!#REF!</definedName>
    <definedName name="_11B_8">[17]연돌일위집계!#REF!</definedName>
    <definedName name="_11B_9">[17]연돌일위집계!#REF!</definedName>
    <definedName name="_11C_1">[17]연돌일위집계!#REF!</definedName>
    <definedName name="_11C_10">[17]연돌일위집계!#REF!</definedName>
    <definedName name="_11C_11">[17]연돌일위집계!#REF!</definedName>
    <definedName name="_11C_12">[17]연돌일위집계!#REF!</definedName>
    <definedName name="_11C_13">[17]연돌일위집계!#REF!</definedName>
    <definedName name="_11C_14">[17]연돌일위집계!#REF!</definedName>
    <definedName name="_11C_15">[17]연돌일위집계!#REF!</definedName>
    <definedName name="_11C_16">[17]연돌일위집계!#REF!</definedName>
    <definedName name="_11C_17">[17]연돌일위집계!#REF!</definedName>
    <definedName name="_11C_18">[17]연돌일위집계!#REF!</definedName>
    <definedName name="_11C_19">[17]연돌일위집계!#REF!</definedName>
    <definedName name="_11C_2">[17]연돌일위집계!#REF!</definedName>
    <definedName name="_11C_20">[17]연돌일위집계!#REF!</definedName>
    <definedName name="_11C_21">[17]연돌일위집계!#REF!</definedName>
    <definedName name="_11C_22">[17]연돌일위집계!#REF!</definedName>
    <definedName name="_11C_23">[17]연돌일위집계!#REF!</definedName>
    <definedName name="_11C_24">[17]연돌일위집계!#REF!</definedName>
    <definedName name="_11C_25">[17]연돌일위집계!#REF!</definedName>
    <definedName name="_11C_26">[17]연돌일위집계!#REF!</definedName>
    <definedName name="_11C_27">[17]연돌일위집계!#REF!</definedName>
    <definedName name="_11C_28">[17]연돌일위집계!#REF!</definedName>
    <definedName name="_11C_29">[17]연돌일위집계!#REF!</definedName>
    <definedName name="_11C_3">[17]연돌일위집계!#REF!</definedName>
    <definedName name="_11C_30">[17]연돌일위집계!#REF!</definedName>
    <definedName name="_11C_4">[17]연돌일위집계!#REF!</definedName>
    <definedName name="_11C_5">[17]연돌일위집계!#REF!</definedName>
    <definedName name="_11C_6">[17]연돌일위집계!#REF!</definedName>
    <definedName name="_11C_7">[17]연돌일위집계!#REF!</definedName>
    <definedName name="_11C_8">[17]연돌일위집계!#REF!</definedName>
    <definedName name="_11C_9">[17]연돌일위집계!#REF!</definedName>
    <definedName name="_128Section_Data_Code_.BtnOK_Click">[18]!'[Section Data Code].BtnOK_Click'</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3A_1">[17]연돌일위집계!#REF!</definedName>
    <definedName name="_13A_10">[17]연돌일위집계!#REF!</definedName>
    <definedName name="_13A_11">[17]연돌일위집계!#REF!</definedName>
    <definedName name="_13A_12">[17]연돌일위집계!#REF!</definedName>
    <definedName name="_13A_13">[17]연돌일위집계!#REF!</definedName>
    <definedName name="_13A_14">[17]연돌일위집계!#REF!</definedName>
    <definedName name="_13A_15">[17]연돌일위집계!#REF!</definedName>
    <definedName name="_13A_16">[17]연돌일위집계!#REF!</definedName>
    <definedName name="_13A_17">[17]연돌일위집계!#REF!</definedName>
    <definedName name="_13A_18">[17]연돌일위집계!#REF!</definedName>
    <definedName name="_13A_19">[17]연돌일위집계!#REF!</definedName>
    <definedName name="_13A_2">[17]연돌일위집계!#REF!</definedName>
    <definedName name="_13A_20">[17]연돌일위집계!#REF!</definedName>
    <definedName name="_13A_21">[17]연돌일위집계!#REF!</definedName>
    <definedName name="_13A_22">[17]연돌일위집계!#REF!</definedName>
    <definedName name="_13A_23">[17]연돌일위집계!#REF!</definedName>
    <definedName name="_13A_24">[17]연돌일위집계!#REF!</definedName>
    <definedName name="_13A_25">[17]연돌일위집계!#REF!</definedName>
    <definedName name="_13A_26">[17]연돌일위집계!#REF!</definedName>
    <definedName name="_13A_27">[17]연돌일위집계!#REF!</definedName>
    <definedName name="_13A_28">[17]연돌일위집계!#REF!</definedName>
    <definedName name="_13A_29">[17]연돌일위집계!#REF!</definedName>
    <definedName name="_13A_3">[17]연돌일위집계!#REF!</definedName>
    <definedName name="_13A_30">[17]연돌일위집계!#REF!</definedName>
    <definedName name="_13A_31">[17]연돌일위집계!#REF!</definedName>
    <definedName name="_13A_32">[17]연돌일위집계!#REF!</definedName>
    <definedName name="_13A_33">[17]연돌일위집계!#REF!</definedName>
    <definedName name="_13A_34">[17]연돌일위집계!#REF!</definedName>
    <definedName name="_13A_35">[17]연돌일위집계!#REF!</definedName>
    <definedName name="_13A_36">[17]연돌일위집계!#REF!</definedName>
    <definedName name="_13A_37">[17]연돌일위집계!#REF!</definedName>
    <definedName name="_13A_38">[17]연돌일위집계!#REF!</definedName>
    <definedName name="_13A_39">[17]연돌일위집계!#REF!</definedName>
    <definedName name="_13A_4">[17]연돌일위집계!#REF!</definedName>
    <definedName name="_13A_40">[17]연돌일위집계!#REF!</definedName>
    <definedName name="_13A_41">[17]연돌일위집계!#REF!</definedName>
    <definedName name="_13A_42">[17]연돌일위집계!#REF!</definedName>
    <definedName name="_13A_43">[17]연돌일위집계!#REF!</definedName>
    <definedName name="_13A_44">[17]연돌일위집계!#REF!</definedName>
    <definedName name="_13A_45">[17]연돌일위집계!#REF!</definedName>
    <definedName name="_13A_46">[17]연돌일위집계!#REF!</definedName>
    <definedName name="_13A_47">[17]연돌일위집계!#REF!</definedName>
    <definedName name="_13A_48">[17]연돌일위집계!#REF!</definedName>
    <definedName name="_13A_49">[17]연돌일위집계!#REF!</definedName>
    <definedName name="_13A_5">[17]연돌일위집계!#REF!</definedName>
    <definedName name="_13A_50">[17]연돌일위집계!#REF!</definedName>
    <definedName name="_13A_51">[17]연돌일위집계!#REF!</definedName>
    <definedName name="_13A_52">[17]연돌일위집계!#REF!</definedName>
    <definedName name="_13A_53">[17]연돌일위집계!#REF!</definedName>
    <definedName name="_13A_54">[17]연돌일위집계!#REF!</definedName>
    <definedName name="_13A_55">[17]연돌일위집계!#REF!</definedName>
    <definedName name="_13A_56">[17]연돌일위집계!#REF!</definedName>
    <definedName name="_13A_57">[17]연돌일위집계!#REF!</definedName>
    <definedName name="_13A_58">[17]연돌일위집계!#REF!</definedName>
    <definedName name="_13A_59">[17]연돌일위집계!#REF!</definedName>
    <definedName name="_13A_6">[17]연돌일위집계!#REF!</definedName>
    <definedName name="_13A_60">[17]연돌일위집계!#REF!</definedName>
    <definedName name="_13A_7">[17]연돌일위집계!#REF!</definedName>
    <definedName name="_13A_8">[17]연돌일위집계!#REF!</definedName>
    <definedName name="_13A_9">[17]연돌일위집계!#REF!</definedName>
    <definedName name="_13B_1">[17]연돌일위집계!#REF!</definedName>
    <definedName name="_13B_10">[17]연돌일위집계!#REF!</definedName>
    <definedName name="_13B_11">[17]연돌일위집계!#REF!</definedName>
    <definedName name="_13B_12">[17]연돌일위집계!#REF!</definedName>
    <definedName name="_13B_13">[17]연돌일위집계!#REF!</definedName>
    <definedName name="_13B_14">[17]연돌일위집계!#REF!</definedName>
    <definedName name="_13B_15">[17]연돌일위집계!#REF!</definedName>
    <definedName name="_13B_16">[17]연돌일위집계!#REF!</definedName>
    <definedName name="_13B_17">[17]연돌일위집계!#REF!</definedName>
    <definedName name="_13B_18">[17]연돌일위집계!#REF!</definedName>
    <definedName name="_13B_19">[17]연돌일위집계!#REF!</definedName>
    <definedName name="_13B_2">[17]연돌일위집계!#REF!</definedName>
    <definedName name="_13B_20">[17]연돌일위집계!#REF!</definedName>
    <definedName name="_13B_21">[17]연돌일위집계!#REF!</definedName>
    <definedName name="_13B_22">[17]연돌일위집계!#REF!</definedName>
    <definedName name="_13B_23">[17]연돌일위집계!#REF!</definedName>
    <definedName name="_13B_24">[17]연돌일위집계!#REF!</definedName>
    <definedName name="_13B_25">[17]연돌일위집계!#REF!</definedName>
    <definedName name="_13B_26">[17]연돌일위집계!#REF!</definedName>
    <definedName name="_13B_27">[17]연돌일위집계!#REF!</definedName>
    <definedName name="_13B_28">[17]연돌일위집계!#REF!</definedName>
    <definedName name="_13B_29">[17]연돌일위집계!#REF!</definedName>
    <definedName name="_13B_3">[17]연돌일위집계!#REF!</definedName>
    <definedName name="_13B_30">[17]연돌일위집계!#REF!</definedName>
    <definedName name="_13B_31">[17]연돌일위집계!#REF!</definedName>
    <definedName name="_13B_32">[17]연돌일위집계!#REF!</definedName>
    <definedName name="_13B_33">[17]연돌일위집계!#REF!</definedName>
    <definedName name="_13B_34">[17]연돌일위집계!#REF!</definedName>
    <definedName name="_13B_35">[17]연돌일위집계!#REF!</definedName>
    <definedName name="_13B_36">[17]연돌일위집계!#REF!</definedName>
    <definedName name="_13B_37">[17]연돌일위집계!#REF!</definedName>
    <definedName name="_13B_38">[17]연돌일위집계!#REF!</definedName>
    <definedName name="_13B_39">[17]연돌일위집계!#REF!</definedName>
    <definedName name="_13B_4">[17]연돌일위집계!#REF!</definedName>
    <definedName name="_13B_40">[17]연돌일위집계!#REF!</definedName>
    <definedName name="_13B_41">[17]연돌일위집계!#REF!</definedName>
    <definedName name="_13B_42">[17]연돌일위집계!#REF!</definedName>
    <definedName name="_13B_43">[17]연돌일위집계!#REF!</definedName>
    <definedName name="_13B_44">[17]연돌일위집계!#REF!</definedName>
    <definedName name="_13B_45">[17]연돌일위집계!#REF!</definedName>
    <definedName name="_13B_46">[17]연돌일위집계!#REF!</definedName>
    <definedName name="_13B_47">[17]연돌일위집계!#REF!</definedName>
    <definedName name="_13B_48">[17]연돌일위집계!#REF!</definedName>
    <definedName name="_13B_49">[17]연돌일위집계!#REF!</definedName>
    <definedName name="_13B_5">[17]연돌일위집계!#REF!</definedName>
    <definedName name="_13B_50">[17]연돌일위집계!#REF!</definedName>
    <definedName name="_13B_51">[17]연돌일위집계!#REF!</definedName>
    <definedName name="_13B_52">[17]연돌일위집계!#REF!</definedName>
    <definedName name="_13B_53">[17]연돌일위집계!#REF!</definedName>
    <definedName name="_13B_54">[17]연돌일위집계!#REF!</definedName>
    <definedName name="_13B_55">[17]연돌일위집계!#REF!</definedName>
    <definedName name="_13B_56">[17]연돌일위집계!#REF!</definedName>
    <definedName name="_13B_57">[17]연돌일위집계!#REF!</definedName>
    <definedName name="_13B_58">[17]연돌일위집계!#REF!</definedName>
    <definedName name="_13B_59">[17]연돌일위집계!#REF!</definedName>
    <definedName name="_13B_6">[17]연돌일위집계!#REF!</definedName>
    <definedName name="_13B_60">[17]연돌일위집계!#REF!</definedName>
    <definedName name="_13B_7">[17]연돌일위집계!#REF!</definedName>
    <definedName name="_13B_8">[17]연돌일위집계!#REF!</definedName>
    <definedName name="_13B_9">[17]연돌일위집계!#REF!</definedName>
    <definedName name="_13C_1">[17]연돌일위집계!#REF!</definedName>
    <definedName name="_13C_10">[17]연돌일위집계!#REF!</definedName>
    <definedName name="_13C_11">[17]연돌일위집계!#REF!</definedName>
    <definedName name="_13C_12">[17]연돌일위집계!#REF!</definedName>
    <definedName name="_13C_13">[17]연돌일위집계!#REF!</definedName>
    <definedName name="_13C_14">[17]연돌일위집계!#REF!</definedName>
    <definedName name="_13C_15">[17]연돌일위집계!#REF!</definedName>
    <definedName name="_13C_16">[17]연돌일위집계!#REF!</definedName>
    <definedName name="_13C_17">[17]연돌일위집계!#REF!</definedName>
    <definedName name="_13C_18">[17]연돌일위집계!#REF!</definedName>
    <definedName name="_13C_19">[17]연돌일위집계!#REF!</definedName>
    <definedName name="_13C_2">[17]연돌일위집계!#REF!</definedName>
    <definedName name="_13C_20">[17]연돌일위집계!#REF!</definedName>
    <definedName name="_13C_21">[17]연돌일위집계!#REF!</definedName>
    <definedName name="_13C_22">[17]연돌일위집계!#REF!</definedName>
    <definedName name="_13C_23">[17]연돌일위집계!#REF!</definedName>
    <definedName name="_13C_24">[17]연돌일위집계!#REF!</definedName>
    <definedName name="_13C_25">[17]연돌일위집계!#REF!</definedName>
    <definedName name="_13C_26">[17]연돌일위집계!#REF!</definedName>
    <definedName name="_13C_27">[17]연돌일위집계!#REF!</definedName>
    <definedName name="_13C_28">[17]연돌일위집계!#REF!</definedName>
    <definedName name="_13C_29">[17]연돌일위집계!#REF!</definedName>
    <definedName name="_13C_3">[17]연돌일위집계!#REF!</definedName>
    <definedName name="_13C_30">[17]연돌일위집계!#REF!</definedName>
    <definedName name="_13C_31">[17]연돌일위집계!#REF!</definedName>
    <definedName name="_13C_32">[17]연돌일위집계!#REF!</definedName>
    <definedName name="_13C_33">[17]연돌일위집계!#REF!</definedName>
    <definedName name="_13C_34">[17]연돌일위집계!#REF!</definedName>
    <definedName name="_13C_35">[17]연돌일위집계!#REF!</definedName>
    <definedName name="_13C_36">[17]연돌일위집계!#REF!</definedName>
    <definedName name="_13C_37">[17]연돌일위집계!#REF!</definedName>
    <definedName name="_13C_38">[17]연돌일위집계!#REF!</definedName>
    <definedName name="_13C_39">[17]연돌일위집계!#REF!</definedName>
    <definedName name="_13C_4">[17]연돌일위집계!#REF!</definedName>
    <definedName name="_13C_40">[17]연돌일위집계!#REF!</definedName>
    <definedName name="_13C_41">[17]연돌일위집계!#REF!</definedName>
    <definedName name="_13C_42">[17]연돌일위집계!#REF!</definedName>
    <definedName name="_13C_43">[17]연돌일위집계!#REF!</definedName>
    <definedName name="_13C_44">[17]연돌일위집계!#REF!</definedName>
    <definedName name="_13C_45">[17]연돌일위집계!#REF!</definedName>
    <definedName name="_13C_46">[17]연돌일위집계!#REF!</definedName>
    <definedName name="_13C_47">[17]연돌일위집계!#REF!</definedName>
    <definedName name="_13C_48">[17]연돌일위집계!#REF!</definedName>
    <definedName name="_13C_49">[17]연돌일위집계!#REF!</definedName>
    <definedName name="_13C_5">[17]연돌일위집계!#REF!</definedName>
    <definedName name="_13C_50">[17]연돌일위집계!#REF!</definedName>
    <definedName name="_13C_51">[17]연돌일위집계!#REF!</definedName>
    <definedName name="_13C_52">[17]연돌일위집계!#REF!</definedName>
    <definedName name="_13C_53">[17]연돌일위집계!#REF!</definedName>
    <definedName name="_13C_54">[17]연돌일위집계!#REF!</definedName>
    <definedName name="_13C_55">[17]연돌일위집계!#REF!</definedName>
    <definedName name="_13C_56">[17]연돌일위집계!#REF!</definedName>
    <definedName name="_13C_57">[17]연돌일위집계!#REF!</definedName>
    <definedName name="_13C_58">[17]연돌일위집계!#REF!</definedName>
    <definedName name="_13C_59">[17]연돌일위집계!#REF!</definedName>
    <definedName name="_13C_6">[17]연돌일위집계!#REF!</definedName>
    <definedName name="_13C_60">[17]연돌일위집계!#REF!</definedName>
    <definedName name="_13C_7">[17]연돌일위집계!#REF!</definedName>
    <definedName name="_13C_8">[17]연돌일위집계!#REF!</definedName>
    <definedName name="_13C_9">[17]연돌일위집계!#REF!</definedName>
    <definedName name="_144SettleOut_Module_.main">[12]!'[SettleOut Module].main'</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53A1_" hidden="1">{#N/A,#N/A,TRUE,"Basic";#N/A,#N/A,TRUE,"EXT-TABLE";#N/A,#N/A,TRUE,"STEEL";#N/A,#N/A,TRUE,"INT-Table";#N/A,#N/A,TRUE,"STEEL";#N/A,#N/A,TRUE,"Door"}</definedName>
    <definedName name="_157A66_">[0]!_KT66</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61ac4_">[0]!ClearSheet</definedName>
    <definedName name="_162B1_">#REF!</definedName>
    <definedName name="_163s3_">'[19]h-013211-2'!$C$5</definedName>
    <definedName name="_166u¨­OUⓒ￡uueⓒ￢A¨­AIee_YA">[20]수입!#REF!</definedName>
    <definedName name="_169uÞOUðuueßAÞAIee_YA">[21]수입!#REF!</definedName>
    <definedName name="_16A_1">[17]연돌일위집계!#REF!</definedName>
    <definedName name="_16A_2">[17]연돌일위집계!#REF!</definedName>
    <definedName name="_16A_3">[17]연돌일위집계!#REF!</definedName>
    <definedName name="_16A_4">[17]연돌일위집계!#REF!</definedName>
    <definedName name="_16A_5">[17]연돌일위집계!#REF!</definedName>
    <definedName name="_16A_6">[17]연돌일위집계!#REF!</definedName>
    <definedName name="_16A_7">[17]연돌일위집계!#REF!</definedName>
    <definedName name="_16B_1">[17]연돌일위집계!#REF!</definedName>
    <definedName name="_16B_2">[17]연돌일위집계!#REF!</definedName>
    <definedName name="_16B_3">[17]연돌일위집계!#REF!</definedName>
    <definedName name="_16B_4">[17]연돌일위집계!#REF!</definedName>
    <definedName name="_16B_5">[17]연돌일위집계!#REF!</definedName>
    <definedName name="_16B_6">[17]연돌일위집계!#REF!</definedName>
    <definedName name="_16B_7">[17]연돌일위집계!#REF!</definedName>
    <definedName name="_16C_1">[17]연돌일위집계!#REF!</definedName>
    <definedName name="_16C_2">[17]연돌일위집계!#REF!</definedName>
    <definedName name="_16C_3">[17]연돌일위집계!#REF!</definedName>
    <definedName name="_16C_4">[17]연돌일위집계!#REF!</definedName>
    <definedName name="_16C_5">[17]연돌일위집계!#REF!</definedName>
    <definedName name="_16C_6">[17]연돌일위집계!#REF!</definedName>
    <definedName name="_16C_7">[17]연돌일위집계!#REF!</definedName>
    <definedName name="_16Etc_code_.BtnCancel_Click">[18]!'[Etc code].BtnCancel_Click'</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A_1">[17]연돌일위집계!#REF!</definedName>
    <definedName name="_1A_10">[17]연돌일위집계!#REF!</definedName>
    <definedName name="_1A_11">[17]연돌일위집계!#REF!</definedName>
    <definedName name="_1A_12">[17]연돌일위집계!#REF!</definedName>
    <definedName name="_1A_13">[17]연돌일위집계!#REF!</definedName>
    <definedName name="_1A_14">[17]연돌일위집계!#REF!</definedName>
    <definedName name="_1A_15">[17]연돌일위집계!#REF!</definedName>
    <definedName name="_1A_16">[17]연돌일위집계!#REF!</definedName>
    <definedName name="_1A_17">[17]연돌일위집계!#REF!</definedName>
    <definedName name="_1A_18">[17]연돌일위집계!#REF!</definedName>
    <definedName name="_1A_19">[17]연돌일위집계!#REF!</definedName>
    <definedName name="_1A_2">[17]연돌일위집계!#REF!</definedName>
    <definedName name="_1A_20">[17]연돌일위집계!#REF!</definedName>
    <definedName name="_1A_21">[17]연돌일위집계!#REF!</definedName>
    <definedName name="_1A_22">[17]연돌일위집계!#REF!</definedName>
    <definedName name="_1A_23">[17]연돌일위집계!#REF!</definedName>
    <definedName name="_1A_24">[17]연돌일위집계!#REF!</definedName>
    <definedName name="_1A_25">[17]연돌일위집계!#REF!</definedName>
    <definedName name="_1A_26">[17]연돌일위집계!#REF!</definedName>
    <definedName name="_1A_27">[17]연돌일위집계!#REF!</definedName>
    <definedName name="_1A_28">[17]연돌일위집계!#REF!</definedName>
    <definedName name="_1A_29">[17]연돌일위집계!#REF!</definedName>
    <definedName name="_1A_3">[17]연돌일위집계!#REF!</definedName>
    <definedName name="_1A_30">[17]연돌일위집계!#REF!</definedName>
    <definedName name="_1A_4">[17]연돌일위집계!#REF!</definedName>
    <definedName name="_1A_5">[17]연돌일위집계!#REF!</definedName>
    <definedName name="_1A_6">[17]연돌일위집계!#REF!</definedName>
    <definedName name="_1A_7">[17]연돌일위집계!#REF!</definedName>
    <definedName name="_1A_8">[17]연돌일위집계!#REF!</definedName>
    <definedName name="_1A_9">[17]연돌일위집계!#REF!</definedName>
    <definedName name="_1B_1">[17]연돌일위집계!#REF!</definedName>
    <definedName name="_1B_10">[17]연돌일위집계!#REF!</definedName>
    <definedName name="_1B_11">[17]연돌일위집계!#REF!</definedName>
    <definedName name="_1B_12">[17]연돌일위집계!#REF!</definedName>
    <definedName name="_1B_13">[17]연돌일위집계!#REF!</definedName>
    <definedName name="_1B_14">[17]연돌일위집계!#REF!</definedName>
    <definedName name="_1B_15">[17]연돌일위집계!#REF!</definedName>
    <definedName name="_1B_16">[17]연돌일위집계!#REF!</definedName>
    <definedName name="_1B_17">[17]연돌일위집계!#REF!</definedName>
    <definedName name="_1B_18">[17]연돌일위집계!#REF!</definedName>
    <definedName name="_1B_19">[17]연돌일위집계!#REF!</definedName>
    <definedName name="_1B_2">[17]연돌일위집계!#REF!</definedName>
    <definedName name="_1B_20">[17]연돌일위집계!#REF!</definedName>
    <definedName name="_1B_21">[17]연돌일위집계!#REF!</definedName>
    <definedName name="_1B_22">[17]연돌일위집계!#REF!</definedName>
    <definedName name="_1B_23">[17]연돌일위집계!#REF!</definedName>
    <definedName name="_1B_24">[17]연돌일위집계!#REF!</definedName>
    <definedName name="_1B_25">[17]연돌일위집계!#REF!</definedName>
    <definedName name="_1B_26">[17]연돌일위집계!#REF!</definedName>
    <definedName name="_1B_27">[17]연돌일위집계!#REF!</definedName>
    <definedName name="_1B_28">[17]연돌일위집계!#REF!</definedName>
    <definedName name="_1B_29">[17]연돌일위집계!#REF!</definedName>
    <definedName name="_1B_3">[17]연돌일위집계!#REF!</definedName>
    <definedName name="_1B_30">[17]연돌일위집계!#REF!</definedName>
    <definedName name="_1B_4">[17]연돌일위집계!#REF!</definedName>
    <definedName name="_1B_5">[17]연돌일위집계!#REF!</definedName>
    <definedName name="_1B_6">[17]연돌일위집계!#REF!</definedName>
    <definedName name="_1B_7">[17]연돌일위집계!#REF!</definedName>
    <definedName name="_1B_8">[17]연돌일위집계!#REF!</definedName>
    <definedName name="_1B_9">[17]연돌일위집계!#REF!</definedName>
    <definedName name="_1C_1">[17]연돌일위집계!#REF!</definedName>
    <definedName name="_1C_10">[17]연돌일위집계!#REF!</definedName>
    <definedName name="_1C_11">[17]연돌일위집계!#REF!</definedName>
    <definedName name="_1C_12">[17]연돌일위집계!#REF!</definedName>
    <definedName name="_1C_13">[17]연돌일위집계!#REF!</definedName>
    <definedName name="_1C_14">[17]연돌일위집계!#REF!</definedName>
    <definedName name="_1C_15">[17]연돌일위집계!#REF!</definedName>
    <definedName name="_1C_16">[17]연돌일위집계!#REF!</definedName>
    <definedName name="_1C_17">[17]연돌일위집계!#REF!</definedName>
    <definedName name="_1C_18">[17]연돌일위집계!#REF!</definedName>
    <definedName name="_1C_19">[17]연돌일위집계!#REF!</definedName>
    <definedName name="_1C_2">[17]연돌일위집계!#REF!</definedName>
    <definedName name="_1C_20">[17]연돌일위집계!#REF!</definedName>
    <definedName name="_1C_21">[17]연돌일위집계!#REF!</definedName>
    <definedName name="_1C_22">[17]연돌일위집계!#REF!</definedName>
    <definedName name="_1C_23">[17]연돌일위집계!#REF!</definedName>
    <definedName name="_1C_24">[17]연돌일위집계!#REF!</definedName>
    <definedName name="_1C_25">[17]연돌일위집계!#REF!</definedName>
    <definedName name="_1C_26">[17]연돌일위집계!#REF!</definedName>
    <definedName name="_1C_27">[17]연돌일위집계!#REF!</definedName>
    <definedName name="_1C_28">[17]연돌일위집계!#REF!</definedName>
    <definedName name="_1C_29">[17]연돌일위집계!#REF!</definedName>
    <definedName name="_1C_3">[17]연돌일위집계!#REF!</definedName>
    <definedName name="_1C_30">[17]연돌일위집계!#REF!</definedName>
    <definedName name="_1C_4">[17]연돌일위집계!#REF!</definedName>
    <definedName name="_1C_5">[17]연돌일위집계!#REF!</definedName>
    <definedName name="_1C_6">[17]연돌일위집계!#REF!</definedName>
    <definedName name="_1C_7">[17]연돌일위집계!#REF!</definedName>
    <definedName name="_1C_8">[17]연돌일위집계!#REF!</definedName>
    <definedName name="_1C_9">[17]연돌일위집계!#REF!</definedName>
    <definedName name="_1u¨­OUⓒ￡uueⓒ￢A¨­AIee_YA">[22]수입!#REF!</definedName>
    <definedName name="_2A_1">[17]연돌일위집계!#REF!</definedName>
    <definedName name="_2A_10">[17]연돌일위집계!#REF!</definedName>
    <definedName name="_2A_11">[17]연돌일위집계!#REF!</definedName>
    <definedName name="_2A_12">[17]연돌일위집계!#REF!</definedName>
    <definedName name="_2A_13">[17]연돌일위집계!#REF!</definedName>
    <definedName name="_2A_14">[17]연돌일위집계!#REF!</definedName>
    <definedName name="_2A_15">[17]연돌일위집계!#REF!</definedName>
    <definedName name="_2A_16">[17]연돌일위집계!#REF!</definedName>
    <definedName name="_2A_17">[17]연돌일위집계!#REF!</definedName>
    <definedName name="_2A_18">[17]연돌일위집계!#REF!</definedName>
    <definedName name="_2A_19">[17]연돌일위집계!#REF!</definedName>
    <definedName name="_2A_2">[17]연돌일위집계!#REF!</definedName>
    <definedName name="_2A_20">[17]연돌일위집계!#REF!</definedName>
    <definedName name="_2A_21">[17]연돌일위집계!#REF!</definedName>
    <definedName name="_2A_22">[17]연돌일위집계!#REF!</definedName>
    <definedName name="_2A_23">[17]연돌일위집계!#REF!</definedName>
    <definedName name="_2A_24">[17]연돌일위집계!#REF!</definedName>
    <definedName name="_2A_25">[17]연돌일위집계!#REF!</definedName>
    <definedName name="_2A_26">[17]연돌일위집계!#REF!</definedName>
    <definedName name="_2A_27">[17]연돌일위집계!#REF!</definedName>
    <definedName name="_2A_28">[17]연돌일위집계!#REF!</definedName>
    <definedName name="_2A_29">[17]연돌일위집계!#REF!</definedName>
    <definedName name="_2A_3">[17]연돌일위집계!#REF!</definedName>
    <definedName name="_2A_30">[17]연돌일위집계!#REF!</definedName>
    <definedName name="_2A_4">[17]연돌일위집계!#REF!</definedName>
    <definedName name="_2A_5">[17]연돌일위집계!#REF!</definedName>
    <definedName name="_2A_6">[17]연돌일위집계!#REF!</definedName>
    <definedName name="_2A_7">[17]연돌일위집계!#REF!</definedName>
    <definedName name="_2A_8">[17]연돌일위집계!#REF!</definedName>
    <definedName name="_2A_9">[17]연돌일위집계!#REF!</definedName>
    <definedName name="_2B_1">[17]연돌일위집계!#REF!</definedName>
    <definedName name="_2B_10">[17]연돌일위집계!#REF!</definedName>
    <definedName name="_2B_11">[17]연돌일위집계!#REF!</definedName>
    <definedName name="_2B_12">[17]연돌일위집계!#REF!</definedName>
    <definedName name="_2B_13">[17]연돌일위집계!#REF!</definedName>
    <definedName name="_2B_14">[17]연돌일위집계!#REF!</definedName>
    <definedName name="_2B_15">[17]연돌일위집계!#REF!</definedName>
    <definedName name="_2B_16">[17]연돌일위집계!#REF!</definedName>
    <definedName name="_2B_17">[17]연돌일위집계!#REF!</definedName>
    <definedName name="_2B_18">[17]연돌일위집계!#REF!</definedName>
    <definedName name="_2B_19">[17]연돌일위집계!#REF!</definedName>
    <definedName name="_2B_2">[17]연돌일위집계!#REF!</definedName>
    <definedName name="_2B_20">[17]연돌일위집계!#REF!</definedName>
    <definedName name="_2B_21">[17]연돌일위집계!#REF!</definedName>
    <definedName name="_2B_22">[17]연돌일위집계!#REF!</definedName>
    <definedName name="_2B_23">[17]연돌일위집계!#REF!</definedName>
    <definedName name="_2B_24">[17]연돌일위집계!#REF!</definedName>
    <definedName name="_2B_25">[17]연돌일위집계!#REF!</definedName>
    <definedName name="_2B_26">[17]연돌일위집계!#REF!</definedName>
    <definedName name="_2B_27">[17]연돌일위집계!#REF!</definedName>
    <definedName name="_2B_28">[17]연돌일위집계!#REF!</definedName>
    <definedName name="_2B_29">[17]연돌일위집계!#REF!</definedName>
    <definedName name="_2B_3">[17]연돌일위집계!#REF!</definedName>
    <definedName name="_2B_30">[17]연돌일위집계!#REF!</definedName>
    <definedName name="_2B_4">[17]연돌일위집계!#REF!</definedName>
    <definedName name="_2B_5">[17]연돌일위집계!#REF!</definedName>
    <definedName name="_2B_6">[17]연돌일위집계!#REF!</definedName>
    <definedName name="_2B_7">[17]연돌일위집계!#REF!</definedName>
    <definedName name="_2B_8">[17]연돌일위집계!#REF!</definedName>
    <definedName name="_2B_9">[17]연돌일위집계!#REF!</definedName>
    <definedName name="_2C_1">[17]연돌일위집계!#REF!</definedName>
    <definedName name="_2C_10">[17]연돌일위집계!#REF!</definedName>
    <definedName name="_2C_11">[17]연돌일위집계!#REF!</definedName>
    <definedName name="_2C_12">[17]연돌일위집계!#REF!</definedName>
    <definedName name="_2C_13">[17]연돌일위집계!#REF!</definedName>
    <definedName name="_2C_14">[17]연돌일위집계!#REF!</definedName>
    <definedName name="_2C_15">[17]연돌일위집계!#REF!</definedName>
    <definedName name="_2C_16">[17]연돌일위집계!#REF!</definedName>
    <definedName name="_2C_17">[17]연돌일위집계!#REF!</definedName>
    <definedName name="_2C_18">[17]연돌일위집계!#REF!</definedName>
    <definedName name="_2C_19">[17]연돌일위집계!#REF!</definedName>
    <definedName name="_2C_2">[17]연돌일위집계!#REF!</definedName>
    <definedName name="_2C_20">[17]연돌일위집계!#REF!</definedName>
    <definedName name="_2C_21">[17]연돌일위집계!#REF!</definedName>
    <definedName name="_2C_22">[17]연돌일위집계!#REF!</definedName>
    <definedName name="_2C_23">[17]연돌일위집계!#REF!</definedName>
    <definedName name="_2C_24">[17]연돌일위집계!#REF!</definedName>
    <definedName name="_2C_25">[17]연돌일위집계!#REF!</definedName>
    <definedName name="_2C_26">[17]연돌일위집계!#REF!</definedName>
    <definedName name="_2C_27">[17]연돌일위집계!#REF!</definedName>
    <definedName name="_2C_28">[17]연돌일위집계!#REF!</definedName>
    <definedName name="_2C_29">[17]연돌일위집계!#REF!</definedName>
    <definedName name="_2C_3">[17]연돌일위집계!#REF!</definedName>
    <definedName name="_2C_30">[17]연돌일위집계!#REF!</definedName>
    <definedName name="_2C_4">[17]연돌일위집계!#REF!</definedName>
    <definedName name="_2C_5">[17]연돌일위집계!#REF!</definedName>
    <definedName name="_2C_6">[17]연돌일위집계!#REF!</definedName>
    <definedName name="_2C_7">[17]연돌일위집계!#REF!</definedName>
    <definedName name="_2C_8">[17]연돌일위집계!#REF!</definedName>
    <definedName name="_2C_9">[17]연돌일위집계!#REF!</definedName>
    <definedName name="_2uÞOUðuueßAÞAIee_YA">[23]수입!#REF!</definedName>
    <definedName name="_32Etc_code_.BtnOK_Click">[18]!'[Etc code].BtnOK_Click'</definedName>
    <definedName name="_3A_1">[17]연돌일위집계!#REF!</definedName>
    <definedName name="_3A_10">[17]연돌일위집계!#REF!</definedName>
    <definedName name="_3A_11">[17]연돌일위집계!#REF!</definedName>
    <definedName name="_3A_12">[17]연돌일위집계!#REF!</definedName>
    <definedName name="_3A_13">[17]연돌일위집계!#REF!</definedName>
    <definedName name="_3A_14">[17]연돌일위집계!#REF!</definedName>
    <definedName name="_3A_15">[17]연돌일위집계!#REF!</definedName>
    <definedName name="_3A_16">[17]연돌일위집계!#REF!</definedName>
    <definedName name="_3A_17">[17]연돌일위집계!#REF!</definedName>
    <definedName name="_3A_18">[17]연돌일위집계!#REF!</definedName>
    <definedName name="_3A_19">[17]연돌일위집계!#REF!</definedName>
    <definedName name="_3A_2">[17]연돌일위집계!#REF!</definedName>
    <definedName name="_3A_20">[17]연돌일위집계!#REF!</definedName>
    <definedName name="_3A_21">[17]연돌일위집계!#REF!</definedName>
    <definedName name="_3A_22">[17]연돌일위집계!#REF!</definedName>
    <definedName name="_3A_23">[17]연돌일위집계!#REF!</definedName>
    <definedName name="_3A_24">[17]연돌일위집계!#REF!</definedName>
    <definedName name="_3A_25">[17]연돌일위집계!#REF!</definedName>
    <definedName name="_3A_26">[17]연돌일위집계!#REF!</definedName>
    <definedName name="_3A_27">[17]연돌일위집계!#REF!</definedName>
    <definedName name="_3A_28">[17]연돌일위집계!#REF!</definedName>
    <definedName name="_3A_29">[17]연돌일위집계!#REF!</definedName>
    <definedName name="_3A_3">[17]연돌일위집계!#REF!</definedName>
    <definedName name="_3A_30">[17]연돌일위집계!#REF!</definedName>
    <definedName name="_3A_4">[17]연돌일위집계!#REF!</definedName>
    <definedName name="_3A_5">[17]연돌일위집계!#REF!</definedName>
    <definedName name="_3A_6">[17]연돌일위집계!#REF!</definedName>
    <definedName name="_3A_7">[17]연돌일위집계!#REF!</definedName>
    <definedName name="_3A_8">[17]연돌일위집계!#REF!</definedName>
    <definedName name="_3A_9">[17]연돌일위집계!#REF!</definedName>
    <definedName name="_3B_1">[17]연돌일위집계!#REF!</definedName>
    <definedName name="_3B_10">[17]연돌일위집계!#REF!</definedName>
    <definedName name="_3B_11">[17]연돌일위집계!#REF!</definedName>
    <definedName name="_3B_12">[17]연돌일위집계!#REF!</definedName>
    <definedName name="_3B_13">[17]연돌일위집계!#REF!</definedName>
    <definedName name="_3B_14">[17]연돌일위집계!#REF!</definedName>
    <definedName name="_3B_15">[17]연돌일위집계!#REF!</definedName>
    <definedName name="_3B_16">[17]연돌일위집계!#REF!</definedName>
    <definedName name="_3B_17">[17]연돌일위집계!#REF!</definedName>
    <definedName name="_3B_18">[17]연돌일위집계!#REF!</definedName>
    <definedName name="_3B_19">[17]연돌일위집계!#REF!</definedName>
    <definedName name="_3B_2">[17]연돌일위집계!#REF!</definedName>
    <definedName name="_3B_20">[17]연돌일위집계!#REF!</definedName>
    <definedName name="_3B_21">[17]연돌일위집계!#REF!</definedName>
    <definedName name="_3B_22">[17]연돌일위집계!#REF!</definedName>
    <definedName name="_3B_23">[17]연돌일위집계!#REF!</definedName>
    <definedName name="_3B_24">[17]연돌일위집계!#REF!</definedName>
    <definedName name="_3B_25">[17]연돌일위집계!#REF!</definedName>
    <definedName name="_3B_26">[17]연돌일위집계!#REF!</definedName>
    <definedName name="_3B_27">[17]연돌일위집계!#REF!</definedName>
    <definedName name="_3B_28">[17]연돌일위집계!#REF!</definedName>
    <definedName name="_3B_29">[17]연돌일위집계!#REF!</definedName>
    <definedName name="_3B_3">[17]연돌일위집계!#REF!</definedName>
    <definedName name="_3B_30">[17]연돌일위집계!#REF!</definedName>
    <definedName name="_3B_4">[17]연돌일위집계!#REF!</definedName>
    <definedName name="_3B_5">[17]연돌일위집계!#REF!</definedName>
    <definedName name="_3B_6">[17]연돌일위집계!#REF!</definedName>
    <definedName name="_3B_7">[17]연돌일위집계!#REF!</definedName>
    <definedName name="_3B_8">[17]연돌일위집계!#REF!</definedName>
    <definedName name="_3B_9">[17]연돌일위집계!#REF!</definedName>
    <definedName name="_3C_1">[17]연돌일위집계!#REF!</definedName>
    <definedName name="_3C_10">[17]연돌일위집계!#REF!</definedName>
    <definedName name="_3C_11">[17]연돌일위집계!#REF!</definedName>
    <definedName name="_3C_12">[17]연돌일위집계!#REF!</definedName>
    <definedName name="_3C_13">[17]연돌일위집계!#REF!</definedName>
    <definedName name="_3C_14">[17]연돌일위집계!#REF!</definedName>
    <definedName name="_3C_15">[17]연돌일위집계!#REF!</definedName>
    <definedName name="_3C_16">[17]연돌일위집계!#REF!</definedName>
    <definedName name="_3C_17">[17]연돌일위집계!#REF!</definedName>
    <definedName name="_3C_18">[17]연돌일위집계!#REF!</definedName>
    <definedName name="_3C_19">[17]연돌일위집계!#REF!</definedName>
    <definedName name="_3C_2">[17]연돌일위집계!#REF!</definedName>
    <definedName name="_3C_20">[17]연돌일위집계!#REF!</definedName>
    <definedName name="_3C_21">[17]연돌일위집계!#REF!</definedName>
    <definedName name="_3C_22">[17]연돌일위집계!#REF!</definedName>
    <definedName name="_3C_23">[17]연돌일위집계!#REF!</definedName>
    <definedName name="_3C_24">[17]연돌일위집계!#REF!</definedName>
    <definedName name="_3C_25">[17]연돌일위집계!#REF!</definedName>
    <definedName name="_3C_26">[17]연돌일위집계!#REF!</definedName>
    <definedName name="_3C_27">[17]연돌일위집계!#REF!</definedName>
    <definedName name="_3C_28">[17]연돌일위집계!#REF!</definedName>
    <definedName name="_3C_29">[17]연돌일위집계!#REF!</definedName>
    <definedName name="_3C_3">[17]연돌일위집계!#REF!</definedName>
    <definedName name="_3C_30">[17]연돌일위집계!#REF!</definedName>
    <definedName name="_3C_4">[17]연돌일위집계!#REF!</definedName>
    <definedName name="_3C_5">[17]연돌일위집계!#REF!</definedName>
    <definedName name="_3C_6">[17]연돌일위집계!#REF!</definedName>
    <definedName name="_3C_7">[17]연돌일위집계!#REF!</definedName>
    <definedName name="_3C_8">[17]연돌일위집계!#REF!</definedName>
    <definedName name="_3C_9">[17]연돌일위집계!#REF!</definedName>
    <definedName name="_48Part_Code_.BtnCancel_Click">[18]!'[Part Code].BtnCancel_Click'</definedName>
    <definedName name="_4A_1">[17]연돌일위집계!#REF!</definedName>
    <definedName name="_4A_10">[17]연돌일위집계!#REF!</definedName>
    <definedName name="_4A_11">[17]연돌일위집계!#REF!</definedName>
    <definedName name="_4A_12">[17]연돌일위집계!#REF!</definedName>
    <definedName name="_4A_13">[17]연돌일위집계!#REF!</definedName>
    <definedName name="_4A_14">[17]연돌일위집계!#REF!</definedName>
    <definedName name="_4A_15">[17]연돌일위집계!#REF!</definedName>
    <definedName name="_4A_16">[17]연돌일위집계!#REF!</definedName>
    <definedName name="_4A_17">[17]연돌일위집계!#REF!</definedName>
    <definedName name="_4A_18">[17]연돌일위집계!#REF!</definedName>
    <definedName name="_4A_19">[17]연돌일위집계!#REF!</definedName>
    <definedName name="_4A_2">[17]연돌일위집계!#REF!</definedName>
    <definedName name="_4A_20">[17]연돌일위집계!#REF!</definedName>
    <definedName name="_4A_21">[17]연돌일위집계!#REF!</definedName>
    <definedName name="_4A_22">[17]연돌일위집계!#REF!</definedName>
    <definedName name="_4A_23">[17]연돌일위집계!#REF!</definedName>
    <definedName name="_4A_24">[17]연돌일위집계!#REF!</definedName>
    <definedName name="_4A_25">[17]연돌일위집계!#REF!</definedName>
    <definedName name="_4A_26">[17]연돌일위집계!#REF!</definedName>
    <definedName name="_4A_27">[17]연돌일위집계!#REF!</definedName>
    <definedName name="_4A_28">[17]연돌일위집계!#REF!</definedName>
    <definedName name="_4A_29">[17]연돌일위집계!#REF!</definedName>
    <definedName name="_4A_3">[17]연돌일위집계!#REF!</definedName>
    <definedName name="_4A_30">[17]연돌일위집계!#REF!</definedName>
    <definedName name="_4A_4">[17]연돌일위집계!#REF!</definedName>
    <definedName name="_4A_5">[17]연돌일위집계!#REF!</definedName>
    <definedName name="_4A_6">[17]연돌일위집계!#REF!</definedName>
    <definedName name="_4A_7">[17]연돌일위집계!#REF!</definedName>
    <definedName name="_4A_8">[17]연돌일위집계!#REF!</definedName>
    <definedName name="_4A_9">[17]연돌일위집계!#REF!</definedName>
    <definedName name="_4A1_" hidden="1">{#N/A,#N/A,TRUE,"Basic";#N/A,#N/A,TRUE,"EXT-TABLE";#N/A,#N/A,TRUE,"STEEL";#N/A,#N/A,TRUE,"INT-Table";#N/A,#N/A,TRUE,"STEEL";#N/A,#N/A,TRUE,"Door"}</definedName>
    <definedName name="_4B_1">[17]연돌일위집계!#REF!</definedName>
    <definedName name="_4B_10">[17]연돌일위집계!#REF!</definedName>
    <definedName name="_4B_11">[17]연돌일위집계!#REF!</definedName>
    <definedName name="_4B_12">[17]연돌일위집계!#REF!</definedName>
    <definedName name="_4B_13">[17]연돌일위집계!#REF!</definedName>
    <definedName name="_4B_14">[17]연돌일위집계!#REF!</definedName>
    <definedName name="_4B_15">[17]연돌일위집계!#REF!</definedName>
    <definedName name="_4B_16">[17]연돌일위집계!#REF!</definedName>
    <definedName name="_4B_17">[17]연돌일위집계!#REF!</definedName>
    <definedName name="_4B_18">[17]연돌일위집계!#REF!</definedName>
    <definedName name="_4B_19">[17]연돌일위집계!#REF!</definedName>
    <definedName name="_4B_2">[17]연돌일위집계!#REF!</definedName>
    <definedName name="_4B_20">[17]연돌일위집계!#REF!</definedName>
    <definedName name="_4B_21">[17]연돌일위집계!#REF!</definedName>
    <definedName name="_4B_22">[17]연돌일위집계!#REF!</definedName>
    <definedName name="_4B_23">[17]연돌일위집계!#REF!</definedName>
    <definedName name="_4B_24">[17]연돌일위집계!#REF!</definedName>
    <definedName name="_4B_25">[17]연돌일위집계!#REF!</definedName>
    <definedName name="_4B_26">[17]연돌일위집계!#REF!</definedName>
    <definedName name="_4B_27">[17]연돌일위집계!#REF!</definedName>
    <definedName name="_4B_28">[17]연돌일위집계!#REF!</definedName>
    <definedName name="_4B_29">[17]연돌일위집계!#REF!</definedName>
    <definedName name="_4B_3">[17]연돌일위집계!#REF!</definedName>
    <definedName name="_4B_30">[17]연돌일위집계!#REF!</definedName>
    <definedName name="_4B_4">[17]연돌일위집계!#REF!</definedName>
    <definedName name="_4B_5">[17]연돌일위집계!#REF!</definedName>
    <definedName name="_4B_6">[17]연돌일위집계!#REF!</definedName>
    <definedName name="_4B_7">[17]연돌일위집계!#REF!</definedName>
    <definedName name="_4B_8">[17]연돌일위집계!#REF!</definedName>
    <definedName name="_4B_9">[17]연돌일위집계!#REF!</definedName>
    <definedName name="_4C_1">[17]연돌일위집계!#REF!</definedName>
    <definedName name="_4C_10">[17]연돌일위집계!#REF!</definedName>
    <definedName name="_4C_11">[17]연돌일위집계!#REF!</definedName>
    <definedName name="_4C_12">[17]연돌일위집계!#REF!</definedName>
    <definedName name="_4C_13">[17]연돌일위집계!#REF!</definedName>
    <definedName name="_4C_14">[17]연돌일위집계!#REF!</definedName>
    <definedName name="_4C_15">[17]연돌일위집계!#REF!</definedName>
    <definedName name="_4C_16">[17]연돌일위집계!#REF!</definedName>
    <definedName name="_4C_17">[17]연돌일위집계!#REF!</definedName>
    <definedName name="_4C_18">[17]연돌일위집계!#REF!</definedName>
    <definedName name="_4C_19">[17]연돌일위집계!#REF!</definedName>
    <definedName name="_4C_2">[17]연돌일위집계!#REF!</definedName>
    <definedName name="_4C_20">[17]연돌일위집계!#REF!</definedName>
    <definedName name="_4C_21">[17]연돌일위집계!#REF!</definedName>
    <definedName name="_4C_22">[17]연돌일위집계!#REF!</definedName>
    <definedName name="_4C_23">[17]연돌일위집계!#REF!</definedName>
    <definedName name="_4C_24">[17]연돌일위집계!#REF!</definedName>
    <definedName name="_4C_25">[17]연돌일위집계!#REF!</definedName>
    <definedName name="_4C_26">[17]연돌일위집계!#REF!</definedName>
    <definedName name="_4C_27">[17]연돌일위집계!#REF!</definedName>
    <definedName name="_4C_28">[17]연돌일위집계!#REF!</definedName>
    <definedName name="_4C_29">[17]연돌일위집계!#REF!</definedName>
    <definedName name="_4C_3">[17]연돌일위집계!#REF!</definedName>
    <definedName name="_4C_30">[17]연돌일위집계!#REF!</definedName>
    <definedName name="_4C_4">[17]연돌일위집계!#REF!</definedName>
    <definedName name="_4C_5">[17]연돌일위집계!#REF!</definedName>
    <definedName name="_4C_6">[17]연돌일위집계!#REF!</definedName>
    <definedName name="_4C_7">[17]연돌일위집계!#REF!</definedName>
    <definedName name="_4C_8">[17]연돌일위집계!#REF!</definedName>
    <definedName name="_4C_9">[17]연돌일위집계!#REF!</definedName>
    <definedName name="_5A_1">[17]연돌일위집계!#REF!</definedName>
    <definedName name="_5A_10">[17]연돌일위집계!#REF!</definedName>
    <definedName name="_5A_11">[17]연돌일위집계!#REF!</definedName>
    <definedName name="_5A_12">[17]연돌일위집계!#REF!</definedName>
    <definedName name="_5A_13">[17]연돌일위집계!#REF!</definedName>
    <definedName name="_5A_14">[17]연돌일위집계!#REF!</definedName>
    <definedName name="_5A_15">[17]연돌일위집계!#REF!</definedName>
    <definedName name="_5A_16">[17]연돌일위집계!#REF!</definedName>
    <definedName name="_5A_17">[17]연돌일위집계!#REF!</definedName>
    <definedName name="_5A_18">[17]연돌일위집계!#REF!</definedName>
    <definedName name="_5A_19">[17]연돌일위집계!#REF!</definedName>
    <definedName name="_5A_2">[17]연돌일위집계!#REF!</definedName>
    <definedName name="_5A_20">[17]연돌일위집계!#REF!</definedName>
    <definedName name="_5A_21">[17]연돌일위집계!#REF!</definedName>
    <definedName name="_5A_22">[17]연돌일위집계!#REF!</definedName>
    <definedName name="_5A_23">[17]연돌일위집계!#REF!</definedName>
    <definedName name="_5A_24">[17]연돌일위집계!#REF!</definedName>
    <definedName name="_5A_25">[17]연돌일위집계!#REF!</definedName>
    <definedName name="_5A_26">[17]연돌일위집계!#REF!</definedName>
    <definedName name="_5A_27">[17]연돌일위집계!#REF!</definedName>
    <definedName name="_5A_28">[17]연돌일위집계!#REF!</definedName>
    <definedName name="_5A_29">[17]연돌일위집계!#REF!</definedName>
    <definedName name="_5A_3">[17]연돌일위집계!#REF!</definedName>
    <definedName name="_5A_30">[17]연돌일위집계!#REF!</definedName>
    <definedName name="_5A_4">[17]연돌일위집계!#REF!</definedName>
    <definedName name="_5A_5">[17]연돌일위집계!#REF!</definedName>
    <definedName name="_5A_6">[17]연돌일위집계!#REF!</definedName>
    <definedName name="_5A_7">[17]연돌일위집계!#REF!</definedName>
    <definedName name="_5A_8">[17]연돌일위집계!#REF!</definedName>
    <definedName name="_5A_9">[17]연돌일위집계!#REF!</definedName>
    <definedName name="_5B_1">[17]연돌일위집계!#REF!</definedName>
    <definedName name="_5B_10">[17]연돌일위집계!#REF!</definedName>
    <definedName name="_5B_11">[17]연돌일위집계!#REF!</definedName>
    <definedName name="_5B_12">[17]연돌일위집계!#REF!</definedName>
    <definedName name="_5B_13">[17]연돌일위집계!#REF!</definedName>
    <definedName name="_5B_14">[17]연돌일위집계!#REF!</definedName>
    <definedName name="_5B_15">[17]연돌일위집계!#REF!</definedName>
    <definedName name="_5B_16">[17]연돌일위집계!#REF!</definedName>
    <definedName name="_5B_17">[17]연돌일위집계!#REF!</definedName>
    <definedName name="_5B_18">[17]연돌일위집계!#REF!</definedName>
    <definedName name="_5B_19">[17]연돌일위집계!#REF!</definedName>
    <definedName name="_5B_2">[17]연돌일위집계!#REF!</definedName>
    <definedName name="_5B_20">[17]연돌일위집계!#REF!</definedName>
    <definedName name="_5B_21">[17]연돌일위집계!#REF!</definedName>
    <definedName name="_5B_22">[17]연돌일위집계!#REF!</definedName>
    <definedName name="_5B_23">[17]연돌일위집계!#REF!</definedName>
    <definedName name="_5B_24">[17]연돌일위집계!#REF!</definedName>
    <definedName name="_5B_25">[17]연돌일위집계!#REF!</definedName>
    <definedName name="_5B_26">[17]연돌일위집계!#REF!</definedName>
    <definedName name="_5B_27">[17]연돌일위집계!#REF!</definedName>
    <definedName name="_5B_28">[17]연돌일위집계!#REF!</definedName>
    <definedName name="_5B_29">[17]연돌일위집계!#REF!</definedName>
    <definedName name="_5B_3">[17]연돌일위집계!#REF!</definedName>
    <definedName name="_5B_30">[17]연돌일위집계!#REF!</definedName>
    <definedName name="_5B_4">[17]연돌일위집계!#REF!</definedName>
    <definedName name="_5B_5">[17]연돌일위집계!#REF!</definedName>
    <definedName name="_5B_6">[17]연돌일위집계!#REF!</definedName>
    <definedName name="_5B_7">[17]연돌일위집계!#REF!</definedName>
    <definedName name="_5B_8">[17]연돌일위집계!#REF!</definedName>
    <definedName name="_5B_9">[17]연돌일위집계!#REF!</definedName>
    <definedName name="_5B1_">#REF!</definedName>
    <definedName name="_5C_1">[17]연돌일위집계!#REF!</definedName>
    <definedName name="_5C_10">[17]연돌일위집계!#REF!</definedName>
    <definedName name="_5C_11">[17]연돌일위집계!#REF!</definedName>
    <definedName name="_5C_12">[17]연돌일위집계!#REF!</definedName>
    <definedName name="_5C_13">[17]연돌일위집계!#REF!</definedName>
    <definedName name="_5C_14">[17]연돌일위집계!#REF!</definedName>
    <definedName name="_5C_15">[17]연돌일위집계!#REF!</definedName>
    <definedName name="_5C_16">[17]연돌일위집계!#REF!</definedName>
    <definedName name="_5C_17">[17]연돌일위집계!#REF!</definedName>
    <definedName name="_5C_18">[17]연돌일위집계!#REF!</definedName>
    <definedName name="_5C_19">[17]연돌일위집계!#REF!</definedName>
    <definedName name="_5C_2">[17]연돌일위집계!#REF!</definedName>
    <definedName name="_5C_20">[17]연돌일위집계!#REF!</definedName>
    <definedName name="_5C_21">[17]연돌일위집계!#REF!</definedName>
    <definedName name="_5C_22">[17]연돌일위집계!#REF!</definedName>
    <definedName name="_5C_23">[17]연돌일위집계!#REF!</definedName>
    <definedName name="_5C_24">[17]연돌일위집계!#REF!</definedName>
    <definedName name="_5C_25">[17]연돌일위집계!#REF!</definedName>
    <definedName name="_5C_26">[17]연돌일위집계!#REF!</definedName>
    <definedName name="_5C_27">[17]연돌일위집계!#REF!</definedName>
    <definedName name="_5C_28">[17]연돌일위집계!#REF!</definedName>
    <definedName name="_5C_29">[17]연돌일위집계!#REF!</definedName>
    <definedName name="_5C_3">[17]연돌일위집계!#REF!</definedName>
    <definedName name="_5C_30">[17]연돌일위집계!#REF!</definedName>
    <definedName name="_5C_4">[17]연돌일위집계!#REF!</definedName>
    <definedName name="_5C_5">[17]연돌일위집계!#REF!</definedName>
    <definedName name="_5C_6">[17]연돌일위집계!#REF!</definedName>
    <definedName name="_5C_7">[17]연돌일위집계!#REF!</definedName>
    <definedName name="_5C_8">[17]연돌일위집계!#REF!</definedName>
    <definedName name="_5C_9">[17]연돌일위집계!#REF!</definedName>
    <definedName name="_64Part_Code_.BtnOK_Click">[18]!'[Part Code].BtnOK_Click'</definedName>
    <definedName name="_6A_1">[17]연돌일위집계!#REF!</definedName>
    <definedName name="_6A_10">[17]연돌일위집계!#REF!</definedName>
    <definedName name="_6A_11">[17]연돌일위집계!#REF!</definedName>
    <definedName name="_6A_12">[17]연돌일위집계!#REF!</definedName>
    <definedName name="_6A_13">[17]연돌일위집계!#REF!</definedName>
    <definedName name="_6A_14">[17]연돌일위집계!#REF!</definedName>
    <definedName name="_6A_15">[17]연돌일위집계!#REF!</definedName>
    <definedName name="_6A_16">[17]연돌일위집계!#REF!</definedName>
    <definedName name="_6A_17">[17]연돌일위집계!#REF!</definedName>
    <definedName name="_6A_18">[17]연돌일위집계!#REF!</definedName>
    <definedName name="_6A_19">[17]연돌일위집계!#REF!</definedName>
    <definedName name="_6A_2">[17]연돌일위집계!#REF!</definedName>
    <definedName name="_6A_20">[17]연돌일위집계!#REF!</definedName>
    <definedName name="_6A_21">[17]연돌일위집계!#REF!</definedName>
    <definedName name="_6A_22">[17]연돌일위집계!#REF!</definedName>
    <definedName name="_6A_23">[17]연돌일위집계!#REF!</definedName>
    <definedName name="_6A_24">[17]연돌일위집계!#REF!</definedName>
    <definedName name="_6A_25">[17]연돌일위집계!#REF!</definedName>
    <definedName name="_6A_26">[17]연돌일위집계!#REF!</definedName>
    <definedName name="_6A_27">[17]연돌일위집계!#REF!</definedName>
    <definedName name="_6A_28">[17]연돌일위집계!#REF!</definedName>
    <definedName name="_6A_29">[17]연돌일위집계!#REF!</definedName>
    <definedName name="_6A_3">[17]연돌일위집계!#REF!</definedName>
    <definedName name="_6A_30">[17]연돌일위집계!#REF!</definedName>
    <definedName name="_6A_4">[17]연돌일위집계!#REF!</definedName>
    <definedName name="_6A_5">[17]연돌일위집계!#REF!</definedName>
    <definedName name="_6A_6">[17]연돌일위집계!#REF!</definedName>
    <definedName name="_6A_7">[17]연돌일위집계!#REF!</definedName>
    <definedName name="_6A_8">[17]연돌일위집계!#REF!</definedName>
    <definedName name="_6A_9">[17]연돌일위집계!#REF!</definedName>
    <definedName name="_6B_1">[17]연돌일위집계!#REF!</definedName>
    <definedName name="_6B_10">[17]연돌일위집계!#REF!</definedName>
    <definedName name="_6B_11">[17]연돌일위집계!#REF!</definedName>
    <definedName name="_6B_12">[17]연돌일위집계!#REF!</definedName>
    <definedName name="_6B_13">[17]연돌일위집계!#REF!</definedName>
    <definedName name="_6B_14">[17]연돌일위집계!#REF!</definedName>
    <definedName name="_6B_15">[17]연돌일위집계!#REF!</definedName>
    <definedName name="_6B_16">[17]연돌일위집계!#REF!</definedName>
    <definedName name="_6B_17">[17]연돌일위집계!#REF!</definedName>
    <definedName name="_6B_18">[17]연돌일위집계!#REF!</definedName>
    <definedName name="_6B_19">[17]연돌일위집계!#REF!</definedName>
    <definedName name="_6B_2">[17]연돌일위집계!#REF!</definedName>
    <definedName name="_6B_20">[17]연돌일위집계!#REF!</definedName>
    <definedName name="_6B_21">[17]연돌일위집계!#REF!</definedName>
    <definedName name="_6B_22">[17]연돌일위집계!#REF!</definedName>
    <definedName name="_6B_23">[17]연돌일위집계!#REF!</definedName>
    <definedName name="_6B_24">[17]연돌일위집계!#REF!</definedName>
    <definedName name="_6B_25">[17]연돌일위집계!#REF!</definedName>
    <definedName name="_6B_26">[17]연돌일위집계!#REF!</definedName>
    <definedName name="_6B_27">[17]연돌일위집계!#REF!</definedName>
    <definedName name="_6B_28">[17]연돌일위집계!#REF!</definedName>
    <definedName name="_6B_29">[17]연돌일위집계!#REF!</definedName>
    <definedName name="_6B_3">[17]연돌일위집계!#REF!</definedName>
    <definedName name="_6B_30">[17]연돌일위집계!#REF!</definedName>
    <definedName name="_6B_4">[17]연돌일위집계!#REF!</definedName>
    <definedName name="_6B_5">[17]연돌일위집계!#REF!</definedName>
    <definedName name="_6B_6">[17]연돌일위집계!#REF!</definedName>
    <definedName name="_6B_7">[17]연돌일위집계!#REF!</definedName>
    <definedName name="_6B_8">[17]연돌일위집계!#REF!</definedName>
    <definedName name="_6B_9">[17]연돌일위집계!#REF!</definedName>
    <definedName name="_6C_1">[17]연돌일위집계!#REF!</definedName>
    <definedName name="_6C_10">[17]연돌일위집계!#REF!</definedName>
    <definedName name="_6C_11">[17]연돌일위집계!#REF!</definedName>
    <definedName name="_6C_12">[17]연돌일위집계!#REF!</definedName>
    <definedName name="_6C_13">[17]연돌일위집계!#REF!</definedName>
    <definedName name="_6C_14">[17]연돌일위집계!#REF!</definedName>
    <definedName name="_6C_15">[17]연돌일위집계!#REF!</definedName>
    <definedName name="_6C_16">[17]연돌일위집계!#REF!</definedName>
    <definedName name="_6C_17">[17]연돌일위집계!#REF!</definedName>
    <definedName name="_6C_18">[17]연돌일위집계!#REF!</definedName>
    <definedName name="_6C_19">[17]연돌일위집계!#REF!</definedName>
    <definedName name="_6C_2">[17]연돌일위집계!#REF!</definedName>
    <definedName name="_6C_20">[17]연돌일위집계!#REF!</definedName>
    <definedName name="_6C_21">[17]연돌일위집계!#REF!</definedName>
    <definedName name="_6C_22">[17]연돌일위집계!#REF!</definedName>
    <definedName name="_6C_23">[17]연돌일위집계!#REF!</definedName>
    <definedName name="_6C_24">[17]연돌일위집계!#REF!</definedName>
    <definedName name="_6C_25">[17]연돌일위집계!#REF!</definedName>
    <definedName name="_6C_26">[17]연돌일위집계!#REF!</definedName>
    <definedName name="_6C_27">[17]연돌일위집계!#REF!</definedName>
    <definedName name="_6C_28">[17]연돌일위집계!#REF!</definedName>
    <definedName name="_6C_29">[17]연돌일위집계!#REF!</definedName>
    <definedName name="_6C_3">[17]연돌일위집계!#REF!</definedName>
    <definedName name="_6C_30">[17]연돌일위집계!#REF!</definedName>
    <definedName name="_6C_4">[17]연돌일위집계!#REF!</definedName>
    <definedName name="_6C_5">[17]연돌일위집계!#REF!</definedName>
    <definedName name="_6C_6">[17]연돌일위집계!#REF!</definedName>
    <definedName name="_6C_7">[17]연돌일위집계!#REF!</definedName>
    <definedName name="_6C_8">[17]연돌일위집계!#REF!</definedName>
    <definedName name="_6C_9">[17]연돌일위집계!#REF!</definedName>
    <definedName name="_7A_1">[17]연돌일위집계!#REF!</definedName>
    <definedName name="_7A_10">[17]연돌일위집계!#REF!</definedName>
    <definedName name="_7A_11">[17]연돌일위집계!#REF!</definedName>
    <definedName name="_7A_12">[17]연돌일위집계!#REF!</definedName>
    <definedName name="_7A_13">[17]연돌일위집계!#REF!</definedName>
    <definedName name="_7A_14">[17]연돌일위집계!#REF!</definedName>
    <definedName name="_7A_15">[17]연돌일위집계!#REF!</definedName>
    <definedName name="_7A_16">[17]연돌일위집계!#REF!</definedName>
    <definedName name="_7A_17">[17]연돌일위집계!#REF!</definedName>
    <definedName name="_7A_18">[17]연돌일위집계!#REF!</definedName>
    <definedName name="_7A_19">[17]연돌일위집계!#REF!</definedName>
    <definedName name="_7A_2">[17]연돌일위집계!#REF!</definedName>
    <definedName name="_7A_20">[17]연돌일위집계!#REF!</definedName>
    <definedName name="_7A_21">[17]연돌일위집계!#REF!</definedName>
    <definedName name="_7A_22">[17]연돌일위집계!#REF!</definedName>
    <definedName name="_7A_23">[17]연돌일위집계!#REF!</definedName>
    <definedName name="_7A_24">[17]연돌일위집계!#REF!</definedName>
    <definedName name="_7A_25">[17]연돌일위집계!#REF!</definedName>
    <definedName name="_7A_26">[17]연돌일위집계!#REF!</definedName>
    <definedName name="_7A_27">[17]연돌일위집계!#REF!</definedName>
    <definedName name="_7A_28">[17]연돌일위집계!#REF!</definedName>
    <definedName name="_7A_29">[17]연돌일위집계!#REF!</definedName>
    <definedName name="_7A_3">[17]연돌일위집계!#REF!</definedName>
    <definedName name="_7A_30">[17]연돌일위집계!#REF!</definedName>
    <definedName name="_7A_4">[17]연돌일위집계!#REF!</definedName>
    <definedName name="_7A_5">[17]연돌일위집계!#REF!</definedName>
    <definedName name="_7A_6">[17]연돌일위집계!#REF!</definedName>
    <definedName name="_7A_7">[17]연돌일위집계!#REF!</definedName>
    <definedName name="_7A_8">[17]연돌일위집계!#REF!</definedName>
    <definedName name="_7A_9">[17]연돌일위집계!#REF!</definedName>
    <definedName name="_7B_1">[17]연돌일위집계!#REF!</definedName>
    <definedName name="_7B_10">[17]연돌일위집계!#REF!</definedName>
    <definedName name="_7B_11">[17]연돌일위집계!#REF!</definedName>
    <definedName name="_7B_12">[17]연돌일위집계!#REF!</definedName>
    <definedName name="_7B_13">[17]연돌일위집계!#REF!</definedName>
    <definedName name="_7B_14">[17]연돌일위집계!#REF!</definedName>
    <definedName name="_7B_15">[17]연돌일위집계!#REF!</definedName>
    <definedName name="_7B_16">[17]연돌일위집계!#REF!</definedName>
    <definedName name="_7B_17">[17]연돌일위집계!#REF!</definedName>
    <definedName name="_7B_18">[17]연돌일위집계!#REF!</definedName>
    <definedName name="_7B_19">[17]연돌일위집계!#REF!</definedName>
    <definedName name="_7B_2">[17]연돌일위집계!#REF!</definedName>
    <definedName name="_7B_20">[17]연돌일위집계!#REF!</definedName>
    <definedName name="_7B_21">[17]연돌일위집계!#REF!</definedName>
    <definedName name="_7B_22">[17]연돌일위집계!#REF!</definedName>
    <definedName name="_7B_23">[17]연돌일위집계!#REF!</definedName>
    <definedName name="_7B_24">[17]연돌일위집계!#REF!</definedName>
    <definedName name="_7B_25">[17]연돌일위집계!#REF!</definedName>
    <definedName name="_7B_26">[17]연돌일위집계!#REF!</definedName>
    <definedName name="_7B_27">[17]연돌일위집계!#REF!</definedName>
    <definedName name="_7B_28">[17]연돌일위집계!#REF!</definedName>
    <definedName name="_7B_29">[17]연돌일위집계!#REF!</definedName>
    <definedName name="_7B_3">[17]연돌일위집계!#REF!</definedName>
    <definedName name="_7B_30">[17]연돌일위집계!#REF!</definedName>
    <definedName name="_7B_4">[17]연돌일위집계!#REF!</definedName>
    <definedName name="_7B_5">[17]연돌일위집계!#REF!</definedName>
    <definedName name="_7B_6">[17]연돌일위집계!#REF!</definedName>
    <definedName name="_7B_7">[17]연돌일위집계!#REF!</definedName>
    <definedName name="_7B_8">[17]연돌일위집계!#REF!</definedName>
    <definedName name="_7B_9">[17]연돌일위집계!#REF!</definedName>
    <definedName name="_7C_1">[17]연돌일위집계!#REF!</definedName>
    <definedName name="_7C_10">[17]연돌일위집계!#REF!</definedName>
    <definedName name="_7C_11">[17]연돌일위집계!#REF!</definedName>
    <definedName name="_7C_12">[17]연돌일위집계!#REF!</definedName>
    <definedName name="_7C_13">[17]연돌일위집계!#REF!</definedName>
    <definedName name="_7C_14">[17]연돌일위집계!#REF!</definedName>
    <definedName name="_7C_15">[17]연돌일위집계!#REF!</definedName>
    <definedName name="_7C_16">[17]연돌일위집계!#REF!</definedName>
    <definedName name="_7C_17">[17]연돌일위집계!#REF!</definedName>
    <definedName name="_7C_18">[17]연돌일위집계!#REF!</definedName>
    <definedName name="_7C_19">[17]연돌일위집계!#REF!</definedName>
    <definedName name="_7C_2">[17]연돌일위집계!#REF!</definedName>
    <definedName name="_7C_20">[17]연돌일위집계!#REF!</definedName>
    <definedName name="_7C_21">[17]연돌일위집계!#REF!</definedName>
    <definedName name="_7C_22">[17]연돌일위집계!#REF!</definedName>
    <definedName name="_7C_23">[17]연돌일위집계!#REF!</definedName>
    <definedName name="_7C_24">[17]연돌일위집계!#REF!</definedName>
    <definedName name="_7C_25">[17]연돌일위집계!#REF!</definedName>
    <definedName name="_7C_26">[17]연돌일위집계!#REF!</definedName>
    <definedName name="_7C_27">[17]연돌일위집계!#REF!</definedName>
    <definedName name="_7C_28">[17]연돌일위집계!#REF!</definedName>
    <definedName name="_7C_29">[17]연돌일위집계!#REF!</definedName>
    <definedName name="_7C_3">[17]연돌일위집계!#REF!</definedName>
    <definedName name="_7C_30">[17]연돌일위집계!#REF!</definedName>
    <definedName name="_7C_4">[17]연돌일위집계!#REF!</definedName>
    <definedName name="_7C_5">[17]연돌일위집계!#REF!</definedName>
    <definedName name="_7C_6">[17]연돌일위집계!#REF!</definedName>
    <definedName name="_7C_7">[17]연돌일위집계!#REF!</definedName>
    <definedName name="_7C_8">[17]연돌일위집계!#REF!</definedName>
    <definedName name="_7C_9">[17]연돌일위집계!#REF!</definedName>
    <definedName name="_80Section_Code_.BtnCancel_Click">[18]!'[Section Code].BtnCancel_Click'</definedName>
    <definedName name="_8A_1">[17]연돌일위집계!#REF!</definedName>
    <definedName name="_8A_10">[17]연돌일위집계!#REF!</definedName>
    <definedName name="_8A_11">[17]연돌일위집계!#REF!</definedName>
    <definedName name="_8A_12">[17]연돌일위집계!#REF!</definedName>
    <definedName name="_8A_13">[17]연돌일위집계!#REF!</definedName>
    <definedName name="_8A_14">[17]연돌일위집계!#REF!</definedName>
    <definedName name="_8A_15">[17]연돌일위집계!#REF!</definedName>
    <definedName name="_8A_16">[17]연돌일위집계!#REF!</definedName>
    <definedName name="_8A_17">[17]연돌일위집계!#REF!</definedName>
    <definedName name="_8A_18">[17]연돌일위집계!#REF!</definedName>
    <definedName name="_8A_19">[17]연돌일위집계!#REF!</definedName>
    <definedName name="_8A_2">[17]연돌일위집계!#REF!</definedName>
    <definedName name="_8A_20">[17]연돌일위집계!#REF!</definedName>
    <definedName name="_8A_21">[17]연돌일위집계!#REF!</definedName>
    <definedName name="_8A_22">[17]연돌일위집계!#REF!</definedName>
    <definedName name="_8A_23">[17]연돌일위집계!#REF!</definedName>
    <definedName name="_8A_24">[17]연돌일위집계!#REF!</definedName>
    <definedName name="_8A_25">[17]연돌일위집계!#REF!</definedName>
    <definedName name="_8A_26">[17]연돌일위집계!#REF!</definedName>
    <definedName name="_8A_27">[17]연돌일위집계!#REF!</definedName>
    <definedName name="_8A_28">[17]연돌일위집계!#REF!</definedName>
    <definedName name="_8A_29">[17]연돌일위집계!#REF!</definedName>
    <definedName name="_8A_3">[17]연돌일위집계!#REF!</definedName>
    <definedName name="_8A_30">[17]연돌일위집계!#REF!</definedName>
    <definedName name="_8A_4">[17]연돌일위집계!#REF!</definedName>
    <definedName name="_8A_5">[17]연돌일위집계!#REF!</definedName>
    <definedName name="_8A_6">[17]연돌일위집계!#REF!</definedName>
    <definedName name="_8A_7">[17]연돌일위집계!#REF!</definedName>
    <definedName name="_8A_8">[17]연돌일위집계!#REF!</definedName>
    <definedName name="_8A_9">[17]연돌일위집계!#REF!</definedName>
    <definedName name="_8B_1">[17]연돌일위집계!#REF!</definedName>
    <definedName name="_8B_10">[17]연돌일위집계!#REF!</definedName>
    <definedName name="_8B_11">[17]연돌일위집계!#REF!</definedName>
    <definedName name="_8B_12">[17]연돌일위집계!#REF!</definedName>
    <definedName name="_8B_13">[17]연돌일위집계!#REF!</definedName>
    <definedName name="_8B_14">[17]연돌일위집계!#REF!</definedName>
    <definedName name="_8B_15">[17]연돌일위집계!#REF!</definedName>
    <definedName name="_8B_16">[17]연돌일위집계!#REF!</definedName>
    <definedName name="_8B_17">[17]연돌일위집계!#REF!</definedName>
    <definedName name="_8B_18">[17]연돌일위집계!#REF!</definedName>
    <definedName name="_8B_19">[17]연돌일위집계!#REF!</definedName>
    <definedName name="_8B_2">[17]연돌일위집계!#REF!</definedName>
    <definedName name="_8B_20">[17]연돌일위집계!#REF!</definedName>
    <definedName name="_8B_21">[17]연돌일위집계!#REF!</definedName>
    <definedName name="_8B_22">[17]연돌일위집계!#REF!</definedName>
    <definedName name="_8B_23">[17]연돌일위집계!#REF!</definedName>
    <definedName name="_8B_24">[17]연돌일위집계!#REF!</definedName>
    <definedName name="_8B_25">[17]연돌일위집계!#REF!</definedName>
    <definedName name="_8B_26">[17]연돌일위집계!#REF!</definedName>
    <definedName name="_8B_27">[17]연돌일위집계!#REF!</definedName>
    <definedName name="_8B_28">[17]연돌일위집계!#REF!</definedName>
    <definedName name="_8B_29">[17]연돌일위집계!#REF!</definedName>
    <definedName name="_8B_3">[17]연돌일위집계!#REF!</definedName>
    <definedName name="_8B_30">[17]연돌일위집계!#REF!</definedName>
    <definedName name="_8B_4">[17]연돌일위집계!#REF!</definedName>
    <definedName name="_8B_5">[17]연돌일위집계!#REF!</definedName>
    <definedName name="_8B_6">[17]연돌일위집계!#REF!</definedName>
    <definedName name="_8B_7">[17]연돌일위집계!#REF!</definedName>
    <definedName name="_8B_8">[17]연돌일위집계!#REF!</definedName>
    <definedName name="_8B_9">[17]연돌일위집계!#REF!</definedName>
    <definedName name="_8C_1">[17]연돌일위집계!#REF!</definedName>
    <definedName name="_8C_10">[17]연돌일위집계!#REF!</definedName>
    <definedName name="_8C_11">[17]연돌일위집계!#REF!</definedName>
    <definedName name="_8C_12">[17]연돌일위집계!#REF!</definedName>
    <definedName name="_8C_13">[17]연돌일위집계!#REF!</definedName>
    <definedName name="_8C_14">[17]연돌일위집계!#REF!</definedName>
    <definedName name="_8C_15">[17]연돌일위집계!#REF!</definedName>
    <definedName name="_8C_16">[17]연돌일위집계!#REF!</definedName>
    <definedName name="_8C_17">[17]연돌일위집계!#REF!</definedName>
    <definedName name="_8C_18">[17]연돌일위집계!#REF!</definedName>
    <definedName name="_8C_19">[17]연돌일위집계!#REF!</definedName>
    <definedName name="_8C_2">[17]연돌일위집계!#REF!</definedName>
    <definedName name="_8C_20">[17]연돌일위집계!#REF!</definedName>
    <definedName name="_8C_21">[17]연돌일위집계!#REF!</definedName>
    <definedName name="_8C_22">[17]연돌일위집계!#REF!</definedName>
    <definedName name="_8C_23">[17]연돌일위집계!#REF!</definedName>
    <definedName name="_8C_24">[17]연돌일위집계!#REF!</definedName>
    <definedName name="_8C_25">[17]연돌일위집계!#REF!</definedName>
    <definedName name="_8C_26">[17]연돌일위집계!#REF!</definedName>
    <definedName name="_8C_27">[17]연돌일위집계!#REF!</definedName>
    <definedName name="_8C_28">[17]연돌일위집계!#REF!</definedName>
    <definedName name="_8C_29">[17]연돌일위집계!#REF!</definedName>
    <definedName name="_8C_3">[17]연돌일위집계!#REF!</definedName>
    <definedName name="_8C_30">[17]연돌일위집계!#REF!</definedName>
    <definedName name="_8C_4">[17]연돌일위집계!#REF!</definedName>
    <definedName name="_8C_5">[17]연돌일위집계!#REF!</definedName>
    <definedName name="_8C_6">[17]연돌일위집계!#REF!</definedName>
    <definedName name="_8C_7">[17]연돌일위집계!#REF!</definedName>
    <definedName name="_8C_8">[17]연돌일위집계!#REF!</definedName>
    <definedName name="_8C_9">[17]연돌일위집계!#REF!</definedName>
    <definedName name="_96Section_Code_.BtnOK_Click">[18]!'[Section Code].BtnOK_Click'</definedName>
    <definedName name="_9A_1">[17]연돌일위집계!#REF!</definedName>
    <definedName name="_9A_10">[17]연돌일위집계!#REF!</definedName>
    <definedName name="_9A_11">[17]연돌일위집계!#REF!</definedName>
    <definedName name="_9A_12">[17]연돌일위집계!#REF!</definedName>
    <definedName name="_9A_13">[17]연돌일위집계!#REF!</definedName>
    <definedName name="_9A_14">[17]연돌일위집계!#REF!</definedName>
    <definedName name="_9A_15">[17]연돌일위집계!#REF!</definedName>
    <definedName name="_9A_16">[17]연돌일위집계!#REF!</definedName>
    <definedName name="_9A_17">[17]연돌일위집계!#REF!</definedName>
    <definedName name="_9A_18">[17]연돌일위집계!#REF!</definedName>
    <definedName name="_9A_19">[17]연돌일위집계!#REF!</definedName>
    <definedName name="_9A_2">[17]연돌일위집계!#REF!</definedName>
    <definedName name="_9A_20">[17]연돌일위집계!#REF!</definedName>
    <definedName name="_9A_21">[17]연돌일위집계!#REF!</definedName>
    <definedName name="_9A_22">[17]연돌일위집계!#REF!</definedName>
    <definedName name="_9A_23">[17]연돌일위집계!#REF!</definedName>
    <definedName name="_9A_24">[17]연돌일위집계!#REF!</definedName>
    <definedName name="_9A_25">[17]연돌일위집계!#REF!</definedName>
    <definedName name="_9A_26">[17]연돌일위집계!#REF!</definedName>
    <definedName name="_9A_27">[17]연돌일위집계!#REF!</definedName>
    <definedName name="_9A_28">[17]연돌일위집계!#REF!</definedName>
    <definedName name="_9A_29">[17]연돌일위집계!#REF!</definedName>
    <definedName name="_9A_3">[17]연돌일위집계!#REF!</definedName>
    <definedName name="_9A_30">[17]연돌일위집계!#REF!</definedName>
    <definedName name="_9A_4">[17]연돌일위집계!#REF!</definedName>
    <definedName name="_9A_5">[17]연돌일위집계!#REF!</definedName>
    <definedName name="_9A_6">[17]연돌일위집계!#REF!</definedName>
    <definedName name="_9A_7">[17]연돌일위집계!#REF!</definedName>
    <definedName name="_9A_8">[17]연돌일위집계!#REF!</definedName>
    <definedName name="_9A_9">[17]연돌일위집계!#REF!</definedName>
    <definedName name="_9B_1">[17]연돌일위집계!#REF!</definedName>
    <definedName name="_9B_10">[17]연돌일위집계!#REF!</definedName>
    <definedName name="_9B_11">[17]연돌일위집계!#REF!</definedName>
    <definedName name="_9B_12">[17]연돌일위집계!#REF!</definedName>
    <definedName name="_9B_13">[17]연돌일위집계!#REF!</definedName>
    <definedName name="_9B_14">[17]연돌일위집계!#REF!</definedName>
    <definedName name="_9B_15">[17]연돌일위집계!#REF!</definedName>
    <definedName name="_9B_16">[17]연돌일위집계!#REF!</definedName>
    <definedName name="_9B_17">[17]연돌일위집계!#REF!</definedName>
    <definedName name="_9B_18">[17]연돌일위집계!#REF!</definedName>
    <definedName name="_9B_19">[17]연돌일위집계!#REF!</definedName>
    <definedName name="_9B_2">[17]연돌일위집계!#REF!</definedName>
    <definedName name="_9B_20">[17]연돌일위집계!#REF!</definedName>
    <definedName name="_9B_21">[17]연돌일위집계!#REF!</definedName>
    <definedName name="_9B_22">[17]연돌일위집계!#REF!</definedName>
    <definedName name="_9B_23">[17]연돌일위집계!#REF!</definedName>
    <definedName name="_9B_24">[17]연돌일위집계!#REF!</definedName>
    <definedName name="_9B_25">[17]연돌일위집계!#REF!</definedName>
    <definedName name="_9B_26">[17]연돌일위집계!#REF!</definedName>
    <definedName name="_9B_27">[17]연돌일위집계!#REF!</definedName>
    <definedName name="_9B_28">[17]연돌일위집계!#REF!</definedName>
    <definedName name="_9B_29">[17]연돌일위집계!#REF!</definedName>
    <definedName name="_9B_3">[17]연돌일위집계!#REF!</definedName>
    <definedName name="_9B_30">[17]연돌일위집계!#REF!</definedName>
    <definedName name="_9B_4">[17]연돌일위집계!#REF!</definedName>
    <definedName name="_9B_5">[17]연돌일위집계!#REF!</definedName>
    <definedName name="_9B_6">[17]연돌일위집계!#REF!</definedName>
    <definedName name="_9B_7">[17]연돌일위집계!#REF!</definedName>
    <definedName name="_9B_8">[17]연돌일위집계!#REF!</definedName>
    <definedName name="_9B_9">[17]연돌일위집계!#REF!</definedName>
    <definedName name="_9C_1">[17]연돌일위집계!#REF!</definedName>
    <definedName name="_9C_10">[17]연돌일위집계!#REF!</definedName>
    <definedName name="_9C_11">[17]연돌일위집계!#REF!</definedName>
    <definedName name="_9C_12">[17]연돌일위집계!#REF!</definedName>
    <definedName name="_9C_13">[17]연돌일위집계!#REF!</definedName>
    <definedName name="_9C_14">[17]연돌일위집계!#REF!</definedName>
    <definedName name="_9C_15">[17]연돌일위집계!#REF!</definedName>
    <definedName name="_9C_16">[17]연돌일위집계!#REF!</definedName>
    <definedName name="_9C_17">[17]연돌일위집계!#REF!</definedName>
    <definedName name="_9C_18">[17]연돌일위집계!#REF!</definedName>
    <definedName name="_9C_19">[17]연돌일위집계!#REF!</definedName>
    <definedName name="_9C_2">[17]연돌일위집계!#REF!</definedName>
    <definedName name="_9C_20">[17]연돌일위집계!#REF!</definedName>
    <definedName name="_9C_21">[17]연돌일위집계!#REF!</definedName>
    <definedName name="_9C_22">[17]연돌일위집계!#REF!</definedName>
    <definedName name="_9C_23">[17]연돌일위집계!#REF!</definedName>
    <definedName name="_9C_24">[17]연돌일위집계!#REF!</definedName>
    <definedName name="_9C_25">[17]연돌일위집계!#REF!</definedName>
    <definedName name="_9C_26">[17]연돌일위집계!#REF!</definedName>
    <definedName name="_9C_27">[17]연돌일위집계!#REF!</definedName>
    <definedName name="_9C_28">[17]연돌일위집계!#REF!</definedName>
    <definedName name="_9C_29">[17]연돌일위집계!#REF!</definedName>
    <definedName name="_9C_3">[17]연돌일위집계!#REF!</definedName>
    <definedName name="_9C_30">[17]연돌일위집계!#REF!</definedName>
    <definedName name="_9C_4">[17]연돌일위집계!#REF!</definedName>
    <definedName name="_9C_5">[17]연돌일위집계!#REF!</definedName>
    <definedName name="_9C_6">[17]연돌일위집계!#REF!</definedName>
    <definedName name="_9C_7">[17]연돌일위집계!#REF!</definedName>
    <definedName name="_9C_8">[17]연돌일위집계!#REF!</definedName>
    <definedName name="_9C_9">[17]연돌일위집계!#REF!</definedName>
    <definedName name="_A1" localSheetId="0" hidden="1">{#N/A,#N/A,TRUE,"Basic";#N/A,#N/A,TRUE,"EXT-TABLE";#N/A,#N/A,TRUE,"STEEL";#N/A,#N/A,TRUE,"INT-Table";#N/A,#N/A,TRUE,"STEEL";#N/A,#N/A,TRUE,"Door"}</definedName>
    <definedName name="_A1" hidden="1">{#N/A,#N/A,TRUE,"Basic";#N/A,#N/A,TRUE,"EXT-TABLE";#N/A,#N/A,TRUE,"STEEL";#N/A,#N/A,TRUE,"INT-Table";#N/A,#N/A,TRUE,"STEEL";#N/A,#N/A,TRUE,"Door"}</definedName>
    <definedName name="_A66" localSheetId="0">[9]!_KT66</definedName>
    <definedName name="_A66">#N/A</definedName>
    <definedName name="_ac4" localSheetId="0">[9]!ClearSheet</definedName>
    <definedName name="_ac4">#N/A</definedName>
    <definedName name="_add">#REF!</definedName>
    <definedName name="_B1">#REF!</definedName>
    <definedName name="_BBJ3" localSheetId="0">'[6]95삼성급(본사)'!#REF!</definedName>
    <definedName name="_BBJ3">'[7]95삼성급(본사)'!#REF!</definedName>
    <definedName name="_BCJ3" localSheetId="0">'[6]95삼성급(본사)'!#REF!</definedName>
    <definedName name="_BCJ3">'[7]95삼성급(본사)'!#REF!</definedName>
    <definedName name="_BDR3" localSheetId="0">'[6]95삼성급(본사)'!#REF!</definedName>
    <definedName name="_BDR3">'[7]95삼성급(본사)'!#REF!</definedName>
    <definedName name="_BGJ3" localSheetId="0">'[6]95삼성급(본사)'!#REF!</definedName>
    <definedName name="_BGJ3">'[7]95삼성급(본사)'!#REF!</definedName>
    <definedName name="_BPbu">#REF!</definedName>
    <definedName name="_BPconst">#REF!</definedName>
    <definedName name="_clientloc">#REF!</definedName>
    <definedName name="_clientname">#REF!</definedName>
    <definedName name="_clientnumber">#REF!</definedName>
    <definedName name="_compfact">#REF!</definedName>
    <definedName name="_cpcvgas">#REF!</definedName>
    <definedName name="_D12">#REF!</definedName>
    <definedName name="_datasheet">#REF!</definedName>
    <definedName name="_doc_name" localSheetId="0">#REF!</definedName>
    <definedName name="_doc_name">#REF!</definedName>
    <definedName name="_END1">'[10]개시대사 (2)'!$G$49</definedName>
    <definedName name="_Fill" localSheetId="0" hidden="1">#REF!</definedName>
    <definedName name="_Fill" hidden="1">#REF!</definedName>
    <definedName name="_xlnm._FilterDatabase" localSheetId="1" hidden="1">Cable!$A$5:$AS$196</definedName>
    <definedName name="_xlnm._FilterDatabase" localSheetId="2" hidden="1">'Cable Tray'!$A$5:$BF$181</definedName>
    <definedName name="_xlnm._FilterDatabase" localSheetId="3" hidden="1">Conduit!$A$5:$AW$76</definedName>
    <definedName name="_xlnm._FilterDatabase" localSheetId="4" hidden="1">'Cable Gland'!$A$5:$AV$80</definedName>
    <definedName name="_xlnm._FilterDatabase" localSheetId="5" hidden="1">Support!$A$5:$AJ$151</definedName>
    <definedName name="_xlnm._FilterDatabase" localSheetId="6" hidden="1">'Telecom &amp; Security System'!$A$5:$BL$292</definedName>
    <definedName name="_FLL2" hidden="1">#REF!</definedName>
    <definedName name="_Fluidcon">#REF!</definedName>
    <definedName name="_Fluidgas">#REF!</definedName>
    <definedName name="_Fluidliq">#REF!</definedName>
    <definedName name="_ipsv">#REF!</definedName>
    <definedName name="_Key1" localSheetId="0" hidden="1">#REF!</definedName>
    <definedName name="_Key1" hidden="1">#REF!</definedName>
    <definedName name="_Key2" localSheetId="0" hidden="1">#REF!</definedName>
    <definedName name="_Key2" hidden="1">#REF!</definedName>
    <definedName name="_KT66" localSheetId="0">#N/A</definedName>
    <definedName name="_KT66">#N/A</definedName>
    <definedName name="_lhcon">#REF!</definedName>
    <definedName name="_lhliq">#REF!</definedName>
    <definedName name="_ltag">#REF!</definedName>
    <definedName name="_manufact">#REF!</definedName>
    <definedName name="_manufactr" localSheetId="0">#REF!</definedName>
    <definedName name="_manufactr">#REF!</definedName>
    <definedName name="_model" localSheetId="0">#REF!</definedName>
    <definedName name="_model">#REF!</definedName>
    <definedName name="_MWgas">#REF!</definedName>
    <definedName name="_NO11">#REF!</definedName>
    <definedName name="_NO13">#REF!</definedName>
    <definedName name="_NO17">#REF!</definedName>
    <definedName name="_NO21">#REF!</definedName>
    <definedName name="_NO26">#REF!</definedName>
    <definedName name="_NO32">#REF!</definedName>
    <definedName name="_NO39">#REF!</definedName>
    <definedName name="_NO49">#REF!</definedName>
    <definedName name="_NO61">#REF!</definedName>
    <definedName name="_NO7">#REF!</definedName>
    <definedName name="_NO74">#REF!</definedName>
    <definedName name="_NO9">#REF!</definedName>
    <definedName name="_NO92">#REF!</definedName>
    <definedName name="_of_sheet" localSheetId="0">#REF!</definedName>
    <definedName name="_of_sheet">#REF!</definedName>
    <definedName name="_Order1" hidden="1">255</definedName>
    <definedName name="_Order2" hidden="1">255</definedName>
    <definedName name="_p_order" localSheetId="0">#REF!</definedName>
    <definedName name="_p_order">#REF!</definedName>
    <definedName name="_Parse_Out" localSheetId="0" hidden="1">#REF!</definedName>
    <definedName name="_Parse_Out" hidden="1">#REF!</definedName>
    <definedName name="_pid_no" localSheetId="0">#REF!</definedName>
    <definedName name="_pid_no">#REF!</definedName>
    <definedName name="_plc1">[8]INSTR!$A$5:$M$208</definedName>
    <definedName name="_PRO1">#REF!</definedName>
    <definedName name="_PRO2">#REF!</definedName>
    <definedName name="_PRO3">[15]PRO_DCI!#REF!</definedName>
    <definedName name="_PRO4">#REF!</definedName>
    <definedName name="_PRO5">#REF!</definedName>
    <definedName name="_PRO6">#REF!</definedName>
    <definedName name="_PRO7">#REF!</definedName>
    <definedName name="_PRO8">#REF!</definedName>
    <definedName name="_PRO9">#REF!</definedName>
    <definedName name="_ProjectDescript" localSheetId="0">#REF!</definedName>
    <definedName name="_ProjectDescript">#REF!</definedName>
    <definedName name="_projectnumber">[24]Orbit!#REF!</definedName>
    <definedName name="_pspec">#REF!</definedName>
    <definedName name="_Qcon">#REF!</definedName>
    <definedName name="_Qgas">#REF!</definedName>
    <definedName name="_Qliq">#REF!</definedName>
    <definedName name="_req_no" localSheetId="0">#REF!</definedName>
    <definedName name="_req_no">#REF!</definedName>
    <definedName name="_rev" localSheetId="0">#REF!</definedName>
    <definedName name="_rev">#REF!</definedName>
    <definedName name="_s3" localSheetId="0">'[11]h-013211-2'!$C$5</definedName>
    <definedName name="_s3">'[16]h-013211-2'!$C$5</definedName>
    <definedName name="_service" localSheetId="0">#REF!</definedName>
    <definedName name="_service">#REF!</definedName>
    <definedName name="_service_desc">#REF!</definedName>
    <definedName name="_setpoint">#REF!</definedName>
    <definedName name="_sgcon">#REF!</definedName>
    <definedName name="_sgliq">#REF!</definedName>
    <definedName name="_sheet_no" localSheetId="0">#REF!</definedName>
    <definedName name="_sheet_no">#REF!</definedName>
    <definedName name="_SHT1">'[12]L V Separator'!$A$1:$AC$65</definedName>
    <definedName name="_SHT2">'[25]L V Separator'!#REF!</definedName>
    <definedName name="_SHT3">'[25]L V Separator'!#REF!</definedName>
    <definedName name="_Sort" localSheetId="0" hidden="1">#REF!</definedName>
    <definedName name="_Sort" hidden="1">#REF!</definedName>
    <definedName name="_STM11">#REF!</definedName>
    <definedName name="_t1" localSheetId="0" hidden="1">#REF!</definedName>
    <definedName name="_t1" hidden="1">#REF!</definedName>
    <definedName name="_t2" localSheetId="0" hidden="1">#REF!</definedName>
    <definedName name="_t2" hidden="1">#REF!</definedName>
    <definedName name="_t3">#REF!</definedName>
    <definedName name="_t4">#REF!</definedName>
    <definedName name="_tag_no" localSheetId="0">#REF!</definedName>
    <definedName name="_tag_no">#REF!</definedName>
    <definedName name="_TB1">#REF!</definedName>
    <definedName name="_viscon">#REF!</definedName>
    <definedName name="_visgas">#REF!</definedName>
    <definedName name="_visliq">#REF!</definedName>
    <definedName name="¡ÆC">#N/A</definedName>
    <definedName name="´cAE°eE¹" localSheetId="0" hidden="1">#REF!</definedName>
    <definedName name="´cAE°eE¹" hidden="1">#REF!</definedName>
    <definedName name="¿uº°¿μ¾÷">#REF!</definedName>
    <definedName name="￠?u¨￢¡Æ￠?￥i¨u¡A">#REF!</definedName>
    <definedName name="￠´¡¤">#N/A</definedName>
    <definedName name="￠´¡¤￠´¡¤">#N/A</definedName>
    <definedName name="￠´¡¤￠´¡¤￠´¡¤">#N/A</definedName>
    <definedName name="￠´¡¤￠´¡¤￠´¡¤￠´¡¤">#N/A</definedName>
    <definedName name="￠´¡¤￠´¨I￠´¨I">#N/A</definedName>
    <definedName name="￠´¡¤￠´￠´￠´¡¤">#N/A</definedName>
    <definedName name="￠´¡¤￠´￠´￠´¡¾￠´￠´￠´¡¾￠´￠´￠´¡¤￠´￠´￠´¡¤￠´¡¾￠´￠´￠´¡¤￠´¡¾￠´￠´￠´¡¤￠´¡¾￠´￠´￠´¡¤￠´¡¤￠´￠´￠´￠´￠´¡¤￠´¡¤￠´￠´￠´¡¾">#N/A</definedName>
    <definedName name="￠´¡×￠´¡×">#N/A</definedName>
    <definedName name="￠´¡¾">#N/A</definedName>
    <definedName name="￠´¡¾￠´￠´￠´¡¾￠´¡¾">#N/A</definedName>
    <definedName name="￠´¨￠￠´I￠´¨￠￠´I￠´I￠´I">#N/A</definedName>
    <definedName name="￠´¨I￠´¨I￠´¨I￠´¨I￠´¡Æ￠´¨u">#N/A</definedName>
    <definedName name="￠´¨o￠´¨o￠´¨o">#N/A</definedName>
    <definedName name="￠´¨u￠´¨u">#N/A</definedName>
    <definedName name="￠´￠?￠´￠?￠´￠?￠´￠?￠´￠?">#N/A</definedName>
    <definedName name="￠´￠´￠´¡¾￠´¡¾￠´￠´￠´￠´￠´¡¾">#N/A</definedName>
    <definedName name="￠´￠´￠´￠´￠´￠´">#N/A</definedName>
    <definedName name="￠´￠´￠´￠´￠´￠´￠´￠´￠´¡¤">#N/A</definedName>
    <definedName name="￠´￠￢" localSheetId="0">[26]상반기손익차2총괄!#REF!</definedName>
    <definedName name="￠´￠￢">[27]상반기손익차2총괄!#REF!</definedName>
    <definedName name="￠´￠￢￠´¡×￠´￠￢￠´¡×">#N/A</definedName>
    <definedName name="￠´A￠´A￠´A￠´A￠´A">#N/A</definedName>
    <definedName name="￠´A￠´A￠´C￠Oo￠´A￠´￠´￠?A￠Oo￠´A￠´¡¾￠´￠´￠?A￠OoⓒøN￠?A￠O¡A￠´￠´¨uo￠´￠´￠´¡¤￠´¡¤￠´￠´￠´¡¾￠´¡¾￠´￠´￠´¡¤￠´¡¤￠´￠´￠´￠´￠´¡¤￠´¡¾">#N/A</definedName>
    <definedName name="￠´C￠´C￠´C￠´C">#N/A</definedName>
    <definedName name="￠´ⓒ÷">#N/A</definedName>
    <definedName name="￠´ⓒ÷￠´ⓒ÷￠´ⓒ÷">#N/A</definedName>
    <definedName name="￠´ⓒ÷￠´ⓒ÷￠´ⓒ÷￠´ⓒ÷￠´ⓒ÷">#N/A</definedName>
    <definedName name="￠´E￠´A￠´A￠´A">#N/A</definedName>
    <definedName name="￠´I" localSheetId="0">'[28]9-1차이내역'!#REF!</definedName>
    <definedName name="￠´I">'[26]9-1차이내역'!#REF!</definedName>
    <definedName name="￠´I￠´I￠´I">#N/A</definedName>
    <definedName name="￠￥cAE¡ÆeEⓒo" localSheetId="0" hidden="1">#REF!</definedName>
    <definedName name="￠￥cAE¡ÆeEⓒo" hidden="1">#REF!</definedName>
    <definedName name="¤¸" localSheetId="0">[29]상반기손익차2총괄!#REF!</definedName>
    <definedName name="¤¸">[30]상반기손익차2총괄!#REF!</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½¤½¤½">#N/A</definedName>
    <definedName name="¤¾¤¾">#N/A</definedName>
    <definedName name="¤²">#N/A</definedName>
    <definedName name="¤²¤²¤²">#N/A</definedName>
    <definedName name="¤²¤²¤²¤²¤²">#N/A</definedName>
    <definedName name="¤A¤A¤A¤A¤A">#N/A</definedName>
    <definedName name="¤A¤A¤C¶o¤A¤¤¿A¶o¤A¤±¤¤¿A¶o³N¿A¶÷¤¤¾o¤¤¤·¤·¤¤¤±¤±¤¤¤·¤·¤¤¤¤¤·¤±">#N/A</definedName>
    <definedName name="¤C¤C¤C¤C">#N/A</definedName>
    <definedName name="¤ⓒ¤ⓒ¤ⓒ¤ⓒ¤°¤¾">#N/A</definedName>
    <definedName name="¤Ð¤I¤Ð¤I¤I¤I">#N/A</definedName>
    <definedName name="¤E¤A¤A¤A">#N/A</definedName>
    <definedName name="¤I" localSheetId="0">'[28]9-1차이내역'!#REF!</definedName>
    <definedName name="¤I">'[26]9-1차이내역'!#REF!</definedName>
    <definedName name="¤I¤I¤I">#N/A</definedName>
    <definedName name="°C">#N/A</definedName>
    <definedName name="¹eºI³≫¿ª" localSheetId="0">[31]주관사업!#REF!</definedName>
    <definedName name="¹eºI³≫¿ª">[4]주관사업!#REF!</definedName>
    <definedName name="a" localSheetId="0">#REF!</definedName>
    <definedName name="a">#REF!</definedName>
    <definedName name="a_dash" localSheetId="0">#REF!</definedName>
    <definedName name="a_dash">#REF!</definedName>
    <definedName name="A¡þ_¡¤ⓒo_AO">#N/A</definedName>
    <definedName name="A￢_·¹_AO">#N/A</definedName>
    <definedName name="A0">#REF!</definedName>
    <definedName name="A3_" localSheetId="0">#REF!</definedName>
    <definedName name="A3_">#REF!</definedName>
    <definedName name="A4_" localSheetId="0">#REF!</definedName>
    <definedName name="A4_">#REF!</definedName>
    <definedName name="A5_" localSheetId="0">#REF!</definedName>
    <definedName name="A5_">#REF!</definedName>
    <definedName name="A6_" localSheetId="0">#REF!</definedName>
    <definedName name="A6_">#REF!</definedName>
    <definedName name="A7_" localSheetId="0">#REF!</definedName>
    <definedName name="A7_">#REF!</definedName>
    <definedName name="AA" localSheetId="0">#REF!</definedName>
    <definedName name="aa">BlankMacro1</definedName>
    <definedName name="AAA" localSheetId="0">#REF!</definedName>
    <definedName name="AAA">#REF!</definedName>
    <definedName name="aaaa" localSheetId="0">'[32]7.6.3(B) UG Piping'!$C$5:$M$535</definedName>
    <definedName name="aaaa">'[33]7.6.3(B) UG Piping'!$C$5:$M$535</definedName>
    <definedName name="aaaaa" localSheetId="0" hidden="1">{#N/A,#N/A,TRUE,"Basic";#N/A,#N/A,TRUE,"EXT-TABLE";#N/A,#N/A,TRUE,"STEEL";#N/A,#N/A,TRUE,"INT-Table";#N/A,#N/A,TRUE,"STEEL";#N/A,#N/A,TRUE,"Door"}</definedName>
    <definedName name="aaaaa" hidden="1">{#N/A,#N/A,TRUE,"Basic";#N/A,#N/A,TRUE,"EXT-TABLE";#N/A,#N/A,TRUE,"STEEL";#N/A,#N/A,TRUE,"INT-Table";#N/A,#N/A,TRUE,"STEEL";#N/A,#N/A,TRUE,"Door"}</definedName>
    <definedName name="AAAAA1" localSheetId="0" hidden="1">{#N/A,#N/A,TRUE,"Basic";#N/A,#N/A,TRUE,"EXT-TABLE";#N/A,#N/A,TRUE,"STEEL";#N/A,#N/A,TRUE,"INT-Table";#N/A,#N/A,TRUE,"STEEL";#N/A,#N/A,TRUE,"Door"}</definedName>
    <definedName name="AAAAA1" hidden="1">{#N/A,#N/A,TRUE,"Basic";#N/A,#N/A,TRUE,"EXT-TABLE";#N/A,#N/A,TRUE,"STEEL";#N/A,#N/A,TRUE,"INT-Table";#N/A,#N/A,TRUE,"STEEL";#N/A,#N/A,TRUE,"Door"}</definedName>
    <definedName name="aaaaaaa" localSheetId="0" hidden="1">#REF!</definedName>
    <definedName name="aaaaaaa" hidden="1">#REF!</definedName>
    <definedName name="aæÐRIiÞA_Iª">#N/A</definedName>
    <definedName name="ab" localSheetId="0" hidden="1">{#N/A,#N/A,TRUE,"Basic";#N/A,#N/A,TRUE,"EXT-TABLE";#N/A,#N/A,TRUE,"STEEL";#N/A,#N/A,TRUE,"INT-Table";#N/A,#N/A,TRUE,"STEEL";#N/A,#N/A,TRUE,"Door"}</definedName>
    <definedName name="ab" hidden="1">{#N/A,#N/A,TRUE,"Basic";#N/A,#N/A,TRUE,"EXT-TABLE";#N/A,#N/A,TRUE,"STEEL";#N/A,#N/A,TRUE,"INT-Table";#N/A,#N/A,TRUE,"STEEL";#N/A,#N/A,TRUE,"Door"}</definedName>
    <definedName name="abc" localSheetId="0" hidden="1">{#N/A,#N/A,TRUE,"Basic";#N/A,#N/A,TRUE,"EXT-TABLE";#N/A,#N/A,TRUE,"STEEL";#N/A,#N/A,TRUE,"INT-Table";#N/A,#N/A,TRUE,"STEEL";#N/A,#N/A,TRUE,"Door"}</definedName>
    <definedName name="abc" hidden="1">{#N/A,#N/A,TRUE,"Basic";#N/A,#N/A,TRUE,"EXT-TABLE";#N/A,#N/A,TRUE,"STEEL";#N/A,#N/A,TRUE,"INT-Table";#N/A,#N/A,TRUE,"STEEL";#N/A,#N/A,TRUE,"Door"}</definedName>
    <definedName name="AC_3" localSheetId="0">[0]!ClearSheet</definedName>
    <definedName name="AC_3">#N/A</definedName>
    <definedName name="AC_4" localSheetId="0">[0]!ClearSheet</definedName>
    <definedName name="AC_4">#N/A</definedName>
    <definedName name="aⓒ¡¨￠RIi¨­A_I¨￡">#N/A</definedName>
    <definedName name="ACC_2" localSheetId="0">[0]!ClearSheet</definedName>
    <definedName name="ACC_2">#N/A</definedName>
    <definedName name="ACC_IMPORT">#REF!</definedName>
    <definedName name="AddBorders">#REF!</definedName>
    <definedName name="AFC" localSheetId="0">[34]data_dci!$K$8:$K$746</definedName>
    <definedName name="AFC">[35]data_dci!$K$8:$K$746</definedName>
    <definedName name="agdump" localSheetId="0">#REF!</definedName>
    <definedName name="agdump">#REF!</definedName>
    <definedName name="agedump" localSheetId="0">#REF!</definedName>
    <definedName name="agedump">#REF!</definedName>
    <definedName name="agencydump" localSheetId="0">#REF!</definedName>
    <definedName name="agencydump">#REF!</definedName>
    <definedName name="AGENCYLY" localSheetId="0">#REF!</definedName>
    <definedName name="AGENCYLY">#REF!</definedName>
    <definedName name="AGENCYPLAN" localSheetId="0">#REF!</definedName>
    <definedName name="AGENCYPLAN">#REF!</definedName>
    <definedName name="Agreement">#REF!</definedName>
    <definedName name="air">#REF!</definedName>
    <definedName name="allow">#REF!</definedName>
    <definedName name="Amend_Matl">#REF!</definedName>
    <definedName name="Amend_MD">#REF!</definedName>
    <definedName name="Amend_Total_Matl">#REF!</definedName>
    <definedName name="Amend_Total_MD">#REF!</definedName>
    <definedName name="analyzer_flg_001" localSheetId="0">#REF!</definedName>
    <definedName name="analyzer_flg_001">#REF!</definedName>
    <definedName name="anchor" localSheetId="0">#REF!</definedName>
    <definedName name="anchor">#REF!</definedName>
    <definedName name="anscount" hidden="1">1</definedName>
    <definedName name="APP" localSheetId="0">[34]data_mci!$M$8:$M$126</definedName>
    <definedName name="APP">[35]data_mci!$M$8:$M$126</definedName>
    <definedName name="APP_V" localSheetId="0">[34]data_mci!$O$8:$O$126</definedName>
    <definedName name="APP_V">[35]data_mci!$O$8:$O$126</definedName>
    <definedName name="area_id_001" localSheetId="0">#REF!</definedName>
    <definedName name="area_id_001">#REF!</definedName>
    <definedName name="area_sum" localSheetId="0">#REF!</definedName>
    <definedName name="area_sum">#REF!</definedName>
    <definedName name="Arial">#REF!</definedName>
    <definedName name="as" localSheetId="0">#REF!</definedName>
    <definedName name="as">#REF!</definedName>
    <definedName name="AS1_">#REF!</definedName>
    <definedName name="asas" localSheetId="0" hidden="1">{#N/A,#N/A,TRUE,"Basic";#N/A,#N/A,TRUE,"EXT-TABLE";#N/A,#N/A,TRUE,"STEEL";#N/A,#N/A,TRUE,"INT-Table";#N/A,#N/A,TRUE,"STEEL";#N/A,#N/A,TRUE,"Door"}</definedName>
    <definedName name="asas" hidden="1">{#N/A,#N/A,TRUE,"Basic";#N/A,#N/A,TRUE,"EXT-TABLE";#N/A,#N/A,TRUE,"STEEL";#N/A,#N/A,TRUE,"INT-Table";#N/A,#N/A,TRUE,"STEEL";#N/A,#N/A,TRUE,"Door"}</definedName>
    <definedName name="asd" localSheetId="0">#REF!</definedName>
    <definedName name="asd">#REF!</definedName>
    <definedName name="asdf">#REF!</definedName>
    <definedName name="ass" localSheetId="0">[0]!ClearSheet</definedName>
    <definedName name="ass">#N/A</definedName>
    <definedName name="Au">#N/A</definedName>
    <definedName name="b" localSheetId="0">#REF!</definedName>
    <definedName name="b">#REF!</definedName>
    <definedName name="b_dash" localSheetId="0">#REF!</definedName>
    <definedName name="b_dash">#REF!</definedName>
    <definedName name="B4S3" localSheetId="0">'[6]95삼성급(본사)'!#REF!</definedName>
    <definedName name="B4S3">'[7]95삼성급(본사)'!#REF!</definedName>
    <definedName name="B6M3" localSheetId="0">'[6]95삼성급(본사)'!#REF!</definedName>
    <definedName name="B6M3">'[7]95삼성급(본사)'!#REF!</definedName>
    <definedName name="B6S3" localSheetId="0">'[6]95삼성급(본사)'!#REF!</definedName>
    <definedName name="B6S3">'[7]95삼성급(본사)'!#REF!</definedName>
    <definedName name="B6W3" localSheetId="0">'[6]95삼성급(본사)'!#REF!</definedName>
    <definedName name="B6W3">'[7]95삼성급(본사)'!#REF!</definedName>
    <definedName name="babo" localSheetId="0">[36]VA_code!$Q$1:$R$31</definedName>
    <definedName name="babo">[37]VA_code!$Q$1:$R$31</definedName>
    <definedName name="backup_link_master_001" localSheetId="0">#REF!</definedName>
    <definedName name="backup_link_master_001">#REF!</definedName>
    <definedName name="BASE" localSheetId="0" hidden="1">{#N/A,#N/A,TRUE,"Basic";#N/A,#N/A,TRUE,"EXT-TABLE";#N/A,#N/A,TRUE,"STEEL";#N/A,#N/A,TRUE,"INT-Table";#N/A,#N/A,TRUE,"STEEL";#N/A,#N/A,TRUE,"Door"}</definedName>
    <definedName name="BASE" hidden="1">{#N/A,#N/A,TRUE,"Basic";#N/A,#N/A,TRUE,"EXT-TABLE";#N/A,#N/A,TRUE,"STEEL";#N/A,#N/A,TRUE,"INT-Table";#N/A,#N/A,TRUE,"STEEL";#N/A,#N/A,TRUE,"Door"}</definedName>
    <definedName name="Base_MATL">#REF!</definedName>
    <definedName name="Base_MD">#REF!</definedName>
    <definedName name="Base_Total_Matl">#REF!</definedName>
    <definedName name="Base_Total_MD">#REF!</definedName>
    <definedName name="basetrav">#REF!</definedName>
    <definedName name="BAT" localSheetId="0">#REF!</definedName>
    <definedName name="BAT">#REF!</definedName>
    <definedName name="BB">#N/A</definedName>
    <definedName name="BBB" localSheetId="0">#REF!</definedName>
    <definedName name="BBB">#REF!</definedName>
    <definedName name="bcd" localSheetId="0" hidden="1">{#N/A,#N/A,TRUE,"Basic";#N/A,#N/A,TRUE,"EXT-TABLE";#N/A,#N/A,TRUE,"STEEL";#N/A,#N/A,TRUE,"INT-Table";#N/A,#N/A,TRUE,"STEEL";#N/A,#N/A,TRUE,"Door"}</definedName>
    <definedName name="bcd" hidden="1">{#N/A,#N/A,TRUE,"Basic";#N/A,#N/A,TRUE,"EXT-TABLE";#N/A,#N/A,TRUE,"STEEL";#N/A,#N/A,TRUE,"INT-Table";#N/A,#N/A,TRUE,"STEEL";#N/A,#N/A,TRUE,"Door"}</definedName>
    <definedName name="bcrclcl100rt" localSheetId="0">'[38]9-1차이내역'!#REF!</definedName>
    <definedName name="bcrclcl100rt">'[39]9-1차이내역'!#REF!</definedName>
    <definedName name="bcrclcl100rtrkrk" localSheetId="0">'[38]9-1차이내역'!#REF!</definedName>
    <definedName name="bcrclcl100rtrkrk">'[39]9-1차이내역'!#REF!</definedName>
    <definedName name="BD1M" localSheetId="0">#REF!</definedName>
    <definedName name="BD1M">#REF!</definedName>
    <definedName name="BD1Y" localSheetId="0">#REF!</definedName>
    <definedName name="BD1Y">#REF!</definedName>
    <definedName name="BD3M" localSheetId="0">#REF!</definedName>
    <definedName name="BD3M">#REF!</definedName>
    <definedName name="BD3Y" localSheetId="0">#REF!</definedName>
    <definedName name="BD3Y">#REF!</definedName>
    <definedName name="Bechtel">#REF!</definedName>
    <definedName name="BELL" localSheetId="0" hidden="1">{#N/A,#N/A,TRUE,"Basic";#N/A,#N/A,TRUE,"EXT-TABLE";#N/A,#N/A,TRUE,"STEEL";#N/A,#N/A,TRUE,"INT-Table";#N/A,#N/A,TRUE,"STEEL";#N/A,#N/A,TRUE,"Door"}</definedName>
    <definedName name="BELL" hidden="1">{#N/A,#N/A,TRUE,"Basic";#N/A,#N/A,TRUE,"EXT-TABLE";#N/A,#N/A,TRUE,"STEEL";#N/A,#N/A,TRUE,"INT-Table";#N/A,#N/A,TRUE,"STEEL";#N/A,#N/A,TRUE,"Door"}</definedName>
    <definedName name="beta" localSheetId="0">#REF!</definedName>
    <definedName name="beta">#REF!</definedName>
    <definedName name="Bfill">#REF!</definedName>
    <definedName name="BJ1M" localSheetId="0">#REF!</definedName>
    <definedName name="BJ1M">#REF!</definedName>
    <definedName name="BJ1Y" localSheetId="0">#REF!</definedName>
    <definedName name="BJ1Y">#REF!</definedName>
    <definedName name="BJ3M" localSheetId="0">#REF!</definedName>
    <definedName name="BJ3M">#REF!</definedName>
    <definedName name="BJ3Y" localSheetId="0">#REF!</definedName>
    <definedName name="BJ3Y">#REF!</definedName>
    <definedName name="BKW">#REF!</definedName>
    <definedName name="bldg1" localSheetId="0">[40]BLDG_DCI!$G$10:$G$121</definedName>
    <definedName name="bldg1">[41]BLDG_DCI!$G$10:$G$121</definedName>
    <definedName name="BLDG1_MCI" localSheetId="0">[40]BLDG_MCI!$E$8:$E$13</definedName>
    <definedName name="BLDG1_MCI">[41]BLDG_MCI!$E$8:$E$13</definedName>
    <definedName name="bldg2" localSheetId="0">[40]BLDG_DCI!$H$10:$H$121</definedName>
    <definedName name="bldg2">[41]BLDG_DCI!$H$10:$H$121</definedName>
    <definedName name="BLDG2_MCI" localSheetId="0">[40]BLDG_MCI!$F$8:$F$13</definedName>
    <definedName name="BLDG2_MCI">[41]BLDG_MCI!$F$8:$F$13</definedName>
    <definedName name="bldg3" localSheetId="0">[40]BLDG_DCI!$I$10:$I$121</definedName>
    <definedName name="bldg3">[41]BLDG_DCI!$I$10:$I$121</definedName>
    <definedName name="BLDG3_MCI" localSheetId="0">[40]BLDG_MCI!$G$8:$G$13</definedName>
    <definedName name="BLDG3_MCI">[41]BLDG_MCI!$G$8:$G$13</definedName>
    <definedName name="bldg4" localSheetId="0">[40]BLDG_DCI!$J$10:$J$121</definedName>
    <definedName name="bldg4">[41]BLDG_DCI!$J$10:$J$121</definedName>
    <definedName name="BLDG4_MCI" localSheetId="0">[40]BLDG_MCI!$H$8:$H$139</definedName>
    <definedName name="BLDG4_MCI">[41]BLDG_MCI!$H$8:$H$139</definedName>
    <definedName name="bldg5" localSheetId="0">[40]BLDG_DCI!$K$10:$K$121</definedName>
    <definedName name="bldg5">[41]BLDG_DCI!$K$10:$K$121</definedName>
    <definedName name="BLDG5_MCI" localSheetId="0">[40]BLDG_MCI!$I$8:$I$13</definedName>
    <definedName name="BLDG5_MCI">[41]BLDG_MCI!$I$8:$I$13</definedName>
    <definedName name="bldg6" localSheetId="0">[40]BLDG_DCI!$L$10:$L$121</definedName>
    <definedName name="bldg6">[41]BLDG_DCI!$L$10:$L$121</definedName>
    <definedName name="BLDG6_MCI" localSheetId="0">[40]BLDG_MCI!$J$8:$J$13</definedName>
    <definedName name="BLDG6_MCI">[41]BLDG_MCI!$J$8:$J$13</definedName>
    <definedName name="bldg7" localSheetId="0">[40]BLDG_DCI!$M$10:$M$121</definedName>
    <definedName name="bldg7">[41]BLDG_DCI!$M$10:$M$121</definedName>
    <definedName name="BLDG7_MCI" localSheetId="0">[40]BLDG_MCI!$K$8:$K$13</definedName>
    <definedName name="BLDG7_MCI">[41]BLDG_MCI!$K$8:$K$13</definedName>
    <definedName name="BLDG8">[41]BLDG_MCI!#REF!</definedName>
    <definedName name="BLDG9">[41]BLDG_MCI!#REF!</definedName>
    <definedName name="BM.1">#REF!</definedName>
    <definedName name="BM.AFC">#REF!</definedName>
    <definedName name="bmsum" localSheetId="0">#REF!</definedName>
    <definedName name="bmsum">#REF!</definedName>
    <definedName name="bmsum_IdentGroup" localSheetId="0">#REF!</definedName>
    <definedName name="bmsum_IdentGroup">#REF!</definedName>
    <definedName name="BOQ_SUM_area" localSheetId="0">#REF!</definedName>
    <definedName name="BOQ_SUM_area">#REF!</definedName>
    <definedName name="BP">#REF!</definedName>
    <definedName name="BQ_Area">#REF!</definedName>
    <definedName name="BSD">'[42]BSD (2)'!#REF!</definedName>
    <definedName name="BTW" localSheetId="0">#REF!</definedName>
    <definedName name="BTW">#REF!</definedName>
    <definedName name="bu" localSheetId="0">[43]PRO_A!$B$133:$B$147</definedName>
    <definedName name="bu">[44]PRO_A!$B$133:$B$147</definedName>
    <definedName name="BUDGQTY">[45]Sheet5!#REF!</definedName>
    <definedName name="Build">#REF!</definedName>
    <definedName name="BY4S3" localSheetId="0">'[6]95삼성급(본사)'!#REF!</definedName>
    <definedName name="BY4S3">'[7]95삼성급(본사)'!#REF!</definedName>
    <definedName name="BY6M3" localSheetId="0">'[6]95삼성급(본사)'!#REF!</definedName>
    <definedName name="BY6M3">'[7]95삼성급(본사)'!#REF!</definedName>
    <definedName name="BY6S3" localSheetId="0">'[6]95삼성급(본사)'!#REF!</definedName>
    <definedName name="BY6S3">'[7]95삼성급(본사)'!#REF!</definedName>
    <definedName name="BY6W3" localSheetId="0">'[6]95삼성급(본사)'!#REF!</definedName>
    <definedName name="BY6W3">'[7]95삼성급(본사)'!#REF!</definedName>
    <definedName name="BYBJ3" localSheetId="0">'[6]95삼성급(본사)'!#REF!</definedName>
    <definedName name="BYBJ3">'[7]95삼성급(본사)'!#REF!</definedName>
    <definedName name="BYCJ3" localSheetId="0">'[6]95삼성급(본사)'!#REF!</definedName>
    <definedName name="BYCJ3">'[7]95삼성급(본사)'!#REF!</definedName>
    <definedName name="BYDR3" localSheetId="0">'[6]95삼성급(본사)'!#REF!</definedName>
    <definedName name="BYDR3">'[7]95삼성급(본사)'!#REF!</definedName>
    <definedName name="BYGJ3" localSheetId="0">'[6]95삼성급(본사)'!#REF!</definedName>
    <definedName name="BYGJ3">'[7]95삼성급(본사)'!#REF!</definedName>
    <definedName name="c_bldg" localSheetId="0">[40]BLDG_DCI!$D$10:$D$121</definedName>
    <definedName name="c_bldg">[41]BLDG_DCI!$D$10:$D$121</definedName>
    <definedName name="c_elec" localSheetId="0">#REF!</definedName>
    <definedName name="c_elec">#REF!</definedName>
    <definedName name="c_inst" localSheetId="0">#REF!</definedName>
    <definedName name="c_inst">#REF!</definedName>
    <definedName name="c_margin" localSheetId="0">#REF!</definedName>
    <definedName name="c_margin">#REF!</definedName>
    <definedName name="c_mech" localSheetId="0">#REF!</definedName>
    <definedName name="c_mech">#REF!</definedName>
    <definedName name="c_pipe" localSheetId="0">#REF!</definedName>
    <definedName name="c_pipe">#REF!</definedName>
    <definedName name="c_pro" localSheetId="0">#REF!</definedName>
    <definedName name="c_pro">#REF!</definedName>
    <definedName name="C¨ª￠?UAI￠?ⓒªAⓒ￢AI" localSheetId="0">[46]주관사업!#REF!</definedName>
    <definedName name="C¨ª￠?UAI￠?ⓒªAⓒ￢AI">[47]주관사업!#REF!</definedName>
    <definedName name="CA">#N/A</definedName>
    <definedName name="calc_program_note_001" localSheetId="0">#REF!</definedName>
    <definedName name="calc_program_note_001">#REF!</definedName>
    <definedName name="calc_user_note_001" localSheetId="0">#REF!</definedName>
    <definedName name="calc_user_note_001">#REF!</definedName>
    <definedName name="CalcAgencyPrice" localSheetId="0">#REF!</definedName>
    <definedName name="CalcAgencyPrice">#REF!</definedName>
    <definedName name="calib_range_max_001" localSheetId="0">#REF!</definedName>
    <definedName name="calib_range_max_001">#REF!</definedName>
    <definedName name="calib_range_min_001" localSheetId="0">#REF!</definedName>
    <definedName name="calib_range_min_001">#REF!</definedName>
    <definedName name="calib_range_uflg_max_001" localSheetId="0">#REF!</definedName>
    <definedName name="calib_range_uflg_max_001">#REF!</definedName>
    <definedName name="calib_range_uflg_min_001" localSheetId="0">#REF!</definedName>
    <definedName name="calib_range_uflg_min_001">#REF!</definedName>
    <definedName name="calib_range_uom_max_001" localSheetId="0">#REF!</definedName>
    <definedName name="calib_range_uom_max_001">#REF!</definedName>
    <definedName name="calib_range_uom_min_001" localSheetId="0">#REF!</definedName>
    <definedName name="calib_range_uom_min_001">#REF!</definedName>
    <definedName name="capacitance_001" localSheetId="0">#REF!</definedName>
    <definedName name="capacitance_001">#REF!</definedName>
    <definedName name="capacitance_uom_001" localSheetId="0">#REF!</definedName>
    <definedName name="capacitance_uom_001">#REF!</definedName>
    <definedName name="case_id_001" localSheetId="0">#REF!</definedName>
    <definedName name="case_id_001">#REF!</definedName>
    <definedName name="CATEGORY" localSheetId="0">#REF!</definedName>
    <definedName name="CATEGORY">#REF!</definedName>
    <definedName name="CBL600V" localSheetId="0">#REF!</definedName>
    <definedName name="CBL600V">#REF!</definedName>
    <definedName name="CBL6KV" localSheetId="0">#REF!</definedName>
    <definedName name="CBL6KV">#REF!</definedName>
    <definedName name="CC">#N/A</definedName>
    <definedName name="CCC" localSheetId="0">#REF!</definedName>
    <definedName name="CCC">#REF!</definedName>
    <definedName name="CD">#REF!</definedName>
    <definedName name="cell_001" localSheetId="0">#REF!</definedName>
    <definedName name="cell_001">#REF!</definedName>
    <definedName name="CellReferencingOff">"Option Button 2"</definedName>
    <definedName name="CellReferencingOn">"Option Button 1"</definedName>
    <definedName name="CERT" localSheetId="0">[34]data_mci!$P$8:$P$126</definedName>
    <definedName name="CERT">[35]data_mci!$P$8:$P$126</definedName>
    <definedName name="CHECK" localSheetId="0">#REF!</definedName>
    <definedName name="CHECK">#REF!</definedName>
    <definedName name="chg_date_001" localSheetId="0">#REF!</definedName>
    <definedName name="chg_date_001">#REF!</definedName>
    <definedName name="chg_num_001" localSheetId="0">#REF!</definedName>
    <definedName name="chg_num_001">#REF!</definedName>
    <definedName name="chg_status_001" localSheetId="0">#REF!</definedName>
    <definedName name="chg_status_001">#REF!</definedName>
    <definedName name="chl" localSheetId="0" hidden="1">{#N/A,#N/A,TRUE,"Basic";#N/A,#N/A,TRUE,"EXT-TABLE";#N/A,#N/A,TRUE,"STEEL";#N/A,#N/A,TRUE,"INT-Table";#N/A,#N/A,TRUE,"STEEL";#N/A,#N/A,TRUE,"Door"}</definedName>
    <definedName name="chl" hidden="1">{#N/A,#N/A,TRUE,"Basic";#N/A,#N/A,TRUE,"EXT-TABLE";#N/A,#N/A,TRUE,"STEEL";#N/A,#N/A,TRUE,"INT-Table";#N/A,#N/A,TRUE,"STEEL";#N/A,#N/A,TRUE,"Door"}</definedName>
    <definedName name="CIB" localSheetId="0">#REF!</definedName>
    <definedName name="CIB">#REF!</definedName>
    <definedName name="circuit_001" localSheetId="0">#REF!</definedName>
    <definedName name="circuit_001">#REF!</definedName>
    <definedName name="circuit_id_001" localSheetId="0">#REF!</definedName>
    <definedName name="circuit_id_001">#REF!</definedName>
    <definedName name="CJ1M" localSheetId="0">#REF!</definedName>
    <definedName name="CJ1M">#REF!</definedName>
    <definedName name="CJ1Y" localSheetId="0">#REF!</definedName>
    <definedName name="CJ1Y">#REF!</definedName>
    <definedName name="CJ3M" localSheetId="0">#REF!</definedName>
    <definedName name="CJ3M">#REF!</definedName>
    <definedName name="CJ3Y" localSheetId="0">#REF!</definedName>
    <definedName name="CJ3Y">#REF!</definedName>
    <definedName name="ClearSheet" localSheetId="0">[0]!ClearSheet</definedName>
    <definedName name="ClearSheet">#N/A</definedName>
    <definedName name="ClearSheet1" localSheetId="0">Cover!ClearSheet</definedName>
    <definedName name="ClearSheet1">[0]!ClearSheet</definedName>
    <definedName name="Clearsheet2" localSheetId="0">[0]!Clearsheet2</definedName>
    <definedName name="Clearsheet2">#N/A</definedName>
    <definedName name="cli">#REF!</definedName>
    <definedName name="clss" localSheetId="0">[36]VA_code!$Q$1:$R$31</definedName>
    <definedName name="clss">[37]VA_code!$Q$1:$R$31</definedName>
    <definedName name="cmpnt_certif_id_001" localSheetId="0">#REF!</definedName>
    <definedName name="cmpnt_certif_id_001">#REF!</definedName>
    <definedName name="cmpnt_critical_id_001" localSheetId="0">#REF!</definedName>
    <definedName name="cmpnt_critical_id_001">#REF!</definedName>
    <definedName name="cmpnt_find_rem_001" localSheetId="0">#REF!</definedName>
    <definedName name="cmpnt_find_rem_001">#REF!</definedName>
    <definedName name="cmpnt_func_type_id_001" localSheetId="0">#REF!</definedName>
    <definedName name="cmpnt_func_type_id_001">#REF!</definedName>
    <definedName name="cmpnt_id_001" localSheetId="0">#REF!</definedName>
    <definedName name="cmpnt_id_001">#REF!</definedName>
    <definedName name="cmpnt_is_circuite_type_id_001" localSheetId="0">#REF!</definedName>
    <definedName name="cmpnt_is_circuite_type_id_001">#REF!</definedName>
    <definedName name="cmpnt_loc_id_001" localSheetId="0">#REF!</definedName>
    <definedName name="cmpnt_loc_id_001">#REF!</definedName>
    <definedName name="cmpnt_mfr_id_001" localSheetId="0">#REF!</definedName>
    <definedName name="cmpnt_mfr_id_001">#REF!</definedName>
    <definedName name="cmpnt_mod_id_001" localSheetId="0">#REF!</definedName>
    <definedName name="cmpnt_mod_id_001">#REF!</definedName>
    <definedName name="cmpnt_name" localSheetId="0">#REF!</definedName>
    <definedName name="cmpnt_name">#REF!</definedName>
    <definedName name="cmpnt_name_001" localSheetId="0">#REF!</definedName>
    <definedName name="cmpnt_name_001">#REF!</definedName>
    <definedName name="cmpnt_serv" localSheetId="0">#REF!</definedName>
    <definedName name="cmpnt_serv">#REF!</definedName>
    <definedName name="cmpnt_serv_001" localSheetId="0">#REF!</definedName>
    <definedName name="cmpnt_serv_001">#REF!</definedName>
    <definedName name="cmpnt_sys_io_type_id_001" localSheetId="0">#REF!</definedName>
    <definedName name="cmpnt_sys_io_type_id_001">#REF!</definedName>
    <definedName name="cmpnt_type_id_001" localSheetId="0">#REF!</definedName>
    <definedName name="cmpnt_type_id_001">#REF!</definedName>
    <definedName name="CØ¿UAI¿øAßAI" localSheetId="0">[46]주관사업!#REF!</definedName>
    <definedName name="CØ¿UAI¿øAßAI">[47]주관사업!#REF!</definedName>
    <definedName name="COA_10">#REF!</definedName>
    <definedName name="COA_11">#REF!</definedName>
    <definedName name="COA_12">#REF!</definedName>
    <definedName name="COA_13">#REF!</definedName>
    <definedName name="COA_14">#REF!</definedName>
    <definedName name="COA_15">#REF!</definedName>
    <definedName name="COA_16">#REF!</definedName>
    <definedName name="COA_17">#REF!</definedName>
    <definedName name="COA_18">#REF!</definedName>
    <definedName name="COA_19">#REF!</definedName>
    <definedName name="COA_20">#REF!</definedName>
    <definedName name="COA_30">#REF!</definedName>
    <definedName name="COA_40">#REF!</definedName>
    <definedName name="COA_51">#REF!</definedName>
    <definedName name="COA_52">#REF!</definedName>
    <definedName name="COA_53">#REF!</definedName>
    <definedName name="COA_54">#REF!</definedName>
    <definedName name="COA_55">#REF!</definedName>
    <definedName name="COA_60">#REF!</definedName>
    <definedName name="COA_70">#REF!</definedName>
    <definedName name="COA_80">#REF!</definedName>
    <definedName name="COA_90">#REF!</definedName>
    <definedName name="COA50A">#REF!</definedName>
    <definedName name="COA50B">#REF!</definedName>
    <definedName name="Coal" localSheetId="0">#REF!</definedName>
    <definedName name="Coal">#REF!</definedName>
    <definedName name="coat" localSheetId="0">#REF!</definedName>
    <definedName name="coat">#REF!</definedName>
    <definedName name="Coating">#REF!</definedName>
    <definedName name="ⓒoe¨￢Iⓒø¡i￠?¨￡" localSheetId="0">[31]주관사업!#REF!</definedName>
    <definedName name="ⓒoe¨￢Iⓒø¡i￠?¨￡">[4]주관사업!#REF!</definedName>
    <definedName name="col_I" localSheetId="0">#REF!</definedName>
    <definedName name="col_I">#REF!</definedName>
    <definedName name="Cold_Insulation" localSheetId="0">#REF!</definedName>
    <definedName name="Cold_Insulation">#REF!</definedName>
    <definedName name="Commission" localSheetId="0">#REF!</definedName>
    <definedName name="Commission">#REF!</definedName>
    <definedName name="comp_pd_design_temp_uid_001" localSheetId="0">#REF!</definedName>
    <definedName name="comp_pd_design_temp_uid_001">#REF!</definedName>
    <definedName name="comp_pd_press_des_min_uid_001" localSheetId="0">#REF!</definedName>
    <definedName name="comp_pd_press_des_min_uid_001">#REF!</definedName>
    <definedName name="comp_pd_press_des_uid_001" localSheetId="0">#REF!</definedName>
    <definedName name="comp_pd_press_des_uid_001">#REF!</definedName>
    <definedName name="comp_pd_temp_uid_001" localSheetId="0">#REF!</definedName>
    <definedName name="comp_pd_temp_uid_001">#REF!</definedName>
    <definedName name="comp_press_uom_001" localSheetId="0">#REF!</definedName>
    <definedName name="comp_press_uom_001">#REF!</definedName>
    <definedName name="comp_press_uom_1_001" localSheetId="0">#REF!</definedName>
    <definedName name="comp_press_uom_1_001">#REF!</definedName>
    <definedName name="Company">#REF!</definedName>
    <definedName name="ConcatenateFrom">#REF!</definedName>
    <definedName name="ConcatenateTo">#REF!</definedName>
    <definedName name="ConCatLine">#REF!</definedName>
    <definedName name="ConCatSPPID">#REF!</definedName>
    <definedName name="CONFIT">[48]PBS!$2:$7</definedName>
    <definedName name="CONSUM">#REF!</definedName>
    <definedName name="Contract">#REF!</definedName>
    <definedName name="Contractor">#REF!</definedName>
    <definedName name="COS">#REF!</definedName>
    <definedName name="cost" localSheetId="0" hidden="1">{#N/A,#N/A,TRUE,"Basic";#N/A,#N/A,TRUE,"EXT-TABLE";#N/A,#N/A,TRUE,"STEEL";#N/A,#N/A,TRUE,"INT-Table";#N/A,#N/A,TRUE,"STEEL";#N/A,#N/A,TRUE,"Door"}</definedName>
    <definedName name="cost" hidden="1">{#N/A,#N/A,TRUE,"Basic";#N/A,#N/A,TRUE,"EXT-TABLE";#N/A,#N/A,TRUE,"STEEL";#N/A,#N/A,TRUE,"INT-Table";#N/A,#N/A,TRUE,"STEEL";#N/A,#N/A,TRUE,"Door"}</definedName>
    <definedName name="COST2" localSheetId="0" hidden="1">{#N/A,#N/A,TRUE,"Basic";#N/A,#N/A,TRUE,"EXT-TABLE";#N/A,#N/A,TRUE,"STEEL";#N/A,#N/A,TRUE,"INT-Table";#N/A,#N/A,TRUE,"STEEL";#N/A,#N/A,TRUE,"Door"}</definedName>
    <definedName name="COST2" hidden="1">{#N/A,#N/A,TRUE,"Basic";#N/A,#N/A,TRUE,"EXT-TABLE";#N/A,#N/A,TRUE,"STEEL";#N/A,#N/A,TRUE,"INT-Table";#N/A,#N/A,TRUE,"STEEL";#N/A,#N/A,TRUE,"Door"}</definedName>
    <definedName name="cover" localSheetId="0" hidden="1">#REF!</definedName>
    <definedName name="cover" hidden="1">#REF!</definedName>
    <definedName name="Cover_Type" localSheetId="0">#REF!</definedName>
    <definedName name="Cover_Type">#REF!</definedName>
    <definedName name="cover_Type2" localSheetId="0">#REF!</definedName>
    <definedName name="cover_Type2">#REF!</definedName>
    <definedName name="COVER1111" localSheetId="0" hidden="1">#REF!</definedName>
    <definedName name="COVER1111" hidden="1">#REF!</definedName>
    <definedName name="cpf" localSheetId="0" hidden="1">{#N/A,#N/A,TRUE,"Basic";#N/A,#N/A,TRUE,"EXT-TABLE";#N/A,#N/A,TRUE,"STEEL";#N/A,#N/A,TRUE,"INT-Table";#N/A,#N/A,TRUE,"STEEL";#N/A,#N/A,TRUE,"Door"}</definedName>
    <definedName name="cpf" hidden="1">{#N/A,#N/A,TRUE,"Basic";#N/A,#N/A,TRUE,"EXT-TABLE";#N/A,#N/A,TRUE,"STEEL";#N/A,#N/A,TRUE,"INT-Table";#N/A,#N/A,TRUE,"STEEL";#N/A,#N/A,TRUE,"Door"}</definedName>
    <definedName name="crush_s" localSheetId="0">#REF!</definedName>
    <definedName name="crush_s">#REF!</definedName>
    <definedName name="Currency">#REF!</definedName>
    <definedName name="Currency_Mat">#REF!</definedName>
    <definedName name="CurrentData" localSheetId="0">#REF!</definedName>
    <definedName name="CurrentData">#REF!</definedName>
    <definedName name="cut" localSheetId="0">[34]behind!$F$4</definedName>
    <definedName name="cut">[35]behind!$F$4</definedName>
    <definedName name="cutoff" localSheetId="0">[34]Main!$C$3</definedName>
    <definedName name="cutoff">[35]Main!$C$3</definedName>
    <definedName name="CV_1">#REF!</definedName>
    <definedName name="CV_11">#REF!</definedName>
    <definedName name="CV_12">#REF!</definedName>
    <definedName name="CV_13">#REF!</definedName>
    <definedName name="CV_14">#REF!</definedName>
    <definedName name="CV_15">#REF!</definedName>
    <definedName name="CV_16">#REF!</definedName>
    <definedName name="CV_17">#REF!</definedName>
    <definedName name="CV_18">#REF!</definedName>
    <definedName name="CV_19">#REF!</definedName>
    <definedName name="CV_20">#REF!</definedName>
    <definedName name="CV_30">#REF!</definedName>
    <definedName name="CV_40">#REF!</definedName>
    <definedName name="CV_50">#REF!</definedName>
    <definedName name="CV_60">#REF!</definedName>
    <definedName name="CV_70">#REF!</definedName>
    <definedName name="CV_80">#REF!</definedName>
    <definedName name="cycl11" localSheetId="0">#REF!</definedName>
    <definedName name="cycl11">#REF!</definedName>
    <definedName name="cycl12" localSheetId="0">#REF!</definedName>
    <definedName name="cycl12">#REF!</definedName>
    <definedName name="D" localSheetId="0">#REF!</definedName>
    <definedName name="d">BlankMacro1</definedName>
    <definedName name="D01_">[45]Sheet5!#REF!</definedName>
    <definedName name="D02_">[45]Sheet5!#REF!</definedName>
    <definedName name="D03_">[45]Sheet5!#REF!</definedName>
    <definedName name="D04_">[45]Sheet5!#REF!</definedName>
    <definedName name="DaRWk1" localSheetId="0">#REF!</definedName>
    <definedName name="DaRWk1">#REF!</definedName>
    <definedName name="DaRWk10" localSheetId="0">#REF!</definedName>
    <definedName name="DaRWk10">#REF!</definedName>
    <definedName name="DaRWk11" localSheetId="0">#REF!</definedName>
    <definedName name="DaRWk11">#REF!</definedName>
    <definedName name="DaRWk12" localSheetId="0">#REF!</definedName>
    <definedName name="DaRWk12">#REF!</definedName>
    <definedName name="DaRWk2" localSheetId="0">#REF!</definedName>
    <definedName name="DaRWk2">#REF!</definedName>
    <definedName name="DaRWk3" localSheetId="0">#REF!</definedName>
    <definedName name="DaRWk3">#REF!</definedName>
    <definedName name="DaRWk4" localSheetId="0">#REF!</definedName>
    <definedName name="DaRWk4">#REF!</definedName>
    <definedName name="DaRWk5" localSheetId="0">#REF!</definedName>
    <definedName name="DaRWk5">#REF!</definedName>
    <definedName name="DaRWk6" localSheetId="0">#REF!</definedName>
    <definedName name="DaRWk6">#REF!</definedName>
    <definedName name="DaRWk8" localSheetId="0">#REF!</definedName>
    <definedName name="DaRWk8">#REF!</definedName>
    <definedName name="DaRwk9" localSheetId="0">#REF!</definedName>
    <definedName name="DaRwk9">#REF!</definedName>
    <definedName name="Data">#REF!</definedName>
    <definedName name="_xlnm.Database" localSheetId="0">#REF!</definedName>
    <definedName name="_xlnm.Database">#REF!</definedName>
    <definedName name="Database_MI">#REF!</definedName>
    <definedName name="database2">#REF!</definedName>
    <definedName name="DATACURRENT" localSheetId="0">#REF!</definedName>
    <definedName name="DATACURRENT">#REF!</definedName>
    <definedName name="datb">#REF!</definedName>
    <definedName name="datc">#REF!</definedName>
    <definedName name="DATE" localSheetId="0">#REF!</definedName>
    <definedName name="DATE">#REF!</definedName>
    <definedName name="DaWk7" localSheetId="0">#REF!</definedName>
    <definedName name="DaWk7">#REF!</definedName>
    <definedName name="dbrwk1" localSheetId="0">#REF!</definedName>
    <definedName name="dbrwk1">#REF!</definedName>
    <definedName name="dbrwk10" localSheetId="0">#REF!</definedName>
    <definedName name="dbrwk10">#REF!</definedName>
    <definedName name="dbrwk11" localSheetId="0">#REF!</definedName>
    <definedName name="dbrwk11">#REF!</definedName>
    <definedName name="dbrwk12" localSheetId="0">#REF!</definedName>
    <definedName name="dbrwk12">#REF!</definedName>
    <definedName name="dbrwk2" localSheetId="0">#REF!</definedName>
    <definedName name="dbrwk2">#REF!</definedName>
    <definedName name="dbrwk3" localSheetId="0">#REF!</definedName>
    <definedName name="dbrwk3">#REF!</definedName>
    <definedName name="dbrwk4" localSheetId="0">#REF!</definedName>
    <definedName name="dbrwk4">#REF!</definedName>
    <definedName name="dbrwk5" localSheetId="0">#REF!</definedName>
    <definedName name="dbrwk5">#REF!</definedName>
    <definedName name="dbrwk6" localSheetId="0">#REF!</definedName>
    <definedName name="dbrwk6">#REF!</definedName>
    <definedName name="dbrwk7" localSheetId="0">#REF!</definedName>
    <definedName name="dbrwk7">#REF!</definedName>
    <definedName name="dbrwk8" localSheetId="0">#REF!</definedName>
    <definedName name="dbrwk8">#REF!</definedName>
    <definedName name="dbrwk9" localSheetId="0">#REF!</definedName>
    <definedName name="dbrwk9">#REF!</definedName>
    <definedName name="dcrwk1" localSheetId="0">#REF!</definedName>
    <definedName name="dcrwk1">#REF!</definedName>
    <definedName name="dcrwk10" localSheetId="0">#REF!</definedName>
    <definedName name="dcrwk10">#REF!</definedName>
    <definedName name="dcrwk11" localSheetId="0">#REF!</definedName>
    <definedName name="dcrwk11">#REF!</definedName>
    <definedName name="dcrwk12" localSheetId="0">#REF!</definedName>
    <definedName name="dcrwk12">#REF!</definedName>
    <definedName name="dcrwk2" localSheetId="0">#REF!</definedName>
    <definedName name="dcrwk2">#REF!</definedName>
    <definedName name="dcrwk3" localSheetId="0">#REF!</definedName>
    <definedName name="dcrwk3">#REF!</definedName>
    <definedName name="dcrwk4" localSheetId="0">#REF!</definedName>
    <definedName name="dcrwk4">#REF!</definedName>
    <definedName name="dcrwk5" localSheetId="0">#REF!</definedName>
    <definedName name="dcrwk5">#REF!</definedName>
    <definedName name="dcrwk6" localSheetId="0">#REF!</definedName>
    <definedName name="dcrwk6">#REF!</definedName>
    <definedName name="dcrwk7" localSheetId="0">#REF!</definedName>
    <definedName name="dcrwk7">#REF!</definedName>
    <definedName name="dcrwk8" localSheetId="0">#REF!</definedName>
    <definedName name="dcrwk8">#REF!</definedName>
    <definedName name="dcrwk9" localSheetId="0">#REF!</definedName>
    <definedName name="dcrwk9">#REF!</definedName>
    <definedName name="dcs_range_max_001" localSheetId="0">#REF!</definedName>
    <definedName name="dcs_range_max_001">#REF!</definedName>
    <definedName name="dcs_range_min_001" localSheetId="0">#REF!</definedName>
    <definedName name="dcs_range_min_001">#REF!</definedName>
    <definedName name="dcs_range_uflg_001" localSheetId="0">#REF!</definedName>
    <definedName name="dcs_range_uflg_001">#REF!</definedName>
    <definedName name="dcs_range_uom_001" localSheetId="0">#REF!</definedName>
    <definedName name="dcs_range_uom_001">#REF!</definedName>
    <definedName name="dd" localSheetId="0">[49]eq_data!$C$5:$C$54</definedName>
    <definedName name="DD">'[3]97 사업추정(WEKI)'!#REF!</definedName>
    <definedName name="DDD" localSheetId="0">'[50]97 사업추정(WEKI)'!#REF!</definedName>
    <definedName name="DDD">'[51]97 사업추정(WEKI)'!#REF!</definedName>
    <definedName name="ddddd" localSheetId="0" hidden="1">{#N/A,#N/A,TRUE,"Basic";#N/A,#N/A,TRUE,"EXT-TABLE";#N/A,#N/A,TRUE,"STEEL";#N/A,#N/A,TRUE,"INT-Table";#N/A,#N/A,TRUE,"STEEL";#N/A,#N/A,TRUE,"Door"}</definedName>
    <definedName name="ddddd" hidden="1">{#N/A,#N/A,TRUE,"Basic";#N/A,#N/A,TRUE,"EXT-TABLE";#N/A,#N/A,TRUE,"STEEL";#N/A,#N/A,TRUE,"INT-Table";#N/A,#N/A,TRUE,"STEEL";#N/A,#N/A,TRUE,"Door"}</definedName>
    <definedName name="dddddddddddddd" localSheetId="0" hidden="1">{#N/A,#N/A,TRUE,"Basic";#N/A,#N/A,TRUE,"EXT-TABLE";#N/A,#N/A,TRUE,"STEEL";#N/A,#N/A,TRUE,"INT-Table";#N/A,#N/A,TRUE,"STEEL";#N/A,#N/A,TRUE,"Door"}</definedName>
    <definedName name="dddddddddddddd" hidden="1">{#N/A,#N/A,TRUE,"Basic";#N/A,#N/A,TRUE,"EXT-TABLE";#N/A,#N/A,TRUE,"STEEL";#N/A,#N/A,TRUE,"INT-Table";#N/A,#N/A,TRUE,"STEEL";#N/A,#N/A,TRUE,"Door"}</definedName>
    <definedName name="ddf" localSheetId="0">[0]!ddf</definedName>
    <definedName name="ddf">#N/A</definedName>
    <definedName name="DEC.GH">#REF!</definedName>
    <definedName name="Del_P">#REF!</definedName>
    <definedName name="DelDC" localSheetId="0">#REF!</definedName>
    <definedName name="DelDC">#REF!</definedName>
    <definedName name="DelDm" localSheetId="0">#REF!</definedName>
    <definedName name="DelDm">#REF!</definedName>
    <definedName name="DELET">#REF!</definedName>
    <definedName name="Delivery" localSheetId="0">#REF!</definedName>
    <definedName name="Delivery">#REF!</definedName>
    <definedName name="DelType" localSheetId="0">#REF!</definedName>
    <definedName name="DelType">#REF!</definedName>
    <definedName name="DelUnWantedLines">#REF!</definedName>
    <definedName name="deptLookup" localSheetId="0">#REF!</definedName>
    <definedName name="deptLookup">#REF!</definedName>
    <definedName name="DESC">#REF!</definedName>
    <definedName name="desu11" localSheetId="0">#REF!</definedName>
    <definedName name="desu11">#REF!</definedName>
    <definedName name="desu12" localSheetId="0">#REF!</definedName>
    <definedName name="desu12">#REF!</definedName>
    <definedName name="DETAIL">#N/A</definedName>
    <definedName name="DF" localSheetId="0">[22]수입!#REF!</definedName>
    <definedName name="DF">[52]수입!#REF!</definedName>
    <definedName name="DFAF">#REF!</definedName>
    <definedName name="dfe">#REF!</definedName>
    <definedName name="DG">#REF!</definedName>
    <definedName name="dgagd" localSheetId="0" hidden="1">{#N/A,#N/A,TRUE,"Basic";#N/A,#N/A,TRUE,"EXT-TABLE";#N/A,#N/A,TRUE,"STEEL";#N/A,#N/A,TRUE,"INT-Table";#N/A,#N/A,TRUE,"STEEL";#N/A,#N/A,TRUE,"Door"}</definedName>
    <definedName name="dgagd" hidden="1">{#N/A,#N/A,TRUE,"Basic";#N/A,#N/A,TRUE,"EXT-TABLE";#N/A,#N/A,TRUE,"STEEL";#N/A,#N/A,TRUE,"INT-Table";#N/A,#N/A,TRUE,"STEEL";#N/A,#N/A,TRUE,"Door"}</definedName>
    <definedName name="dge">#REF!</definedName>
    <definedName name="Dia.1" localSheetId="0">#REF!</definedName>
    <definedName name="Dia.1">#REF!</definedName>
    <definedName name="Dia.2">#REF!</definedName>
    <definedName name="DIGN" localSheetId="0" hidden="1">{#N/A,#N/A,TRUE,"Basic";#N/A,#N/A,TRUE,"EXT-TABLE";#N/A,#N/A,TRUE,"STEEL";#N/A,#N/A,TRUE,"INT-Table";#N/A,#N/A,TRUE,"STEEL";#N/A,#N/A,TRUE,"Door"}</definedName>
    <definedName name="DIGN" hidden="1">{#N/A,#N/A,TRUE,"Basic";#N/A,#N/A,TRUE,"EXT-TABLE";#N/A,#N/A,TRUE,"STEEL";#N/A,#N/A,TRUE,"INT-Table";#N/A,#N/A,TRUE,"STEEL";#N/A,#N/A,TRUE,"Door"}</definedName>
    <definedName name="disc" localSheetId="0">[34]data_dci!$E$8:$E$746</definedName>
    <definedName name="disc">[35]data_dci!$E$8:$E$746</definedName>
    <definedName name="DJDJ" localSheetId="0">BlankMacro1</definedName>
    <definedName name="DJDJ">BlankMacro1</definedName>
    <definedName name="DK">#REF!</definedName>
    <definedName name="DKDLFJKDS" localSheetId="0" hidden="1">{#N/A,#N/A,TRUE,"Basic";#N/A,#N/A,TRUE,"EXT-TABLE";#N/A,#N/A,TRUE,"STEEL";#N/A,#N/A,TRUE,"INT-Table";#N/A,#N/A,TRUE,"STEEL";#N/A,#N/A,TRUE,"Door"}</definedName>
    <definedName name="DKDLFJKDS" hidden="1">{#N/A,#N/A,TRUE,"Basic";#N/A,#N/A,TRUE,"EXT-TABLE";#N/A,#N/A,TRUE,"STEEL";#N/A,#N/A,TRUE,"INT-Table";#N/A,#N/A,TRUE,"STEEL";#N/A,#N/A,TRUE,"Door"}</definedName>
    <definedName name="DM">#REF!</definedName>
    <definedName name="DOC" localSheetId="0">#REF!</definedName>
    <definedName name="DOC">#REF!</definedName>
    <definedName name="Doc_No">#REF!</definedName>
    <definedName name="DR1M" localSheetId="0">#REF!</definedName>
    <definedName name="DR1M">#REF!</definedName>
    <definedName name="DR1Y" localSheetId="0">#REF!</definedName>
    <definedName name="DR1Y">#REF!</definedName>
    <definedName name="DR3M" localSheetId="0">#REF!</definedName>
    <definedName name="DR3M">#REF!</definedName>
    <definedName name="DR3Y" localSheetId="0">#REF!</definedName>
    <definedName name="DR3Y">#REF!</definedName>
    <definedName name="drum11" localSheetId="0">#REF!</definedName>
    <definedName name="drum11">#REF!</definedName>
    <definedName name="drum12" localSheetId="0">#REF!</definedName>
    <definedName name="drum12">#REF!</definedName>
    <definedName name="drum21" localSheetId="0">#REF!</definedName>
    <definedName name="drum21">#REF!</definedName>
    <definedName name="drum22" localSheetId="0">#REF!</definedName>
    <definedName name="drum22">#REF!</definedName>
    <definedName name="dry_weight_001" localSheetId="0">#REF!</definedName>
    <definedName name="dry_weight_001">#REF!</definedName>
    <definedName name="dsa" localSheetId="0" hidden="1">#REF!</definedName>
    <definedName name="dsa" hidden="1">#REF!</definedName>
    <definedName name="DUCT_GONG">#REF!</definedName>
    <definedName name="dumppr" localSheetId="0">#REF!</definedName>
    <definedName name="dumppr">#REF!</definedName>
    <definedName name="dwg_id_001" localSheetId="0">#REF!</definedName>
    <definedName name="dwg_id_001">#REF!</definedName>
    <definedName name="dwg_name" localSheetId="0">#REF!</definedName>
    <definedName name="dwg_name">#REF!</definedName>
    <definedName name="dwg_name_001" localSheetId="0">#REF!</definedName>
    <definedName name="dwg_name_001">#REF!</definedName>
    <definedName name="dwg_schematic_id_001" localSheetId="0">#REF!</definedName>
    <definedName name="dwg_schematic_id_001">#REF!</definedName>
    <definedName name="dwv" localSheetId="0" hidden="1">{#N/A,#N/A,TRUE,"Basic";#N/A,#N/A,TRUE,"EXT-TABLE";#N/A,#N/A,TRUE,"STEEL";#N/A,#N/A,TRUE,"INT-Table";#N/A,#N/A,TRUE,"STEEL";#N/A,#N/A,TRUE,"Door"}</definedName>
    <definedName name="dwv" hidden="1">{#N/A,#N/A,TRUE,"Basic";#N/A,#N/A,TRUE,"EXT-TABLE";#N/A,#N/A,TRUE,"STEEL";#N/A,#N/A,TRUE,"INT-Table";#N/A,#N/A,TRUE,"STEEL";#N/A,#N/A,TRUE,"Door"}</definedName>
    <definedName name="dx_shape" localSheetId="0">#REF!</definedName>
    <definedName name="dx_shape">#REF!</definedName>
    <definedName name="E" localSheetId="0">#REF!</definedName>
    <definedName name="E">#REF!</definedName>
    <definedName name="e_margin" localSheetId="0">#REF!</definedName>
    <definedName name="e_margin">#REF!</definedName>
    <definedName name="ECF">#REF!</definedName>
    <definedName name="eCIiIi¨­A_I¨￡">#N/A</definedName>
    <definedName name="eCIiIiÞA_Iª">#N/A</definedName>
    <definedName name="EE" localSheetId="0">#REF!</definedName>
    <definedName name="EE">#REF!</definedName>
    <definedName name="eee" localSheetId="0">'[15]h-013211-2'!$Q$4</definedName>
    <definedName name="eee">'[53]h-013211-2'!$Q$4</definedName>
    <definedName name="Ef">#REF!</definedName>
    <definedName name="EH_001_1" localSheetId="0">#REF!</definedName>
    <definedName name="EH_001_1">#REF!</definedName>
    <definedName name="EH_001_10" localSheetId="0">#REF!</definedName>
    <definedName name="EH_001_10">#REF!</definedName>
    <definedName name="EH_001_11" localSheetId="0">#REF!</definedName>
    <definedName name="EH_001_11">#REF!</definedName>
    <definedName name="EH_001_12" localSheetId="0">#REF!</definedName>
    <definedName name="EH_001_12">#REF!</definedName>
    <definedName name="EH_001_13" localSheetId="0">#REF!</definedName>
    <definedName name="EH_001_13">#REF!</definedName>
    <definedName name="EH_001_14" localSheetId="0">#REF!</definedName>
    <definedName name="EH_001_14">#REF!</definedName>
    <definedName name="EH_001_15" localSheetId="0">#REF!</definedName>
    <definedName name="EH_001_15">#REF!</definedName>
    <definedName name="EH_001_16" localSheetId="0">#REF!</definedName>
    <definedName name="EH_001_16">#REF!</definedName>
    <definedName name="EH_001_17" localSheetId="0">#REF!</definedName>
    <definedName name="EH_001_17">#REF!</definedName>
    <definedName name="EH_001_18" localSheetId="0">#REF!</definedName>
    <definedName name="EH_001_18">#REF!</definedName>
    <definedName name="EH_001_2" localSheetId="0">#REF!</definedName>
    <definedName name="EH_001_2">#REF!</definedName>
    <definedName name="EH_001_3" localSheetId="0">#REF!</definedName>
    <definedName name="EH_001_3">#REF!</definedName>
    <definedName name="EH_001_4" localSheetId="0">#REF!</definedName>
    <definedName name="EH_001_4">#REF!</definedName>
    <definedName name="EH_001_5" localSheetId="0">#REF!</definedName>
    <definedName name="EH_001_5">#REF!</definedName>
    <definedName name="EH_001_6" localSheetId="0">#REF!</definedName>
    <definedName name="EH_001_6">#REF!</definedName>
    <definedName name="EH_001_7" localSheetId="0">#REF!</definedName>
    <definedName name="EH_001_7">#REF!</definedName>
    <definedName name="EH_001_8" localSheetId="0">#REF!</definedName>
    <definedName name="EH_001_8">#REF!</definedName>
    <definedName name="EH_001_9" localSheetId="0">#REF!</definedName>
    <definedName name="EH_001_9">#REF!</definedName>
    <definedName name="EH_002_1" localSheetId="0">#REF!</definedName>
    <definedName name="EH_002_1">#REF!</definedName>
    <definedName name="EH_002_10" localSheetId="0">#REF!</definedName>
    <definedName name="EH_002_10">#REF!</definedName>
    <definedName name="EH_002_11" localSheetId="0">#REF!</definedName>
    <definedName name="EH_002_11">#REF!</definedName>
    <definedName name="EH_002_12" localSheetId="0">#REF!</definedName>
    <definedName name="EH_002_12">#REF!</definedName>
    <definedName name="EH_002_13" localSheetId="0">#REF!</definedName>
    <definedName name="EH_002_13">#REF!</definedName>
    <definedName name="EH_002_14" localSheetId="0">#REF!</definedName>
    <definedName name="EH_002_14">#REF!</definedName>
    <definedName name="EH_002_15" localSheetId="0">#REF!</definedName>
    <definedName name="EH_002_15">#REF!</definedName>
    <definedName name="EH_002_16" localSheetId="0">#REF!</definedName>
    <definedName name="EH_002_16">#REF!</definedName>
    <definedName name="EH_002_17" localSheetId="0">#REF!</definedName>
    <definedName name="EH_002_17">#REF!</definedName>
    <definedName name="EH_002_18" localSheetId="0">#REF!</definedName>
    <definedName name="EH_002_18">#REF!</definedName>
    <definedName name="EH_002_2" localSheetId="0">#REF!</definedName>
    <definedName name="EH_002_2">#REF!</definedName>
    <definedName name="EH_002_3" localSheetId="0">#REF!</definedName>
    <definedName name="EH_002_3">#REF!</definedName>
    <definedName name="EH_002_4" localSheetId="0">#REF!</definedName>
    <definedName name="EH_002_4">#REF!</definedName>
    <definedName name="EH_002_5" localSheetId="0">#REF!</definedName>
    <definedName name="EH_002_5">#REF!</definedName>
    <definedName name="EH_002_6" localSheetId="0">#REF!</definedName>
    <definedName name="EH_002_6">#REF!</definedName>
    <definedName name="EH_002_7" localSheetId="0">#REF!</definedName>
    <definedName name="EH_002_7">#REF!</definedName>
    <definedName name="EH_002_8" localSheetId="0">#REF!</definedName>
    <definedName name="EH_002_8">#REF!</definedName>
    <definedName name="EH_002_9" localSheetId="0">#REF!</definedName>
    <definedName name="EH_002_9">#REF!</definedName>
    <definedName name="ELEC">[54]ELEC_DCI!#REF!</definedName>
    <definedName name="ELEC_DO">[54]ELEC_DCI!#REF!</definedName>
    <definedName name="ELEC1" localSheetId="0">#REF!</definedName>
    <definedName name="ELEC1">#REF!</definedName>
    <definedName name="ELEC1_MCI" localSheetId="0">#REF!</definedName>
    <definedName name="ELEC1_MCI">#REF!</definedName>
    <definedName name="ELEC2" localSheetId="0">#REF!</definedName>
    <definedName name="ELEC2">#REF!</definedName>
    <definedName name="ELEC2_MCI" localSheetId="0">#REF!</definedName>
    <definedName name="ELEC2_MCI">#REF!</definedName>
    <definedName name="ELEC3">[54]ELEC_DCI!#REF!</definedName>
    <definedName name="ELEC3_MCI" localSheetId="0">#REF!</definedName>
    <definedName name="ELEC3_MCI">#REF!</definedName>
    <definedName name="ELEC4" localSheetId="0">#REF!</definedName>
    <definedName name="ELEC4">#REF!</definedName>
    <definedName name="ELEC4_MCI" localSheetId="0">#REF!</definedName>
    <definedName name="ELEC4_MCI">#REF!</definedName>
    <definedName name="ELEC5" localSheetId="0">#REF!</definedName>
    <definedName name="ELEC5">#REF!</definedName>
    <definedName name="ELEC5_MCI" localSheetId="0">#REF!</definedName>
    <definedName name="ELEC5_MCI">#REF!</definedName>
    <definedName name="elec6" localSheetId="0">#REF!</definedName>
    <definedName name="elec6">#REF!</definedName>
    <definedName name="ELEC6_MCI" localSheetId="0">#REF!</definedName>
    <definedName name="ELEC6_MCI">#REF!</definedName>
    <definedName name="elec7" localSheetId="0">#REF!</definedName>
    <definedName name="elec7">#REF!</definedName>
    <definedName name="ELEC7_MCI" localSheetId="0">#REF!</definedName>
    <definedName name="ELEC7_MCI">#REF!</definedName>
    <definedName name="ELEC8">[44]ELEC_MCI!#REF!</definedName>
    <definedName name="ELEC9">[44]ELEC_MCI!#REF!</definedName>
    <definedName name="ELECT">#N/A</definedName>
    <definedName name="elect_equip_id_001" localSheetId="0">#REF!</definedName>
    <definedName name="elect_equip_id_001">#REF!</definedName>
    <definedName name="elect_load_equip_id_001" localSheetId="0">#REF!</definedName>
    <definedName name="elect_load_equip_id_001">#REF!</definedName>
    <definedName name="ELECTSUM">#REF!</definedName>
    <definedName name="EM_001_1" localSheetId="0">#REF!</definedName>
    <definedName name="EM_001_1">#REF!</definedName>
    <definedName name="EM_001_10" localSheetId="0">#REF!</definedName>
    <definedName name="EM_001_10">#REF!</definedName>
    <definedName name="EM_001_11" localSheetId="0">#REF!</definedName>
    <definedName name="EM_001_11">#REF!</definedName>
    <definedName name="EM_001_12" localSheetId="0">#REF!</definedName>
    <definedName name="EM_001_12">#REF!</definedName>
    <definedName name="EM_001_13" localSheetId="0">#REF!</definedName>
    <definedName name="EM_001_13">#REF!</definedName>
    <definedName name="EM_001_14" localSheetId="0">#REF!</definedName>
    <definedName name="EM_001_14">#REF!</definedName>
    <definedName name="EM_001_15" localSheetId="0">#REF!</definedName>
    <definedName name="EM_001_15">#REF!</definedName>
    <definedName name="EM_001_16" localSheetId="0">#REF!</definedName>
    <definedName name="EM_001_16">#REF!</definedName>
    <definedName name="EM_001_17" localSheetId="0">#REF!</definedName>
    <definedName name="EM_001_17">#REF!</definedName>
    <definedName name="EM_001_18" localSheetId="0">#REF!</definedName>
    <definedName name="EM_001_18">#REF!</definedName>
    <definedName name="EM_001_2" localSheetId="0">#REF!</definedName>
    <definedName name="EM_001_2">#REF!</definedName>
    <definedName name="EM_001_3" localSheetId="0">#REF!</definedName>
    <definedName name="EM_001_3">#REF!</definedName>
    <definedName name="EM_001_4" localSheetId="0">#REF!</definedName>
    <definedName name="EM_001_4">#REF!</definedName>
    <definedName name="EM_001_5" localSheetId="0">#REF!</definedName>
    <definedName name="EM_001_5">#REF!</definedName>
    <definedName name="EM_001_6" localSheetId="0">#REF!</definedName>
    <definedName name="EM_001_6">#REF!</definedName>
    <definedName name="EM_001_7" localSheetId="0">#REF!</definedName>
    <definedName name="EM_001_7">#REF!</definedName>
    <definedName name="EM_001_8" localSheetId="0">#REF!</definedName>
    <definedName name="EM_001_8">#REF!</definedName>
    <definedName name="EM_001_9" localSheetId="0">#REF!</definedName>
    <definedName name="EM_001_9">#REF!</definedName>
    <definedName name="EM_002_1" localSheetId="0">#REF!</definedName>
    <definedName name="EM_002_1">#REF!</definedName>
    <definedName name="EM_002_10" localSheetId="0">#REF!</definedName>
    <definedName name="EM_002_10">#REF!</definedName>
    <definedName name="EM_002_11" localSheetId="0">#REF!</definedName>
    <definedName name="EM_002_11">#REF!</definedName>
    <definedName name="EM_002_12" localSheetId="0">#REF!</definedName>
    <definedName name="EM_002_12">#REF!</definedName>
    <definedName name="EM_002_13" localSheetId="0">#REF!</definedName>
    <definedName name="EM_002_13">#REF!</definedName>
    <definedName name="EM_002_14" localSheetId="0">#REF!</definedName>
    <definedName name="EM_002_14">#REF!</definedName>
    <definedName name="EM_002_15" localSheetId="0">#REF!</definedName>
    <definedName name="EM_002_15">#REF!</definedName>
    <definedName name="EM_002_16" localSheetId="0">#REF!</definedName>
    <definedName name="EM_002_16">#REF!</definedName>
    <definedName name="EM_002_17" localSheetId="0">#REF!</definedName>
    <definedName name="EM_002_17">#REF!</definedName>
    <definedName name="EM_002_18" localSheetId="0">#REF!</definedName>
    <definedName name="EM_002_18">#REF!</definedName>
    <definedName name="EM_002_2" localSheetId="0">#REF!</definedName>
    <definedName name="EM_002_2">#REF!</definedName>
    <definedName name="EM_002_3" localSheetId="0">#REF!</definedName>
    <definedName name="EM_002_3">#REF!</definedName>
    <definedName name="EM_002_4" localSheetId="0">#REF!</definedName>
    <definedName name="EM_002_4">#REF!</definedName>
    <definedName name="EM_002_5" localSheetId="0">#REF!</definedName>
    <definedName name="EM_002_5">#REF!</definedName>
    <definedName name="EM_002_6" localSheetId="0">#REF!</definedName>
    <definedName name="EM_002_6">#REF!</definedName>
    <definedName name="EM_002_7" localSheetId="0">#REF!</definedName>
    <definedName name="EM_002_7">#REF!</definedName>
    <definedName name="EM_002_8" localSheetId="0">#REF!</definedName>
    <definedName name="EM_002_8">#REF!</definedName>
    <definedName name="EM_002_9" localSheetId="0">#REF!</definedName>
    <definedName name="EM_002_9">#REF!</definedName>
    <definedName name="EM_003_1" localSheetId="0">#REF!</definedName>
    <definedName name="EM_003_1">#REF!</definedName>
    <definedName name="EM_003_10" localSheetId="0">#REF!</definedName>
    <definedName name="EM_003_10">#REF!</definedName>
    <definedName name="EM_003_11" localSheetId="0">#REF!</definedName>
    <definedName name="EM_003_11">#REF!</definedName>
    <definedName name="EM_003_12" localSheetId="0">#REF!</definedName>
    <definedName name="EM_003_12">#REF!</definedName>
    <definedName name="EM_003_13" localSheetId="0">#REF!</definedName>
    <definedName name="EM_003_13">#REF!</definedName>
    <definedName name="EM_003_14" localSheetId="0">#REF!</definedName>
    <definedName name="EM_003_14">#REF!</definedName>
    <definedName name="EM_003_15" localSheetId="0">#REF!</definedName>
    <definedName name="EM_003_15">#REF!</definedName>
    <definedName name="EM_003_16" localSheetId="0">#REF!</definedName>
    <definedName name="EM_003_16">#REF!</definedName>
    <definedName name="EM_003_17" localSheetId="0">#REF!</definedName>
    <definedName name="EM_003_17">#REF!</definedName>
    <definedName name="EM_003_18" localSheetId="0">#REF!</definedName>
    <definedName name="EM_003_18">#REF!</definedName>
    <definedName name="EM_003_2" localSheetId="0">#REF!</definedName>
    <definedName name="EM_003_2">#REF!</definedName>
    <definedName name="EM_003_3" localSheetId="0">#REF!</definedName>
    <definedName name="EM_003_3">#REF!</definedName>
    <definedName name="EM_003_4" localSheetId="0">#REF!</definedName>
    <definedName name="EM_003_4">#REF!</definedName>
    <definedName name="EM_003_5" localSheetId="0">#REF!</definedName>
    <definedName name="EM_003_5">#REF!</definedName>
    <definedName name="EM_003_6" localSheetId="0">#REF!</definedName>
    <definedName name="EM_003_6">#REF!</definedName>
    <definedName name="EM_003_7" localSheetId="0">#REF!</definedName>
    <definedName name="EM_003_7">#REF!</definedName>
    <definedName name="EM_003_8" localSheetId="0">#REF!</definedName>
    <definedName name="EM_003_8">#REF!</definedName>
    <definedName name="EM_003_9" localSheetId="0">#REF!</definedName>
    <definedName name="EM_003_9">#REF!</definedName>
    <definedName name="EM_004_1" localSheetId="0">#REF!</definedName>
    <definedName name="EM_004_1">#REF!</definedName>
    <definedName name="EM_004_10" localSheetId="0">#REF!</definedName>
    <definedName name="EM_004_10">#REF!</definedName>
    <definedName name="EM_004_11" localSheetId="0">#REF!</definedName>
    <definedName name="EM_004_11">#REF!</definedName>
    <definedName name="EM_004_12" localSheetId="0">#REF!</definedName>
    <definedName name="EM_004_12">#REF!</definedName>
    <definedName name="EM_004_13" localSheetId="0">#REF!</definedName>
    <definedName name="EM_004_13">#REF!</definedName>
    <definedName name="EM_004_14" localSheetId="0">#REF!</definedName>
    <definedName name="EM_004_14">#REF!</definedName>
    <definedName name="EM_004_15" localSheetId="0">#REF!</definedName>
    <definedName name="EM_004_15">#REF!</definedName>
    <definedName name="EM_004_16" localSheetId="0">#REF!</definedName>
    <definedName name="EM_004_16">#REF!</definedName>
    <definedName name="EM_004_17" localSheetId="0">#REF!</definedName>
    <definedName name="EM_004_17">#REF!</definedName>
    <definedName name="EM_004_18" localSheetId="0">#REF!</definedName>
    <definedName name="EM_004_18">#REF!</definedName>
    <definedName name="EM_004_2" localSheetId="0">#REF!</definedName>
    <definedName name="EM_004_2">#REF!</definedName>
    <definedName name="EM_004_3" localSheetId="0">#REF!</definedName>
    <definedName name="EM_004_3">#REF!</definedName>
    <definedName name="EM_004_4" localSheetId="0">#REF!</definedName>
    <definedName name="EM_004_4">#REF!</definedName>
    <definedName name="EM_004_5" localSheetId="0">#REF!</definedName>
    <definedName name="EM_004_5">#REF!</definedName>
    <definedName name="EM_004_6" localSheetId="0">#REF!</definedName>
    <definedName name="EM_004_6">#REF!</definedName>
    <definedName name="EM_004_7" localSheetId="0">#REF!</definedName>
    <definedName name="EM_004_7">#REF!</definedName>
    <definedName name="EM_004_8" localSheetId="0">#REF!</definedName>
    <definedName name="EM_004_8">#REF!</definedName>
    <definedName name="EM_004_9" localSheetId="0">#REF!</definedName>
    <definedName name="EM_004_9">#REF!</definedName>
    <definedName name="EM_005_1" localSheetId="0">#REF!</definedName>
    <definedName name="EM_005_1">#REF!</definedName>
    <definedName name="EM_005_10" localSheetId="0">#REF!</definedName>
    <definedName name="EM_005_10">#REF!</definedName>
    <definedName name="EM_005_11" localSheetId="0">#REF!</definedName>
    <definedName name="EM_005_11">#REF!</definedName>
    <definedName name="EM_005_12" localSheetId="0">#REF!</definedName>
    <definedName name="EM_005_12">#REF!</definedName>
    <definedName name="EM_005_13" localSheetId="0">#REF!</definedName>
    <definedName name="EM_005_13">#REF!</definedName>
    <definedName name="EM_005_14" localSheetId="0">#REF!</definedName>
    <definedName name="EM_005_14">#REF!</definedName>
    <definedName name="EM_005_15" localSheetId="0">#REF!</definedName>
    <definedName name="EM_005_15">#REF!</definedName>
    <definedName name="EM_005_16" localSheetId="0">#REF!</definedName>
    <definedName name="EM_005_16">#REF!</definedName>
    <definedName name="EM_005_17" localSheetId="0">#REF!</definedName>
    <definedName name="EM_005_17">#REF!</definedName>
    <definedName name="EM_005_18" localSheetId="0">#REF!</definedName>
    <definedName name="EM_005_18">#REF!</definedName>
    <definedName name="EM_005_2" localSheetId="0">#REF!</definedName>
    <definedName name="EM_005_2">#REF!</definedName>
    <definedName name="EM_005_3" localSheetId="0">#REF!</definedName>
    <definedName name="EM_005_3">#REF!</definedName>
    <definedName name="EM_005_4" localSheetId="0">#REF!</definedName>
    <definedName name="EM_005_4">#REF!</definedName>
    <definedName name="EM_005_5" localSheetId="0">#REF!</definedName>
    <definedName name="EM_005_5">#REF!</definedName>
    <definedName name="EM_005_6" localSheetId="0">#REF!</definedName>
    <definedName name="EM_005_6">#REF!</definedName>
    <definedName name="EM_005_7" localSheetId="0">#REF!</definedName>
    <definedName name="EM_005_7">#REF!</definedName>
    <definedName name="EM_005_8" localSheetId="0">#REF!</definedName>
    <definedName name="EM_005_8">#REF!</definedName>
    <definedName name="EM_005_9" localSheetId="0">#REF!</definedName>
    <definedName name="EM_005_9">#REF!</definedName>
    <definedName name="EM_006_1" localSheetId="0">#REF!</definedName>
    <definedName name="EM_006_1">#REF!</definedName>
    <definedName name="EM_006_10" localSheetId="0">#REF!</definedName>
    <definedName name="EM_006_10">#REF!</definedName>
    <definedName name="EM_006_11" localSheetId="0">#REF!</definedName>
    <definedName name="EM_006_11">#REF!</definedName>
    <definedName name="EM_006_12" localSheetId="0">#REF!</definedName>
    <definedName name="EM_006_12">#REF!</definedName>
    <definedName name="EM_006_13" localSheetId="0">#REF!</definedName>
    <definedName name="EM_006_13">#REF!</definedName>
    <definedName name="EM_006_14" localSheetId="0">#REF!</definedName>
    <definedName name="EM_006_14">#REF!</definedName>
    <definedName name="EM_006_15" localSheetId="0">#REF!</definedName>
    <definedName name="EM_006_15">#REF!</definedName>
    <definedName name="EM_006_16" localSheetId="0">#REF!</definedName>
    <definedName name="EM_006_16">#REF!</definedName>
    <definedName name="EM_006_17" localSheetId="0">#REF!</definedName>
    <definedName name="EM_006_17">#REF!</definedName>
    <definedName name="EM_006_18" localSheetId="0">#REF!</definedName>
    <definedName name="EM_006_18">#REF!</definedName>
    <definedName name="EM_006_2" localSheetId="0">#REF!</definedName>
    <definedName name="EM_006_2">#REF!</definedName>
    <definedName name="EM_006_3" localSheetId="0">#REF!</definedName>
    <definedName name="EM_006_3">#REF!</definedName>
    <definedName name="EM_006_4" localSheetId="0">#REF!</definedName>
    <definedName name="EM_006_4">#REF!</definedName>
    <definedName name="EM_006_5" localSheetId="0">#REF!</definedName>
    <definedName name="EM_006_5">#REF!</definedName>
    <definedName name="EM_006_6" localSheetId="0">#REF!</definedName>
    <definedName name="EM_006_6">#REF!</definedName>
    <definedName name="EM_006_7" localSheetId="0">#REF!</definedName>
    <definedName name="EM_006_7">#REF!</definedName>
    <definedName name="EM_006_8" localSheetId="0">#REF!</definedName>
    <definedName name="EM_006_8">#REF!</definedName>
    <definedName name="EM_006_9" localSheetId="0">#REF!</definedName>
    <definedName name="EM_006_9">#REF!</definedName>
    <definedName name="EM_007_1" localSheetId="0">#REF!</definedName>
    <definedName name="EM_007_1">#REF!</definedName>
    <definedName name="EM_007_10" localSheetId="0">#REF!</definedName>
    <definedName name="EM_007_10">#REF!</definedName>
    <definedName name="EM_007_11" localSheetId="0">#REF!</definedName>
    <definedName name="EM_007_11">#REF!</definedName>
    <definedName name="EM_007_12" localSheetId="0">#REF!</definedName>
    <definedName name="EM_007_12">#REF!</definedName>
    <definedName name="EM_007_13" localSheetId="0">#REF!</definedName>
    <definedName name="EM_007_13">#REF!</definedName>
    <definedName name="EM_007_14" localSheetId="0">#REF!</definedName>
    <definedName name="EM_007_14">#REF!</definedName>
    <definedName name="EM_007_15" localSheetId="0">#REF!</definedName>
    <definedName name="EM_007_15">#REF!</definedName>
    <definedName name="EM_007_16" localSheetId="0">#REF!</definedName>
    <definedName name="EM_007_16">#REF!</definedName>
    <definedName name="EM_007_17" localSheetId="0">#REF!</definedName>
    <definedName name="EM_007_17">#REF!</definedName>
    <definedName name="EM_007_18" localSheetId="0">#REF!</definedName>
    <definedName name="EM_007_18">#REF!</definedName>
    <definedName name="EM_007_2" localSheetId="0">#REF!</definedName>
    <definedName name="EM_007_2">#REF!</definedName>
    <definedName name="EM_007_3" localSheetId="0">#REF!</definedName>
    <definedName name="EM_007_3">#REF!</definedName>
    <definedName name="EM_007_4" localSheetId="0">#REF!</definedName>
    <definedName name="EM_007_4">#REF!</definedName>
    <definedName name="EM_007_5" localSheetId="0">#REF!</definedName>
    <definedName name="EM_007_5">#REF!</definedName>
    <definedName name="EM_007_6" localSheetId="0">#REF!</definedName>
    <definedName name="EM_007_6">#REF!</definedName>
    <definedName name="EM_007_7" localSheetId="0">#REF!</definedName>
    <definedName name="EM_007_7">#REF!</definedName>
    <definedName name="EM_007_8" localSheetId="0">#REF!</definedName>
    <definedName name="EM_007_8">#REF!</definedName>
    <definedName name="EM_007_9" localSheetId="0">#REF!</definedName>
    <definedName name="EM_007_9">#REF!</definedName>
    <definedName name="EM_008_1" localSheetId="0">#REF!</definedName>
    <definedName name="EM_008_1">#REF!</definedName>
    <definedName name="EM_008_10" localSheetId="0">#REF!</definedName>
    <definedName name="EM_008_10">#REF!</definedName>
    <definedName name="EM_008_11" localSheetId="0">#REF!</definedName>
    <definedName name="EM_008_11">#REF!</definedName>
    <definedName name="EM_008_12" localSheetId="0">#REF!</definedName>
    <definedName name="EM_008_12">#REF!</definedName>
    <definedName name="EM_008_13" localSheetId="0">#REF!</definedName>
    <definedName name="EM_008_13">#REF!</definedName>
    <definedName name="EM_008_14" localSheetId="0">#REF!</definedName>
    <definedName name="EM_008_14">#REF!</definedName>
    <definedName name="EM_008_15" localSheetId="0">#REF!</definedName>
    <definedName name="EM_008_15">#REF!</definedName>
    <definedName name="EM_008_16" localSheetId="0">#REF!</definedName>
    <definedName name="EM_008_16">#REF!</definedName>
    <definedName name="EM_008_17" localSheetId="0">#REF!</definedName>
    <definedName name="EM_008_17">#REF!</definedName>
    <definedName name="EM_008_18" localSheetId="0">#REF!</definedName>
    <definedName name="EM_008_18">#REF!</definedName>
    <definedName name="EM_008_2" localSheetId="0">#REF!</definedName>
    <definedName name="EM_008_2">#REF!</definedName>
    <definedName name="EM_008_3" localSheetId="0">#REF!</definedName>
    <definedName name="EM_008_3">#REF!</definedName>
    <definedName name="EM_008_4" localSheetId="0">#REF!</definedName>
    <definedName name="EM_008_4">#REF!</definedName>
    <definedName name="EM_008_5" localSheetId="0">#REF!</definedName>
    <definedName name="EM_008_5">#REF!</definedName>
    <definedName name="EM_008_6" localSheetId="0">#REF!</definedName>
    <definedName name="EM_008_6">#REF!</definedName>
    <definedName name="EM_008_7" localSheetId="0">#REF!</definedName>
    <definedName name="EM_008_7">#REF!</definedName>
    <definedName name="EM_008_8" localSheetId="0">#REF!</definedName>
    <definedName name="EM_008_8">#REF!</definedName>
    <definedName name="EM_008_9" localSheetId="0">#REF!</definedName>
    <definedName name="EM_008_9">#REF!</definedName>
    <definedName name="EM_009_1" localSheetId="0">#REF!</definedName>
    <definedName name="EM_009_1">#REF!</definedName>
    <definedName name="EM_009_10" localSheetId="0">#REF!</definedName>
    <definedName name="EM_009_10">#REF!</definedName>
    <definedName name="EM_009_11" localSheetId="0">#REF!</definedName>
    <definedName name="EM_009_11">#REF!</definedName>
    <definedName name="EM_009_12" localSheetId="0">#REF!</definedName>
    <definedName name="EM_009_12">#REF!</definedName>
    <definedName name="EM_009_13" localSheetId="0">#REF!</definedName>
    <definedName name="EM_009_13">#REF!</definedName>
    <definedName name="EM_009_14" localSheetId="0">#REF!</definedName>
    <definedName name="EM_009_14">#REF!</definedName>
    <definedName name="EM_009_15" localSheetId="0">#REF!</definedName>
    <definedName name="EM_009_15">#REF!</definedName>
    <definedName name="EM_009_16" localSheetId="0">#REF!</definedName>
    <definedName name="EM_009_16">#REF!</definedName>
    <definedName name="EM_009_17" localSheetId="0">#REF!</definedName>
    <definedName name="EM_009_17">#REF!</definedName>
    <definedName name="EM_009_18" localSheetId="0">#REF!</definedName>
    <definedName name="EM_009_18">#REF!</definedName>
    <definedName name="EM_009_2" localSheetId="0">#REF!</definedName>
    <definedName name="EM_009_2">#REF!</definedName>
    <definedName name="EM_009_3" localSheetId="0">#REF!</definedName>
    <definedName name="EM_009_3">#REF!</definedName>
    <definedName name="EM_009_4" localSheetId="0">#REF!</definedName>
    <definedName name="EM_009_4">#REF!</definedName>
    <definedName name="EM_009_5" localSheetId="0">#REF!</definedName>
    <definedName name="EM_009_5">#REF!</definedName>
    <definedName name="EM_009_6" localSheetId="0">#REF!</definedName>
    <definedName name="EM_009_6">#REF!</definedName>
    <definedName name="EM_009_7" localSheetId="0">#REF!</definedName>
    <definedName name="EM_009_7">#REF!</definedName>
    <definedName name="EM_009_8" localSheetId="0">#REF!</definedName>
    <definedName name="EM_009_8">#REF!</definedName>
    <definedName name="EM_009_9" localSheetId="0">#REF!</definedName>
    <definedName name="EM_009_9">#REF!</definedName>
    <definedName name="EM_010_1" localSheetId="0">#REF!</definedName>
    <definedName name="EM_010_1">#REF!</definedName>
    <definedName name="EM_010_10" localSheetId="0">#REF!</definedName>
    <definedName name="EM_010_10">#REF!</definedName>
    <definedName name="EM_010_11" localSheetId="0">#REF!</definedName>
    <definedName name="EM_010_11">#REF!</definedName>
    <definedName name="EM_010_12" localSheetId="0">#REF!</definedName>
    <definedName name="EM_010_12">#REF!</definedName>
    <definedName name="EM_010_13" localSheetId="0">#REF!</definedName>
    <definedName name="EM_010_13">#REF!</definedName>
    <definedName name="EM_010_14" localSheetId="0">#REF!</definedName>
    <definedName name="EM_010_14">#REF!</definedName>
    <definedName name="EM_010_15" localSheetId="0">#REF!</definedName>
    <definedName name="EM_010_15">#REF!</definedName>
    <definedName name="EM_010_16" localSheetId="0">#REF!</definedName>
    <definedName name="EM_010_16">#REF!</definedName>
    <definedName name="EM_010_17" localSheetId="0">#REF!</definedName>
    <definedName name="EM_010_17">#REF!</definedName>
    <definedName name="EM_010_18" localSheetId="0">#REF!</definedName>
    <definedName name="EM_010_18">#REF!</definedName>
    <definedName name="EM_010_2" localSheetId="0">#REF!</definedName>
    <definedName name="EM_010_2">#REF!</definedName>
    <definedName name="EM_010_3" localSheetId="0">#REF!</definedName>
    <definedName name="EM_010_3">#REF!</definedName>
    <definedName name="EM_010_4" localSheetId="0">#REF!</definedName>
    <definedName name="EM_010_4">#REF!</definedName>
    <definedName name="EM_010_5" localSheetId="0">#REF!</definedName>
    <definedName name="EM_010_5">#REF!</definedName>
    <definedName name="EM_010_6" localSheetId="0">#REF!</definedName>
    <definedName name="EM_010_6">#REF!</definedName>
    <definedName name="EM_010_7" localSheetId="0">#REF!</definedName>
    <definedName name="EM_010_7">#REF!</definedName>
    <definedName name="EM_010_8" localSheetId="0">#REF!</definedName>
    <definedName name="EM_010_8">#REF!</definedName>
    <definedName name="EM_010_9" localSheetId="0">#REF!</definedName>
    <definedName name="EM_010_9">#REF!</definedName>
    <definedName name="EM_011_1" localSheetId="0">#REF!</definedName>
    <definedName name="EM_011_1">#REF!</definedName>
    <definedName name="EM_011_10" localSheetId="0">#REF!</definedName>
    <definedName name="EM_011_10">#REF!</definedName>
    <definedName name="EM_011_11" localSheetId="0">#REF!</definedName>
    <definedName name="EM_011_11">#REF!</definedName>
    <definedName name="EM_011_12" localSheetId="0">#REF!</definedName>
    <definedName name="EM_011_12">#REF!</definedName>
    <definedName name="EM_011_13" localSheetId="0">#REF!</definedName>
    <definedName name="EM_011_13">#REF!</definedName>
    <definedName name="EM_011_14" localSheetId="0">#REF!</definedName>
    <definedName name="EM_011_14">#REF!</definedName>
    <definedName name="EM_011_15" localSheetId="0">#REF!</definedName>
    <definedName name="EM_011_15">#REF!</definedName>
    <definedName name="EM_011_16" localSheetId="0">#REF!</definedName>
    <definedName name="EM_011_16">#REF!</definedName>
    <definedName name="EM_011_17" localSheetId="0">#REF!</definedName>
    <definedName name="EM_011_17">#REF!</definedName>
    <definedName name="EM_011_18" localSheetId="0">#REF!</definedName>
    <definedName name="EM_011_18">#REF!</definedName>
    <definedName name="EM_011_2" localSheetId="0">#REF!</definedName>
    <definedName name="EM_011_2">#REF!</definedName>
    <definedName name="EM_011_3" localSheetId="0">#REF!</definedName>
    <definedName name="EM_011_3">#REF!</definedName>
    <definedName name="EM_011_4" localSheetId="0">#REF!</definedName>
    <definedName name="EM_011_4">#REF!</definedName>
    <definedName name="EM_011_5" localSheetId="0">#REF!</definedName>
    <definedName name="EM_011_5">#REF!</definedName>
    <definedName name="EM_011_6" localSheetId="0">#REF!</definedName>
    <definedName name="EM_011_6">#REF!</definedName>
    <definedName name="EM_011_7" localSheetId="0">#REF!</definedName>
    <definedName name="EM_011_7">#REF!</definedName>
    <definedName name="EM_011_8" localSheetId="0">#REF!</definedName>
    <definedName name="EM_011_8">#REF!</definedName>
    <definedName name="EM_011_9" localSheetId="0">#REF!</definedName>
    <definedName name="EM_011_9">#REF!</definedName>
    <definedName name="EM_012_1" localSheetId="0">#REF!</definedName>
    <definedName name="EM_012_1">#REF!</definedName>
    <definedName name="EM_012_10" localSheetId="0">#REF!</definedName>
    <definedName name="EM_012_10">#REF!</definedName>
    <definedName name="EM_012_11" localSheetId="0">#REF!</definedName>
    <definedName name="EM_012_11">#REF!</definedName>
    <definedName name="EM_012_12" localSheetId="0">#REF!</definedName>
    <definedName name="EM_012_12">#REF!</definedName>
    <definedName name="EM_012_13" localSheetId="0">#REF!</definedName>
    <definedName name="EM_012_13">#REF!</definedName>
    <definedName name="EM_012_14" localSheetId="0">#REF!</definedName>
    <definedName name="EM_012_14">#REF!</definedName>
    <definedName name="EM_012_15" localSheetId="0">#REF!</definedName>
    <definedName name="EM_012_15">#REF!</definedName>
    <definedName name="EM_012_16" localSheetId="0">#REF!</definedName>
    <definedName name="EM_012_16">#REF!</definedName>
    <definedName name="EM_012_17" localSheetId="0">#REF!</definedName>
    <definedName name="EM_012_17">#REF!</definedName>
    <definedName name="EM_012_18" localSheetId="0">#REF!</definedName>
    <definedName name="EM_012_18">#REF!</definedName>
    <definedName name="EM_012_2" localSheetId="0">#REF!</definedName>
    <definedName name="EM_012_2">#REF!</definedName>
    <definedName name="EM_012_3" localSheetId="0">#REF!</definedName>
    <definedName name="EM_012_3">#REF!</definedName>
    <definedName name="EM_012_4" localSheetId="0">#REF!</definedName>
    <definedName name="EM_012_4">#REF!</definedName>
    <definedName name="EM_012_5" localSheetId="0">#REF!</definedName>
    <definedName name="EM_012_5">#REF!</definedName>
    <definedName name="EM_012_6" localSheetId="0">#REF!</definedName>
    <definedName name="EM_012_6">#REF!</definedName>
    <definedName name="EM_012_7" localSheetId="0">#REF!</definedName>
    <definedName name="EM_012_7">#REF!</definedName>
    <definedName name="EM_012_8" localSheetId="0">#REF!</definedName>
    <definedName name="EM_012_8">#REF!</definedName>
    <definedName name="EM_012_9" localSheetId="0">#REF!</definedName>
    <definedName name="EM_012_9">#REF!</definedName>
    <definedName name="EM_013_1" localSheetId="0">#REF!</definedName>
    <definedName name="EM_013_1">#REF!</definedName>
    <definedName name="EM_013_10" localSheetId="0">#REF!</definedName>
    <definedName name="EM_013_10">#REF!</definedName>
    <definedName name="EM_013_11" localSheetId="0">#REF!</definedName>
    <definedName name="EM_013_11">#REF!</definedName>
    <definedName name="EM_013_12" localSheetId="0">#REF!</definedName>
    <definedName name="EM_013_12">#REF!</definedName>
    <definedName name="EM_013_13" localSheetId="0">#REF!</definedName>
    <definedName name="EM_013_13">#REF!</definedName>
    <definedName name="EM_013_14" localSheetId="0">#REF!</definedName>
    <definedName name="EM_013_14">#REF!</definedName>
    <definedName name="EM_013_15" localSheetId="0">#REF!</definedName>
    <definedName name="EM_013_15">#REF!</definedName>
    <definedName name="EM_013_16" localSheetId="0">#REF!</definedName>
    <definedName name="EM_013_16">#REF!</definedName>
    <definedName name="EM_013_17" localSheetId="0">#REF!</definedName>
    <definedName name="EM_013_17">#REF!</definedName>
    <definedName name="EM_013_18" localSheetId="0">#REF!</definedName>
    <definedName name="EM_013_18">#REF!</definedName>
    <definedName name="EM_013_2" localSheetId="0">#REF!</definedName>
    <definedName name="EM_013_2">#REF!</definedName>
    <definedName name="EM_013_3" localSheetId="0">#REF!</definedName>
    <definedName name="EM_013_3">#REF!</definedName>
    <definedName name="EM_013_4" localSheetId="0">#REF!</definedName>
    <definedName name="EM_013_4">#REF!</definedName>
    <definedName name="EM_013_5" localSheetId="0">#REF!</definedName>
    <definedName name="EM_013_5">#REF!</definedName>
    <definedName name="EM_013_6" localSheetId="0">#REF!</definedName>
    <definedName name="EM_013_6">#REF!</definedName>
    <definedName name="EM_013_7" localSheetId="0">#REF!</definedName>
    <definedName name="EM_013_7">#REF!</definedName>
    <definedName name="EM_013_8" localSheetId="0">#REF!</definedName>
    <definedName name="EM_013_8">#REF!</definedName>
    <definedName name="EM_013_9" localSheetId="0">#REF!</definedName>
    <definedName name="EM_013_9">#REF!</definedName>
    <definedName name="EM_014_1" localSheetId="0">#REF!</definedName>
    <definedName name="EM_014_1">#REF!</definedName>
    <definedName name="EM_014_10" localSheetId="0">#REF!</definedName>
    <definedName name="EM_014_10">#REF!</definedName>
    <definedName name="EM_014_11" localSheetId="0">#REF!</definedName>
    <definedName name="EM_014_11">#REF!</definedName>
    <definedName name="EM_014_12" localSheetId="0">#REF!</definedName>
    <definedName name="EM_014_12">#REF!</definedName>
    <definedName name="EM_014_13" localSheetId="0">#REF!</definedName>
    <definedName name="EM_014_13">#REF!</definedName>
    <definedName name="EM_014_14" localSheetId="0">#REF!</definedName>
    <definedName name="EM_014_14">#REF!</definedName>
    <definedName name="EM_014_15" localSheetId="0">#REF!</definedName>
    <definedName name="EM_014_15">#REF!</definedName>
    <definedName name="EM_014_16" localSheetId="0">#REF!</definedName>
    <definedName name="EM_014_16">#REF!</definedName>
    <definedName name="EM_014_17" localSheetId="0">#REF!</definedName>
    <definedName name="EM_014_17">#REF!</definedName>
    <definedName name="EM_014_18" localSheetId="0">#REF!</definedName>
    <definedName name="EM_014_18">#REF!</definedName>
    <definedName name="EM_014_2" localSheetId="0">#REF!</definedName>
    <definedName name="EM_014_2">#REF!</definedName>
    <definedName name="EM_014_3" localSheetId="0">#REF!</definedName>
    <definedName name="EM_014_3">#REF!</definedName>
    <definedName name="EM_014_4" localSheetId="0">#REF!</definedName>
    <definedName name="EM_014_4">#REF!</definedName>
    <definedName name="EM_014_5" localSheetId="0">#REF!</definedName>
    <definedName name="EM_014_5">#REF!</definedName>
    <definedName name="EM_014_6" localSheetId="0">#REF!</definedName>
    <definedName name="EM_014_6">#REF!</definedName>
    <definedName name="EM_014_7" localSheetId="0">#REF!</definedName>
    <definedName name="EM_014_7">#REF!</definedName>
    <definedName name="EM_014_8" localSheetId="0">#REF!</definedName>
    <definedName name="EM_014_8">#REF!</definedName>
    <definedName name="EM_014_9" localSheetId="0">#REF!</definedName>
    <definedName name="EM_014_9">#REF!</definedName>
    <definedName name="EM_015_1" localSheetId="0">#REF!</definedName>
    <definedName name="EM_015_1">#REF!</definedName>
    <definedName name="EM_015_10" localSheetId="0">#REF!</definedName>
    <definedName name="EM_015_10">#REF!</definedName>
    <definedName name="EM_015_11" localSheetId="0">#REF!</definedName>
    <definedName name="EM_015_11">#REF!</definedName>
    <definedName name="EM_015_12" localSheetId="0">#REF!</definedName>
    <definedName name="EM_015_12">#REF!</definedName>
    <definedName name="EM_015_13" localSheetId="0">#REF!</definedName>
    <definedName name="EM_015_13">#REF!</definedName>
    <definedName name="EM_015_14" localSheetId="0">#REF!</definedName>
    <definedName name="EM_015_14">#REF!</definedName>
    <definedName name="EM_015_15" localSheetId="0">#REF!</definedName>
    <definedName name="EM_015_15">#REF!</definedName>
    <definedName name="EM_015_16" localSheetId="0">#REF!</definedName>
    <definedName name="EM_015_16">#REF!</definedName>
    <definedName name="EM_015_17" localSheetId="0">#REF!</definedName>
    <definedName name="EM_015_17">#REF!</definedName>
    <definedName name="EM_015_18" localSheetId="0">#REF!</definedName>
    <definedName name="EM_015_18">#REF!</definedName>
    <definedName name="EM_015_2" localSheetId="0">#REF!</definedName>
    <definedName name="EM_015_2">#REF!</definedName>
    <definedName name="EM_015_3" localSheetId="0">#REF!</definedName>
    <definedName name="EM_015_3">#REF!</definedName>
    <definedName name="EM_015_4" localSheetId="0">#REF!</definedName>
    <definedName name="EM_015_4">#REF!</definedName>
    <definedName name="EM_015_5" localSheetId="0">#REF!</definedName>
    <definedName name="EM_015_5">#REF!</definedName>
    <definedName name="EM_015_6" localSheetId="0">#REF!</definedName>
    <definedName name="EM_015_6">#REF!</definedName>
    <definedName name="EM_015_7" localSheetId="0">#REF!</definedName>
    <definedName name="EM_015_7">#REF!</definedName>
    <definedName name="EM_015_8" localSheetId="0">#REF!</definedName>
    <definedName name="EM_015_8">#REF!</definedName>
    <definedName name="EM_015_9" localSheetId="0">#REF!</definedName>
    <definedName name="EM_015_9">#REF!</definedName>
    <definedName name="EM_016_1" localSheetId="0">#REF!</definedName>
    <definedName name="EM_016_1">#REF!</definedName>
    <definedName name="EM_016_10" localSheetId="0">#REF!</definedName>
    <definedName name="EM_016_10">#REF!</definedName>
    <definedName name="EM_016_11" localSheetId="0">#REF!</definedName>
    <definedName name="EM_016_11">#REF!</definedName>
    <definedName name="EM_016_12" localSheetId="0">#REF!</definedName>
    <definedName name="EM_016_12">#REF!</definedName>
    <definedName name="EM_016_13" localSheetId="0">#REF!</definedName>
    <definedName name="EM_016_13">#REF!</definedName>
    <definedName name="EM_016_14" localSheetId="0">#REF!</definedName>
    <definedName name="EM_016_14">#REF!</definedName>
    <definedName name="EM_016_15" localSheetId="0">#REF!</definedName>
    <definedName name="EM_016_15">#REF!</definedName>
    <definedName name="EM_016_16" localSheetId="0">#REF!</definedName>
    <definedName name="EM_016_16">#REF!</definedName>
    <definedName name="EM_016_17" localSheetId="0">#REF!</definedName>
    <definedName name="EM_016_17">#REF!</definedName>
    <definedName name="EM_016_18" localSheetId="0">#REF!</definedName>
    <definedName name="EM_016_18">#REF!</definedName>
    <definedName name="EM_016_2" localSheetId="0">#REF!</definedName>
    <definedName name="EM_016_2">#REF!</definedName>
    <definedName name="EM_016_3" localSheetId="0">#REF!</definedName>
    <definedName name="EM_016_3">#REF!</definedName>
    <definedName name="EM_016_4" localSheetId="0">#REF!</definedName>
    <definedName name="EM_016_4">#REF!</definedName>
    <definedName name="EM_016_5" localSheetId="0">#REF!</definedName>
    <definedName name="EM_016_5">#REF!</definedName>
    <definedName name="EM_016_6" localSheetId="0">#REF!</definedName>
    <definedName name="EM_016_6">#REF!</definedName>
    <definedName name="EM_016_7" localSheetId="0">#REF!</definedName>
    <definedName name="EM_016_7">#REF!</definedName>
    <definedName name="EM_016_8" localSheetId="0">#REF!</definedName>
    <definedName name="EM_016_8">#REF!</definedName>
    <definedName name="EM_016_9" localSheetId="0">#REF!</definedName>
    <definedName name="EM_016_9">#REF!</definedName>
    <definedName name="EM_017_1" localSheetId="0">#REF!</definedName>
    <definedName name="EM_017_1">#REF!</definedName>
    <definedName name="EM_017_10" localSheetId="0">#REF!</definedName>
    <definedName name="EM_017_10">#REF!</definedName>
    <definedName name="EM_017_11" localSheetId="0">#REF!</definedName>
    <definedName name="EM_017_11">#REF!</definedName>
    <definedName name="EM_017_12" localSheetId="0">#REF!</definedName>
    <definedName name="EM_017_12">#REF!</definedName>
    <definedName name="EM_017_13" localSheetId="0">#REF!</definedName>
    <definedName name="EM_017_13">#REF!</definedName>
    <definedName name="EM_017_14" localSheetId="0">#REF!</definedName>
    <definedName name="EM_017_14">#REF!</definedName>
    <definedName name="EM_017_15" localSheetId="0">#REF!</definedName>
    <definedName name="EM_017_15">#REF!</definedName>
    <definedName name="EM_017_16" localSheetId="0">#REF!</definedName>
    <definedName name="EM_017_16">#REF!</definedName>
    <definedName name="EM_017_17" localSheetId="0">#REF!</definedName>
    <definedName name="EM_017_17">#REF!</definedName>
    <definedName name="EM_017_18" localSheetId="0">#REF!</definedName>
    <definedName name="EM_017_18">#REF!</definedName>
    <definedName name="EM_017_2" localSheetId="0">#REF!</definedName>
    <definedName name="EM_017_2">#REF!</definedName>
    <definedName name="EM_017_3" localSheetId="0">#REF!</definedName>
    <definedName name="EM_017_3">#REF!</definedName>
    <definedName name="EM_017_4" localSheetId="0">#REF!</definedName>
    <definedName name="EM_017_4">#REF!</definedName>
    <definedName name="EM_017_5" localSheetId="0">#REF!</definedName>
    <definedName name="EM_017_5">#REF!</definedName>
    <definedName name="EM_017_6" localSheetId="0">#REF!</definedName>
    <definedName name="EM_017_6">#REF!</definedName>
    <definedName name="EM_017_7" localSheetId="0">#REF!</definedName>
    <definedName name="EM_017_7">#REF!</definedName>
    <definedName name="EM_017_8" localSheetId="0">#REF!</definedName>
    <definedName name="EM_017_8">#REF!</definedName>
    <definedName name="EM_017_9" localSheetId="0">#REF!</definedName>
    <definedName name="EM_017_9">#REF!</definedName>
    <definedName name="EM_018_1" localSheetId="0">#REF!</definedName>
    <definedName name="EM_018_1">#REF!</definedName>
    <definedName name="EM_018_10" localSheetId="0">#REF!</definedName>
    <definedName name="EM_018_10">#REF!</definedName>
    <definedName name="EM_018_11" localSheetId="0">#REF!</definedName>
    <definedName name="EM_018_11">#REF!</definedName>
    <definedName name="EM_018_12" localSheetId="0">#REF!</definedName>
    <definedName name="EM_018_12">#REF!</definedName>
    <definedName name="EM_018_13" localSheetId="0">#REF!</definedName>
    <definedName name="EM_018_13">#REF!</definedName>
    <definedName name="EM_018_14" localSheetId="0">#REF!</definedName>
    <definedName name="EM_018_14">#REF!</definedName>
    <definedName name="EM_018_15" localSheetId="0">#REF!</definedName>
    <definedName name="EM_018_15">#REF!</definedName>
    <definedName name="EM_018_16" localSheetId="0">#REF!</definedName>
    <definedName name="EM_018_16">#REF!</definedName>
    <definedName name="EM_018_17" localSheetId="0">#REF!</definedName>
    <definedName name="EM_018_17">#REF!</definedName>
    <definedName name="EM_018_18" localSheetId="0">#REF!</definedName>
    <definedName name="EM_018_18">#REF!</definedName>
    <definedName name="EM_018_2" localSheetId="0">#REF!</definedName>
    <definedName name="EM_018_2">#REF!</definedName>
    <definedName name="EM_018_3" localSheetId="0">#REF!</definedName>
    <definedName name="EM_018_3">#REF!</definedName>
    <definedName name="EM_018_4" localSheetId="0">#REF!</definedName>
    <definedName name="EM_018_4">#REF!</definedName>
    <definedName name="EM_018_5" localSheetId="0">#REF!</definedName>
    <definedName name="EM_018_5">#REF!</definedName>
    <definedName name="EM_018_6" localSheetId="0">#REF!</definedName>
    <definedName name="EM_018_6">#REF!</definedName>
    <definedName name="EM_018_7" localSheetId="0">#REF!</definedName>
    <definedName name="EM_018_7">#REF!</definedName>
    <definedName name="EM_018_8" localSheetId="0">#REF!</definedName>
    <definedName name="EM_018_8">#REF!</definedName>
    <definedName name="EM_018_9" localSheetId="0">#REF!</definedName>
    <definedName name="EM_018_9">#REF!</definedName>
    <definedName name="EM_019_1" localSheetId="0">#REF!</definedName>
    <definedName name="EM_019_1">#REF!</definedName>
    <definedName name="EM_019_10" localSheetId="0">#REF!</definedName>
    <definedName name="EM_019_10">#REF!</definedName>
    <definedName name="EM_019_11" localSheetId="0">#REF!</definedName>
    <definedName name="EM_019_11">#REF!</definedName>
    <definedName name="EM_019_12" localSheetId="0">#REF!</definedName>
    <definedName name="EM_019_12">#REF!</definedName>
    <definedName name="EM_019_13" localSheetId="0">#REF!</definedName>
    <definedName name="EM_019_13">#REF!</definedName>
    <definedName name="EM_019_14" localSheetId="0">#REF!</definedName>
    <definedName name="EM_019_14">#REF!</definedName>
    <definedName name="EM_019_15" localSheetId="0">#REF!</definedName>
    <definedName name="EM_019_15">#REF!</definedName>
    <definedName name="EM_019_16" localSheetId="0">#REF!</definedName>
    <definedName name="EM_019_16">#REF!</definedName>
    <definedName name="EM_019_17" localSheetId="0">#REF!</definedName>
    <definedName name="EM_019_17">#REF!</definedName>
    <definedName name="EM_019_18" localSheetId="0">#REF!</definedName>
    <definedName name="EM_019_18">#REF!</definedName>
    <definedName name="EM_019_2" localSheetId="0">#REF!</definedName>
    <definedName name="EM_019_2">#REF!</definedName>
    <definedName name="EM_019_3" localSheetId="0">#REF!</definedName>
    <definedName name="EM_019_3">#REF!</definedName>
    <definedName name="EM_019_4" localSheetId="0">#REF!</definedName>
    <definedName name="EM_019_4">#REF!</definedName>
    <definedName name="EM_019_5" localSheetId="0">#REF!</definedName>
    <definedName name="EM_019_5">#REF!</definedName>
    <definedName name="EM_019_6" localSheetId="0">#REF!</definedName>
    <definedName name="EM_019_6">#REF!</definedName>
    <definedName name="EM_019_7" localSheetId="0">#REF!</definedName>
    <definedName name="EM_019_7">#REF!</definedName>
    <definedName name="EM_019_8" localSheetId="0">#REF!</definedName>
    <definedName name="EM_019_8">#REF!</definedName>
    <definedName name="EM_019_9" localSheetId="0">#REF!</definedName>
    <definedName name="EM_019_9">#REF!</definedName>
    <definedName name="EM_020_1" localSheetId="0">#REF!</definedName>
    <definedName name="EM_020_1">#REF!</definedName>
    <definedName name="EM_020_10" localSheetId="0">#REF!</definedName>
    <definedName name="EM_020_10">#REF!</definedName>
    <definedName name="EM_020_11" localSheetId="0">#REF!</definedName>
    <definedName name="EM_020_11">#REF!</definedName>
    <definedName name="EM_020_12" localSheetId="0">#REF!</definedName>
    <definedName name="EM_020_12">#REF!</definedName>
    <definedName name="EM_020_13" localSheetId="0">#REF!</definedName>
    <definedName name="EM_020_13">#REF!</definedName>
    <definedName name="EM_020_14" localSheetId="0">#REF!</definedName>
    <definedName name="EM_020_14">#REF!</definedName>
    <definedName name="EM_020_15" localSheetId="0">#REF!</definedName>
    <definedName name="EM_020_15">#REF!</definedName>
    <definedName name="EM_020_16" localSheetId="0">#REF!</definedName>
    <definedName name="EM_020_16">#REF!</definedName>
    <definedName name="EM_020_17" localSheetId="0">#REF!</definedName>
    <definedName name="EM_020_17">#REF!</definedName>
    <definedName name="EM_020_18" localSheetId="0">#REF!</definedName>
    <definedName name="EM_020_18">#REF!</definedName>
    <definedName name="EM_020_2" localSheetId="0">#REF!</definedName>
    <definedName name="EM_020_2">#REF!</definedName>
    <definedName name="EM_020_3" localSheetId="0">#REF!</definedName>
    <definedName name="EM_020_3">#REF!</definedName>
    <definedName name="EM_020_4" localSheetId="0">#REF!</definedName>
    <definedName name="EM_020_4">#REF!</definedName>
    <definedName name="EM_020_5" localSheetId="0">#REF!</definedName>
    <definedName name="EM_020_5">#REF!</definedName>
    <definedName name="EM_020_6" localSheetId="0">#REF!</definedName>
    <definedName name="EM_020_6">#REF!</definedName>
    <definedName name="EM_020_7" localSheetId="0">#REF!</definedName>
    <definedName name="EM_020_7">#REF!</definedName>
    <definedName name="EM_020_8" localSheetId="0">#REF!</definedName>
    <definedName name="EM_020_8">#REF!</definedName>
    <definedName name="EM_020_9" localSheetId="0">#REF!</definedName>
    <definedName name="EM_020_9">#REF!</definedName>
    <definedName name="EM_021_1" localSheetId="0">#REF!</definedName>
    <definedName name="EM_021_1">#REF!</definedName>
    <definedName name="EM_021_10" localSheetId="0">#REF!</definedName>
    <definedName name="EM_021_10">#REF!</definedName>
    <definedName name="EM_021_11" localSheetId="0">#REF!</definedName>
    <definedName name="EM_021_11">#REF!</definedName>
    <definedName name="EM_021_12" localSheetId="0">#REF!</definedName>
    <definedName name="EM_021_12">#REF!</definedName>
    <definedName name="EM_021_13" localSheetId="0">#REF!</definedName>
    <definedName name="EM_021_13">#REF!</definedName>
    <definedName name="EM_021_14" localSheetId="0">#REF!</definedName>
    <definedName name="EM_021_14">#REF!</definedName>
    <definedName name="EM_021_15" localSheetId="0">#REF!</definedName>
    <definedName name="EM_021_15">#REF!</definedName>
    <definedName name="EM_021_16" localSheetId="0">#REF!</definedName>
    <definedName name="EM_021_16">#REF!</definedName>
    <definedName name="EM_021_17" localSheetId="0">#REF!</definedName>
    <definedName name="EM_021_17">#REF!</definedName>
    <definedName name="EM_021_18" localSheetId="0">#REF!</definedName>
    <definedName name="EM_021_18">#REF!</definedName>
    <definedName name="EM_021_2" localSheetId="0">#REF!</definedName>
    <definedName name="EM_021_2">#REF!</definedName>
    <definedName name="EM_021_3" localSheetId="0">#REF!</definedName>
    <definedName name="EM_021_3">#REF!</definedName>
    <definedName name="EM_021_4" localSheetId="0">#REF!</definedName>
    <definedName name="EM_021_4">#REF!</definedName>
    <definedName name="EM_021_5" localSheetId="0">#REF!</definedName>
    <definedName name="EM_021_5">#REF!</definedName>
    <definedName name="EM_021_6" localSheetId="0">#REF!</definedName>
    <definedName name="EM_021_6">#REF!</definedName>
    <definedName name="EM_021_7" localSheetId="0">#REF!</definedName>
    <definedName name="EM_021_7">#REF!</definedName>
    <definedName name="EM_021_8" localSheetId="0">#REF!</definedName>
    <definedName name="EM_021_8">#REF!</definedName>
    <definedName name="EM_021_9" localSheetId="0">#REF!</definedName>
    <definedName name="EM_021_9">#REF!</definedName>
    <definedName name="EM_022_1" localSheetId="0">#REF!</definedName>
    <definedName name="EM_022_1">#REF!</definedName>
    <definedName name="EM_022_10" localSheetId="0">#REF!</definedName>
    <definedName name="EM_022_10">#REF!</definedName>
    <definedName name="EM_022_11" localSheetId="0">#REF!</definedName>
    <definedName name="EM_022_11">#REF!</definedName>
    <definedName name="EM_022_12" localSheetId="0">#REF!</definedName>
    <definedName name="EM_022_12">#REF!</definedName>
    <definedName name="EM_022_13" localSheetId="0">#REF!</definedName>
    <definedName name="EM_022_13">#REF!</definedName>
    <definedName name="EM_022_14" localSheetId="0">#REF!</definedName>
    <definedName name="EM_022_14">#REF!</definedName>
    <definedName name="EM_022_15" localSheetId="0">#REF!</definedName>
    <definedName name="EM_022_15">#REF!</definedName>
    <definedName name="EM_022_16" localSheetId="0">#REF!</definedName>
    <definedName name="EM_022_16">#REF!</definedName>
    <definedName name="EM_022_17" localSheetId="0">#REF!</definedName>
    <definedName name="EM_022_17">#REF!</definedName>
    <definedName name="EM_022_18" localSheetId="0">#REF!</definedName>
    <definedName name="EM_022_18">#REF!</definedName>
    <definedName name="EM_022_2" localSheetId="0">#REF!</definedName>
    <definedName name="EM_022_2">#REF!</definedName>
    <definedName name="EM_022_3" localSheetId="0">#REF!</definedName>
    <definedName name="EM_022_3">#REF!</definedName>
    <definedName name="EM_022_4" localSheetId="0">#REF!</definedName>
    <definedName name="EM_022_4">#REF!</definedName>
    <definedName name="EM_022_5" localSheetId="0">#REF!</definedName>
    <definedName name="EM_022_5">#REF!</definedName>
    <definedName name="EM_022_6" localSheetId="0">#REF!</definedName>
    <definedName name="EM_022_6">#REF!</definedName>
    <definedName name="EM_022_7" localSheetId="0">#REF!</definedName>
    <definedName name="EM_022_7">#REF!</definedName>
    <definedName name="EM_022_8" localSheetId="0">#REF!</definedName>
    <definedName name="EM_022_8">#REF!</definedName>
    <definedName name="EM_022_9" localSheetId="0">#REF!</definedName>
    <definedName name="EM_022_9">#REF!</definedName>
    <definedName name="EM_023_1" localSheetId="0">#REF!</definedName>
    <definedName name="EM_023_1">#REF!</definedName>
    <definedName name="EM_023_10" localSheetId="0">#REF!</definedName>
    <definedName name="EM_023_10">#REF!</definedName>
    <definedName name="EM_023_11" localSheetId="0">#REF!</definedName>
    <definedName name="EM_023_11">#REF!</definedName>
    <definedName name="EM_023_12" localSheetId="0">#REF!</definedName>
    <definedName name="EM_023_12">#REF!</definedName>
    <definedName name="EM_023_13" localSheetId="0">#REF!</definedName>
    <definedName name="EM_023_13">#REF!</definedName>
    <definedName name="EM_023_14" localSheetId="0">#REF!</definedName>
    <definedName name="EM_023_14">#REF!</definedName>
    <definedName name="EM_023_15" localSheetId="0">#REF!</definedName>
    <definedName name="EM_023_15">#REF!</definedName>
    <definedName name="EM_023_16" localSheetId="0">#REF!</definedName>
    <definedName name="EM_023_16">#REF!</definedName>
    <definedName name="EM_023_17" localSheetId="0">#REF!</definedName>
    <definedName name="EM_023_17">#REF!</definedName>
    <definedName name="EM_023_18" localSheetId="0">#REF!</definedName>
    <definedName name="EM_023_18">#REF!</definedName>
    <definedName name="EM_023_2" localSheetId="0">#REF!</definedName>
    <definedName name="EM_023_2">#REF!</definedName>
    <definedName name="EM_023_3" localSheetId="0">#REF!</definedName>
    <definedName name="EM_023_3">#REF!</definedName>
    <definedName name="EM_023_4" localSheetId="0">#REF!</definedName>
    <definedName name="EM_023_4">#REF!</definedName>
    <definedName name="EM_023_5" localSheetId="0">#REF!</definedName>
    <definedName name="EM_023_5">#REF!</definedName>
    <definedName name="EM_023_6" localSheetId="0">#REF!</definedName>
    <definedName name="EM_023_6">#REF!</definedName>
    <definedName name="EM_023_7" localSheetId="0">#REF!</definedName>
    <definedName name="EM_023_7">#REF!</definedName>
    <definedName name="EM_023_8" localSheetId="0">#REF!</definedName>
    <definedName name="EM_023_8">#REF!</definedName>
    <definedName name="EM_023_9" localSheetId="0">#REF!</definedName>
    <definedName name="EM_023_9">#REF!</definedName>
    <definedName name="EM_024_1" localSheetId="0">#REF!</definedName>
    <definedName name="EM_024_1">#REF!</definedName>
    <definedName name="EM_024_10" localSheetId="0">#REF!</definedName>
    <definedName name="EM_024_10">#REF!</definedName>
    <definedName name="EM_024_11" localSheetId="0">#REF!</definedName>
    <definedName name="EM_024_11">#REF!</definedName>
    <definedName name="EM_024_12" localSheetId="0">#REF!</definedName>
    <definedName name="EM_024_12">#REF!</definedName>
    <definedName name="EM_024_13" localSheetId="0">#REF!</definedName>
    <definedName name="EM_024_13">#REF!</definedName>
    <definedName name="EM_024_14" localSheetId="0">#REF!</definedName>
    <definedName name="EM_024_14">#REF!</definedName>
    <definedName name="EM_024_15" localSheetId="0">#REF!</definedName>
    <definedName name="EM_024_15">#REF!</definedName>
    <definedName name="EM_024_16" localSheetId="0">#REF!</definedName>
    <definedName name="EM_024_16">#REF!</definedName>
    <definedName name="EM_024_17" localSheetId="0">#REF!</definedName>
    <definedName name="EM_024_17">#REF!</definedName>
    <definedName name="EM_024_18" localSheetId="0">#REF!</definedName>
    <definedName name="EM_024_18">#REF!</definedName>
    <definedName name="EM_024_2" localSheetId="0">#REF!</definedName>
    <definedName name="EM_024_2">#REF!</definedName>
    <definedName name="EM_024_3" localSheetId="0">#REF!</definedName>
    <definedName name="EM_024_3">#REF!</definedName>
    <definedName name="EM_024_4" localSheetId="0">#REF!</definedName>
    <definedName name="EM_024_4">#REF!</definedName>
    <definedName name="EM_024_5" localSheetId="0">#REF!</definedName>
    <definedName name="EM_024_5">#REF!</definedName>
    <definedName name="EM_024_6" localSheetId="0">#REF!</definedName>
    <definedName name="EM_024_6">#REF!</definedName>
    <definedName name="EM_024_7" localSheetId="0">#REF!</definedName>
    <definedName name="EM_024_7">#REF!</definedName>
    <definedName name="EM_024_8" localSheetId="0">#REF!</definedName>
    <definedName name="EM_024_8">#REF!</definedName>
    <definedName name="EM_024_9" localSheetId="0">#REF!</definedName>
    <definedName name="EM_024_9">#REF!</definedName>
    <definedName name="EM_025_1" localSheetId="0">#REF!</definedName>
    <definedName name="EM_025_1">#REF!</definedName>
    <definedName name="EM_025_10" localSheetId="0">#REF!</definedName>
    <definedName name="EM_025_10">#REF!</definedName>
    <definedName name="EM_025_11" localSheetId="0">#REF!</definedName>
    <definedName name="EM_025_11">#REF!</definedName>
    <definedName name="EM_025_12" localSheetId="0">#REF!</definedName>
    <definedName name="EM_025_12">#REF!</definedName>
    <definedName name="EM_025_13" localSheetId="0">#REF!</definedName>
    <definedName name="EM_025_13">#REF!</definedName>
    <definedName name="EM_025_14" localSheetId="0">#REF!</definedName>
    <definedName name="EM_025_14">#REF!</definedName>
    <definedName name="EM_025_15" localSheetId="0">#REF!</definedName>
    <definedName name="EM_025_15">#REF!</definedName>
    <definedName name="EM_025_16" localSheetId="0">#REF!</definedName>
    <definedName name="EM_025_16">#REF!</definedName>
    <definedName name="EM_025_17" localSheetId="0">#REF!</definedName>
    <definedName name="EM_025_17">#REF!</definedName>
    <definedName name="EM_025_18" localSheetId="0">#REF!</definedName>
    <definedName name="EM_025_18">#REF!</definedName>
    <definedName name="EM_025_2" localSheetId="0">#REF!</definedName>
    <definedName name="EM_025_2">#REF!</definedName>
    <definedName name="EM_025_3" localSheetId="0">#REF!</definedName>
    <definedName name="EM_025_3">#REF!</definedName>
    <definedName name="EM_025_4" localSheetId="0">#REF!</definedName>
    <definedName name="EM_025_4">#REF!</definedName>
    <definedName name="EM_025_5" localSheetId="0">#REF!</definedName>
    <definedName name="EM_025_5">#REF!</definedName>
    <definedName name="EM_025_6" localSheetId="0">#REF!</definedName>
    <definedName name="EM_025_6">#REF!</definedName>
    <definedName name="EM_025_7" localSheetId="0">#REF!</definedName>
    <definedName name="EM_025_7">#REF!</definedName>
    <definedName name="EM_025_8" localSheetId="0">#REF!</definedName>
    <definedName name="EM_025_8">#REF!</definedName>
    <definedName name="EM_025_9" localSheetId="0">#REF!</definedName>
    <definedName name="EM_025_9">#REF!</definedName>
    <definedName name="EM_026_1" localSheetId="0">#REF!</definedName>
    <definedName name="EM_026_1">#REF!</definedName>
    <definedName name="EM_026_10" localSheetId="0">#REF!</definedName>
    <definedName name="EM_026_10">#REF!</definedName>
    <definedName name="EM_026_11" localSheetId="0">#REF!</definedName>
    <definedName name="EM_026_11">#REF!</definedName>
    <definedName name="EM_026_12" localSheetId="0">#REF!</definedName>
    <definedName name="EM_026_12">#REF!</definedName>
    <definedName name="EM_026_13" localSheetId="0">#REF!</definedName>
    <definedName name="EM_026_13">#REF!</definedName>
    <definedName name="EM_026_14" localSheetId="0">#REF!</definedName>
    <definedName name="EM_026_14">#REF!</definedName>
    <definedName name="EM_026_15" localSheetId="0">#REF!</definedName>
    <definedName name="EM_026_15">#REF!</definedName>
    <definedName name="EM_026_16" localSheetId="0">#REF!</definedName>
    <definedName name="EM_026_16">#REF!</definedName>
    <definedName name="EM_026_17" localSheetId="0">#REF!</definedName>
    <definedName name="EM_026_17">#REF!</definedName>
    <definedName name="EM_026_18" localSheetId="0">#REF!</definedName>
    <definedName name="EM_026_18">#REF!</definedName>
    <definedName name="EM_026_2" localSheetId="0">#REF!</definedName>
    <definedName name="EM_026_2">#REF!</definedName>
    <definedName name="EM_026_3" localSheetId="0">#REF!</definedName>
    <definedName name="EM_026_3">#REF!</definedName>
    <definedName name="EM_026_4" localSheetId="0">#REF!</definedName>
    <definedName name="EM_026_4">#REF!</definedName>
    <definedName name="EM_026_5" localSheetId="0">#REF!</definedName>
    <definedName name="EM_026_5">#REF!</definedName>
    <definedName name="EM_026_6" localSheetId="0">#REF!</definedName>
    <definedName name="EM_026_6">#REF!</definedName>
    <definedName name="EM_026_7" localSheetId="0">#REF!</definedName>
    <definedName name="EM_026_7">#REF!</definedName>
    <definedName name="EM_026_8" localSheetId="0">#REF!</definedName>
    <definedName name="EM_026_8">#REF!</definedName>
    <definedName name="EM_026_9" localSheetId="0">#REF!</definedName>
    <definedName name="EM_026_9">#REF!</definedName>
    <definedName name="EM_027_1" localSheetId="0">#REF!</definedName>
    <definedName name="EM_027_1">#REF!</definedName>
    <definedName name="EM_027_10" localSheetId="0">#REF!</definedName>
    <definedName name="EM_027_10">#REF!</definedName>
    <definedName name="EM_027_11" localSheetId="0">#REF!</definedName>
    <definedName name="EM_027_11">#REF!</definedName>
    <definedName name="EM_027_12" localSheetId="0">#REF!</definedName>
    <definedName name="EM_027_12">#REF!</definedName>
    <definedName name="EM_027_13" localSheetId="0">#REF!</definedName>
    <definedName name="EM_027_13">#REF!</definedName>
    <definedName name="EM_027_14" localSheetId="0">#REF!</definedName>
    <definedName name="EM_027_14">#REF!</definedName>
    <definedName name="EM_027_15" localSheetId="0">#REF!</definedName>
    <definedName name="EM_027_15">#REF!</definedName>
    <definedName name="EM_027_16" localSheetId="0">#REF!</definedName>
    <definedName name="EM_027_16">#REF!</definedName>
    <definedName name="EM_027_17" localSheetId="0">#REF!</definedName>
    <definedName name="EM_027_17">#REF!</definedName>
    <definedName name="EM_027_18" localSheetId="0">#REF!</definedName>
    <definedName name="EM_027_18">#REF!</definedName>
    <definedName name="EM_027_2" localSheetId="0">#REF!</definedName>
    <definedName name="EM_027_2">#REF!</definedName>
    <definedName name="EM_027_3" localSheetId="0">#REF!</definedName>
    <definedName name="EM_027_3">#REF!</definedName>
    <definedName name="EM_027_4" localSheetId="0">#REF!</definedName>
    <definedName name="EM_027_4">#REF!</definedName>
    <definedName name="EM_027_5" localSheetId="0">#REF!</definedName>
    <definedName name="EM_027_5">#REF!</definedName>
    <definedName name="EM_027_6" localSheetId="0">#REF!</definedName>
    <definedName name="EM_027_6">#REF!</definedName>
    <definedName name="EM_027_7" localSheetId="0">#REF!</definedName>
    <definedName name="EM_027_7">#REF!</definedName>
    <definedName name="EM_027_8" localSheetId="0">#REF!</definedName>
    <definedName name="EM_027_8">#REF!</definedName>
    <definedName name="EM_027_9" localSheetId="0">#REF!</definedName>
    <definedName name="EM_027_9">#REF!</definedName>
    <definedName name="EM_028_1" localSheetId="0">#REF!</definedName>
    <definedName name="EM_028_1">#REF!</definedName>
    <definedName name="EM_028_10" localSheetId="0">#REF!</definedName>
    <definedName name="EM_028_10">#REF!</definedName>
    <definedName name="EM_028_11" localSheetId="0">#REF!</definedName>
    <definedName name="EM_028_11">#REF!</definedName>
    <definedName name="EM_028_12" localSheetId="0">#REF!</definedName>
    <definedName name="EM_028_12">#REF!</definedName>
    <definedName name="EM_028_13" localSheetId="0">#REF!</definedName>
    <definedName name="EM_028_13">#REF!</definedName>
    <definedName name="EM_028_14" localSheetId="0">#REF!</definedName>
    <definedName name="EM_028_14">#REF!</definedName>
    <definedName name="EM_028_15" localSheetId="0">#REF!</definedName>
    <definedName name="EM_028_15">#REF!</definedName>
    <definedName name="EM_028_16" localSheetId="0">#REF!</definedName>
    <definedName name="EM_028_16">#REF!</definedName>
    <definedName name="EM_028_17" localSheetId="0">#REF!</definedName>
    <definedName name="EM_028_17">#REF!</definedName>
    <definedName name="EM_028_18" localSheetId="0">#REF!</definedName>
    <definedName name="EM_028_18">#REF!</definedName>
    <definedName name="EM_028_2" localSheetId="0">#REF!</definedName>
    <definedName name="EM_028_2">#REF!</definedName>
    <definedName name="EM_028_3" localSheetId="0">#REF!</definedName>
    <definedName name="EM_028_3">#REF!</definedName>
    <definedName name="EM_028_4" localSheetId="0">#REF!</definedName>
    <definedName name="EM_028_4">#REF!</definedName>
    <definedName name="EM_028_5" localSheetId="0">#REF!</definedName>
    <definedName name="EM_028_5">#REF!</definedName>
    <definedName name="EM_028_6" localSheetId="0">#REF!</definedName>
    <definedName name="EM_028_6">#REF!</definedName>
    <definedName name="EM_028_7" localSheetId="0">#REF!</definedName>
    <definedName name="EM_028_7">#REF!</definedName>
    <definedName name="EM_028_8" localSheetId="0">#REF!</definedName>
    <definedName name="EM_028_8">#REF!</definedName>
    <definedName name="EM_028_9" localSheetId="0">#REF!</definedName>
    <definedName name="EM_028_9">#REF!</definedName>
    <definedName name="EM_029_1" localSheetId="0">#REF!</definedName>
    <definedName name="EM_029_1">#REF!</definedName>
    <definedName name="EM_029_10" localSheetId="0">#REF!</definedName>
    <definedName name="EM_029_10">#REF!</definedName>
    <definedName name="EM_029_11" localSheetId="0">#REF!</definedName>
    <definedName name="EM_029_11">#REF!</definedName>
    <definedName name="EM_029_12" localSheetId="0">#REF!</definedName>
    <definedName name="EM_029_12">#REF!</definedName>
    <definedName name="EM_029_13" localSheetId="0">#REF!</definedName>
    <definedName name="EM_029_13">#REF!</definedName>
    <definedName name="EM_029_14" localSheetId="0">#REF!</definedName>
    <definedName name="EM_029_14">#REF!</definedName>
    <definedName name="EM_029_15" localSheetId="0">#REF!</definedName>
    <definedName name="EM_029_15">#REF!</definedName>
    <definedName name="EM_029_16" localSheetId="0">#REF!</definedName>
    <definedName name="EM_029_16">#REF!</definedName>
    <definedName name="EM_029_17" localSheetId="0">#REF!</definedName>
    <definedName name="EM_029_17">#REF!</definedName>
    <definedName name="EM_029_18" localSheetId="0">#REF!</definedName>
    <definedName name="EM_029_18">#REF!</definedName>
    <definedName name="EM_029_2" localSheetId="0">#REF!</definedName>
    <definedName name="EM_029_2">#REF!</definedName>
    <definedName name="EM_029_3" localSheetId="0">#REF!</definedName>
    <definedName name="EM_029_3">#REF!</definedName>
    <definedName name="EM_029_4" localSheetId="0">#REF!</definedName>
    <definedName name="EM_029_4">#REF!</definedName>
    <definedName name="EM_029_5" localSheetId="0">#REF!</definedName>
    <definedName name="EM_029_5">#REF!</definedName>
    <definedName name="EM_029_6" localSheetId="0">#REF!</definedName>
    <definedName name="EM_029_6">#REF!</definedName>
    <definedName name="EM_029_7" localSheetId="0">#REF!</definedName>
    <definedName name="EM_029_7">#REF!</definedName>
    <definedName name="EM_029_8" localSheetId="0">#REF!</definedName>
    <definedName name="EM_029_8">#REF!</definedName>
    <definedName name="EM_029_9" localSheetId="0">#REF!</definedName>
    <definedName name="EM_029_9">#REF!</definedName>
    <definedName name="EM_030_1" localSheetId="0">#REF!</definedName>
    <definedName name="EM_030_1">#REF!</definedName>
    <definedName name="EM_030_10" localSheetId="0">#REF!</definedName>
    <definedName name="EM_030_10">#REF!</definedName>
    <definedName name="EM_030_11" localSheetId="0">#REF!</definedName>
    <definedName name="EM_030_11">#REF!</definedName>
    <definedName name="EM_030_12" localSheetId="0">#REF!</definedName>
    <definedName name="EM_030_12">#REF!</definedName>
    <definedName name="EM_030_13" localSheetId="0">#REF!</definedName>
    <definedName name="EM_030_13">#REF!</definedName>
    <definedName name="EM_030_14" localSheetId="0">#REF!</definedName>
    <definedName name="EM_030_14">#REF!</definedName>
    <definedName name="EM_030_15" localSheetId="0">#REF!</definedName>
    <definedName name="EM_030_15">#REF!</definedName>
    <definedName name="EM_030_16" localSheetId="0">#REF!</definedName>
    <definedName name="EM_030_16">#REF!</definedName>
    <definedName name="EM_030_17" localSheetId="0">#REF!</definedName>
    <definedName name="EM_030_17">#REF!</definedName>
    <definedName name="EM_030_18" localSheetId="0">#REF!</definedName>
    <definedName name="EM_030_18">#REF!</definedName>
    <definedName name="EM_030_2" localSheetId="0">#REF!</definedName>
    <definedName name="EM_030_2">#REF!</definedName>
    <definedName name="EM_030_3" localSheetId="0">#REF!</definedName>
    <definedName name="EM_030_3">#REF!</definedName>
    <definedName name="EM_030_4" localSheetId="0">#REF!</definedName>
    <definedName name="EM_030_4">#REF!</definedName>
    <definedName name="EM_030_5" localSheetId="0">#REF!</definedName>
    <definedName name="EM_030_5">#REF!</definedName>
    <definedName name="EM_030_6" localSheetId="0">#REF!</definedName>
    <definedName name="EM_030_6">#REF!</definedName>
    <definedName name="EM_030_7" localSheetId="0">#REF!</definedName>
    <definedName name="EM_030_7">#REF!</definedName>
    <definedName name="EM_030_8" localSheetId="0">#REF!</definedName>
    <definedName name="EM_030_8">#REF!</definedName>
    <definedName name="EM_030_9" localSheetId="0">#REF!</definedName>
    <definedName name="EM_030_9">#REF!</definedName>
    <definedName name="EM_031_1" localSheetId="0">#REF!</definedName>
    <definedName name="EM_031_1">#REF!</definedName>
    <definedName name="EM_031_10" localSheetId="0">#REF!</definedName>
    <definedName name="EM_031_10">#REF!</definedName>
    <definedName name="EM_031_11" localSheetId="0">#REF!</definedName>
    <definedName name="EM_031_11">#REF!</definedName>
    <definedName name="EM_031_12" localSheetId="0">#REF!</definedName>
    <definedName name="EM_031_12">#REF!</definedName>
    <definedName name="EM_031_13" localSheetId="0">#REF!</definedName>
    <definedName name="EM_031_13">#REF!</definedName>
    <definedName name="EM_031_14" localSheetId="0">#REF!</definedName>
    <definedName name="EM_031_14">#REF!</definedName>
    <definedName name="EM_031_15" localSheetId="0">#REF!</definedName>
    <definedName name="EM_031_15">#REF!</definedName>
    <definedName name="EM_031_16" localSheetId="0">#REF!</definedName>
    <definedName name="EM_031_16">#REF!</definedName>
    <definedName name="EM_031_17" localSheetId="0">#REF!</definedName>
    <definedName name="EM_031_17">#REF!</definedName>
    <definedName name="EM_031_18" localSheetId="0">#REF!</definedName>
    <definedName name="EM_031_18">#REF!</definedName>
    <definedName name="EM_031_2" localSheetId="0">#REF!</definedName>
    <definedName name="EM_031_2">#REF!</definedName>
    <definedName name="EM_031_3" localSheetId="0">#REF!</definedName>
    <definedName name="EM_031_3">#REF!</definedName>
    <definedName name="EM_031_4" localSheetId="0">#REF!</definedName>
    <definedName name="EM_031_4">#REF!</definedName>
    <definedName name="EM_031_5" localSheetId="0">#REF!</definedName>
    <definedName name="EM_031_5">#REF!</definedName>
    <definedName name="EM_031_6" localSheetId="0">#REF!</definedName>
    <definedName name="EM_031_6">#REF!</definedName>
    <definedName name="EM_031_7" localSheetId="0">#REF!</definedName>
    <definedName name="EM_031_7">#REF!</definedName>
    <definedName name="EM_031_8" localSheetId="0">#REF!</definedName>
    <definedName name="EM_031_8">#REF!</definedName>
    <definedName name="EM_031_9" localSheetId="0">#REF!</definedName>
    <definedName name="EM_031_9">#REF!</definedName>
    <definedName name="EM_032_1" localSheetId="0">#REF!</definedName>
    <definedName name="EM_032_1">#REF!</definedName>
    <definedName name="EM_032_10" localSheetId="0">#REF!</definedName>
    <definedName name="EM_032_10">#REF!</definedName>
    <definedName name="EM_032_11" localSheetId="0">#REF!</definedName>
    <definedName name="EM_032_11">#REF!</definedName>
    <definedName name="EM_032_12" localSheetId="0">#REF!</definedName>
    <definedName name="EM_032_12">#REF!</definedName>
    <definedName name="EM_032_13" localSheetId="0">#REF!</definedName>
    <definedName name="EM_032_13">#REF!</definedName>
    <definedName name="EM_032_14" localSheetId="0">#REF!</definedName>
    <definedName name="EM_032_14">#REF!</definedName>
    <definedName name="EM_032_15" localSheetId="0">#REF!</definedName>
    <definedName name="EM_032_15">#REF!</definedName>
    <definedName name="EM_032_16" localSheetId="0">#REF!</definedName>
    <definedName name="EM_032_16">#REF!</definedName>
    <definedName name="EM_032_17" localSheetId="0">#REF!</definedName>
    <definedName name="EM_032_17">#REF!</definedName>
    <definedName name="EM_032_18" localSheetId="0">#REF!</definedName>
    <definedName name="EM_032_18">#REF!</definedName>
    <definedName name="EM_032_2" localSheetId="0">#REF!</definedName>
    <definedName name="EM_032_2">#REF!</definedName>
    <definedName name="EM_032_3" localSheetId="0">#REF!</definedName>
    <definedName name="EM_032_3">#REF!</definedName>
    <definedName name="EM_032_4" localSheetId="0">#REF!</definedName>
    <definedName name="EM_032_4">#REF!</definedName>
    <definedName name="EM_032_5" localSheetId="0">#REF!</definedName>
    <definedName name="EM_032_5">#REF!</definedName>
    <definedName name="EM_032_6" localSheetId="0">#REF!</definedName>
    <definedName name="EM_032_6">#REF!</definedName>
    <definedName name="EM_032_7" localSheetId="0">#REF!</definedName>
    <definedName name="EM_032_7">#REF!</definedName>
    <definedName name="EM_032_8" localSheetId="0">#REF!</definedName>
    <definedName name="EM_032_8">#REF!</definedName>
    <definedName name="EM_032_9" localSheetId="0">#REF!</definedName>
    <definedName name="EM_032_9">#REF!</definedName>
    <definedName name="EM_033_1" localSheetId="0">#REF!</definedName>
    <definedName name="EM_033_1">#REF!</definedName>
    <definedName name="EM_033_10" localSheetId="0">#REF!</definedName>
    <definedName name="EM_033_10">#REF!</definedName>
    <definedName name="EM_033_11" localSheetId="0">#REF!</definedName>
    <definedName name="EM_033_11">#REF!</definedName>
    <definedName name="EM_033_12" localSheetId="0">#REF!</definedName>
    <definedName name="EM_033_12">#REF!</definedName>
    <definedName name="EM_033_13" localSheetId="0">#REF!</definedName>
    <definedName name="EM_033_13">#REF!</definedName>
    <definedName name="EM_033_14" localSheetId="0">#REF!</definedName>
    <definedName name="EM_033_14">#REF!</definedName>
    <definedName name="EM_033_15" localSheetId="0">#REF!</definedName>
    <definedName name="EM_033_15">#REF!</definedName>
    <definedName name="EM_033_16" localSheetId="0">#REF!</definedName>
    <definedName name="EM_033_16">#REF!</definedName>
    <definedName name="EM_033_17" localSheetId="0">#REF!</definedName>
    <definedName name="EM_033_17">#REF!</definedName>
    <definedName name="EM_033_18" localSheetId="0">#REF!</definedName>
    <definedName name="EM_033_18">#REF!</definedName>
    <definedName name="EM_033_2" localSheetId="0">#REF!</definedName>
    <definedName name="EM_033_2">#REF!</definedName>
    <definedName name="EM_033_3" localSheetId="0">#REF!</definedName>
    <definedName name="EM_033_3">#REF!</definedName>
    <definedName name="EM_033_4" localSheetId="0">#REF!</definedName>
    <definedName name="EM_033_4">#REF!</definedName>
    <definedName name="EM_033_5" localSheetId="0">#REF!</definedName>
    <definedName name="EM_033_5">#REF!</definedName>
    <definedName name="EM_033_6" localSheetId="0">#REF!</definedName>
    <definedName name="EM_033_6">#REF!</definedName>
    <definedName name="EM_033_7" localSheetId="0">#REF!</definedName>
    <definedName name="EM_033_7">#REF!</definedName>
    <definedName name="EM_033_8" localSheetId="0">#REF!</definedName>
    <definedName name="EM_033_8">#REF!</definedName>
    <definedName name="EM_033_9" localSheetId="0">#REF!</definedName>
    <definedName name="EM_033_9">#REF!</definedName>
    <definedName name="EM_034_1" localSheetId="0">#REF!</definedName>
    <definedName name="EM_034_1">#REF!</definedName>
    <definedName name="EM_034_10" localSheetId="0">#REF!</definedName>
    <definedName name="EM_034_10">#REF!</definedName>
    <definedName name="EM_034_11" localSheetId="0">#REF!</definedName>
    <definedName name="EM_034_11">#REF!</definedName>
    <definedName name="EM_034_12" localSheetId="0">#REF!</definedName>
    <definedName name="EM_034_12">#REF!</definedName>
    <definedName name="EM_034_13" localSheetId="0">#REF!</definedName>
    <definedName name="EM_034_13">#REF!</definedName>
    <definedName name="EM_034_14" localSheetId="0">#REF!</definedName>
    <definedName name="EM_034_14">#REF!</definedName>
    <definedName name="EM_034_15" localSheetId="0">#REF!</definedName>
    <definedName name="EM_034_15">#REF!</definedName>
    <definedName name="EM_034_16" localSheetId="0">#REF!</definedName>
    <definedName name="EM_034_16">#REF!</definedName>
    <definedName name="EM_034_17" localSheetId="0">#REF!</definedName>
    <definedName name="EM_034_17">#REF!</definedName>
    <definedName name="EM_034_18" localSheetId="0">#REF!</definedName>
    <definedName name="EM_034_18">#REF!</definedName>
    <definedName name="EM_034_2" localSheetId="0">#REF!</definedName>
    <definedName name="EM_034_2">#REF!</definedName>
    <definedName name="EM_034_3" localSheetId="0">#REF!</definedName>
    <definedName name="EM_034_3">#REF!</definedName>
    <definedName name="EM_034_4" localSheetId="0">#REF!</definedName>
    <definedName name="EM_034_4">#REF!</definedName>
    <definedName name="EM_034_5" localSheetId="0">#REF!</definedName>
    <definedName name="EM_034_5">#REF!</definedName>
    <definedName name="EM_034_6" localSheetId="0">#REF!</definedName>
    <definedName name="EM_034_6">#REF!</definedName>
    <definedName name="EM_034_7" localSheetId="0">#REF!</definedName>
    <definedName name="EM_034_7">#REF!</definedName>
    <definedName name="EM_034_8" localSheetId="0">#REF!</definedName>
    <definedName name="EM_034_8">#REF!</definedName>
    <definedName name="EM_034_9" localSheetId="0">#REF!</definedName>
    <definedName name="EM_034_9">#REF!</definedName>
    <definedName name="EM_035_1" localSheetId="0">#REF!</definedName>
    <definedName name="EM_035_1">#REF!</definedName>
    <definedName name="EM_035_10" localSheetId="0">#REF!</definedName>
    <definedName name="EM_035_10">#REF!</definedName>
    <definedName name="EM_035_11" localSheetId="0">#REF!</definedName>
    <definedName name="EM_035_11">#REF!</definedName>
    <definedName name="EM_035_12" localSheetId="0">#REF!</definedName>
    <definedName name="EM_035_12">#REF!</definedName>
    <definedName name="EM_035_13" localSheetId="0">#REF!</definedName>
    <definedName name="EM_035_13">#REF!</definedName>
    <definedName name="EM_035_14" localSheetId="0">#REF!</definedName>
    <definedName name="EM_035_14">#REF!</definedName>
    <definedName name="EM_035_15" localSheetId="0">#REF!</definedName>
    <definedName name="EM_035_15">#REF!</definedName>
    <definedName name="EM_035_16" localSheetId="0">#REF!</definedName>
    <definedName name="EM_035_16">#REF!</definedName>
    <definedName name="EM_035_17" localSheetId="0">#REF!</definedName>
    <definedName name="EM_035_17">#REF!</definedName>
    <definedName name="EM_035_18" localSheetId="0">#REF!</definedName>
    <definedName name="EM_035_18">#REF!</definedName>
    <definedName name="EM_035_2" localSheetId="0">#REF!</definedName>
    <definedName name="EM_035_2">#REF!</definedName>
    <definedName name="EM_035_3" localSheetId="0">#REF!</definedName>
    <definedName name="EM_035_3">#REF!</definedName>
    <definedName name="EM_035_4" localSheetId="0">#REF!</definedName>
    <definedName name="EM_035_4">#REF!</definedName>
    <definedName name="EM_035_5" localSheetId="0">#REF!</definedName>
    <definedName name="EM_035_5">#REF!</definedName>
    <definedName name="EM_035_6" localSheetId="0">#REF!</definedName>
    <definedName name="EM_035_6">#REF!</definedName>
    <definedName name="EM_035_7" localSheetId="0">#REF!</definedName>
    <definedName name="EM_035_7">#REF!</definedName>
    <definedName name="EM_035_8" localSheetId="0">#REF!</definedName>
    <definedName name="EM_035_8">#REF!</definedName>
    <definedName name="EM_035_9" localSheetId="0">#REF!</definedName>
    <definedName name="EM_035_9">#REF!</definedName>
    <definedName name="EM_036_1" localSheetId="0">#REF!</definedName>
    <definedName name="EM_036_1">#REF!</definedName>
    <definedName name="EM_036_10" localSheetId="0">#REF!</definedName>
    <definedName name="EM_036_10">#REF!</definedName>
    <definedName name="EM_036_11" localSheetId="0">#REF!</definedName>
    <definedName name="EM_036_11">#REF!</definedName>
    <definedName name="EM_036_12" localSheetId="0">#REF!</definedName>
    <definedName name="EM_036_12">#REF!</definedName>
    <definedName name="EM_036_13" localSheetId="0">#REF!</definedName>
    <definedName name="EM_036_13">#REF!</definedName>
    <definedName name="EM_036_14" localSheetId="0">#REF!</definedName>
    <definedName name="EM_036_14">#REF!</definedName>
    <definedName name="EM_036_15" localSheetId="0">#REF!</definedName>
    <definedName name="EM_036_15">#REF!</definedName>
    <definedName name="EM_036_16" localSheetId="0">#REF!</definedName>
    <definedName name="EM_036_16">#REF!</definedName>
    <definedName name="EM_036_17" localSheetId="0">#REF!</definedName>
    <definedName name="EM_036_17">#REF!</definedName>
    <definedName name="EM_036_18" localSheetId="0">#REF!</definedName>
    <definedName name="EM_036_18">#REF!</definedName>
    <definedName name="EM_036_2" localSheetId="0">#REF!</definedName>
    <definedName name="EM_036_2">#REF!</definedName>
    <definedName name="EM_036_3" localSheetId="0">#REF!</definedName>
    <definedName name="EM_036_3">#REF!</definedName>
    <definedName name="EM_036_4" localSheetId="0">#REF!</definedName>
    <definedName name="EM_036_4">#REF!</definedName>
    <definedName name="EM_036_5" localSheetId="0">#REF!</definedName>
    <definedName name="EM_036_5">#REF!</definedName>
    <definedName name="EM_036_6" localSheetId="0">#REF!</definedName>
    <definedName name="EM_036_6">#REF!</definedName>
    <definedName name="EM_036_7" localSheetId="0">#REF!</definedName>
    <definedName name="EM_036_7">#REF!</definedName>
    <definedName name="EM_036_8" localSheetId="0">#REF!</definedName>
    <definedName name="EM_036_8">#REF!</definedName>
    <definedName name="EM_036_9" localSheetId="0">#REF!</definedName>
    <definedName name="EM_036_9">#REF!</definedName>
    <definedName name="EM_037_1" localSheetId="0">#REF!</definedName>
    <definedName name="EM_037_1">#REF!</definedName>
    <definedName name="EM_037_10" localSheetId="0">#REF!</definedName>
    <definedName name="EM_037_10">#REF!</definedName>
    <definedName name="EM_037_11" localSheetId="0">#REF!</definedName>
    <definedName name="EM_037_11">#REF!</definedName>
    <definedName name="EM_037_12" localSheetId="0">#REF!</definedName>
    <definedName name="EM_037_12">#REF!</definedName>
    <definedName name="EM_037_13" localSheetId="0">#REF!</definedName>
    <definedName name="EM_037_13">#REF!</definedName>
    <definedName name="EM_037_14" localSheetId="0">#REF!</definedName>
    <definedName name="EM_037_14">#REF!</definedName>
    <definedName name="EM_037_15" localSheetId="0">#REF!</definedName>
    <definedName name="EM_037_15">#REF!</definedName>
    <definedName name="EM_037_16" localSheetId="0">#REF!</definedName>
    <definedName name="EM_037_16">#REF!</definedName>
    <definedName name="EM_037_17" localSheetId="0">#REF!</definedName>
    <definedName name="EM_037_17">#REF!</definedName>
    <definedName name="EM_037_18" localSheetId="0">#REF!</definedName>
    <definedName name="EM_037_18">#REF!</definedName>
    <definedName name="EM_037_2" localSheetId="0">#REF!</definedName>
    <definedName name="EM_037_2">#REF!</definedName>
    <definedName name="EM_037_3" localSheetId="0">#REF!</definedName>
    <definedName name="EM_037_3">#REF!</definedName>
    <definedName name="EM_037_4" localSheetId="0">#REF!</definedName>
    <definedName name="EM_037_4">#REF!</definedName>
    <definedName name="EM_037_5" localSheetId="0">#REF!</definedName>
    <definedName name="EM_037_5">#REF!</definedName>
    <definedName name="EM_037_6" localSheetId="0">#REF!</definedName>
    <definedName name="EM_037_6">#REF!</definedName>
    <definedName name="EM_037_7" localSheetId="0">#REF!</definedName>
    <definedName name="EM_037_7">#REF!</definedName>
    <definedName name="EM_037_8" localSheetId="0">#REF!</definedName>
    <definedName name="EM_037_8">#REF!</definedName>
    <definedName name="EM_037_9" localSheetId="0">#REF!</definedName>
    <definedName name="EM_037_9">#REF!</definedName>
    <definedName name="EM_038_1" localSheetId="0">#REF!</definedName>
    <definedName name="EM_038_1">#REF!</definedName>
    <definedName name="EM_038_10" localSheetId="0">#REF!</definedName>
    <definedName name="EM_038_10">#REF!</definedName>
    <definedName name="EM_038_11" localSheetId="0">#REF!</definedName>
    <definedName name="EM_038_11">#REF!</definedName>
    <definedName name="EM_038_12" localSheetId="0">#REF!</definedName>
    <definedName name="EM_038_12">#REF!</definedName>
    <definedName name="EM_038_13" localSheetId="0">#REF!</definedName>
    <definedName name="EM_038_13">#REF!</definedName>
    <definedName name="EM_038_14" localSheetId="0">#REF!</definedName>
    <definedName name="EM_038_14">#REF!</definedName>
    <definedName name="EM_038_15" localSheetId="0">#REF!</definedName>
    <definedName name="EM_038_15">#REF!</definedName>
    <definedName name="EM_038_16" localSheetId="0">#REF!</definedName>
    <definedName name="EM_038_16">#REF!</definedName>
    <definedName name="EM_038_17" localSheetId="0">#REF!</definedName>
    <definedName name="EM_038_17">#REF!</definedName>
    <definedName name="EM_038_18" localSheetId="0">#REF!</definedName>
    <definedName name="EM_038_18">#REF!</definedName>
    <definedName name="EM_038_2" localSheetId="0">#REF!</definedName>
    <definedName name="EM_038_2">#REF!</definedName>
    <definedName name="EM_038_3" localSheetId="0">#REF!</definedName>
    <definedName name="EM_038_3">#REF!</definedName>
    <definedName name="EM_038_4" localSheetId="0">#REF!</definedName>
    <definedName name="EM_038_4">#REF!</definedName>
    <definedName name="EM_038_5" localSheetId="0">#REF!</definedName>
    <definedName name="EM_038_5">#REF!</definedName>
    <definedName name="EM_038_6" localSheetId="0">#REF!</definedName>
    <definedName name="EM_038_6">#REF!</definedName>
    <definedName name="EM_038_7" localSheetId="0">#REF!</definedName>
    <definedName name="EM_038_7">#REF!</definedName>
    <definedName name="EM_038_8" localSheetId="0">#REF!</definedName>
    <definedName name="EM_038_8">#REF!</definedName>
    <definedName name="EM_038_9" localSheetId="0">#REF!</definedName>
    <definedName name="EM_038_9">#REF!</definedName>
    <definedName name="EM_039_1" localSheetId="0">#REF!</definedName>
    <definedName name="EM_039_1">#REF!</definedName>
    <definedName name="EM_039_10" localSheetId="0">#REF!</definedName>
    <definedName name="EM_039_10">#REF!</definedName>
    <definedName name="EM_039_11" localSheetId="0">#REF!</definedName>
    <definedName name="EM_039_11">#REF!</definedName>
    <definedName name="EM_039_12" localSheetId="0">#REF!</definedName>
    <definedName name="EM_039_12">#REF!</definedName>
    <definedName name="EM_039_13" localSheetId="0">#REF!</definedName>
    <definedName name="EM_039_13">#REF!</definedName>
    <definedName name="EM_039_14" localSheetId="0">#REF!</definedName>
    <definedName name="EM_039_14">#REF!</definedName>
    <definedName name="EM_039_15" localSheetId="0">#REF!</definedName>
    <definedName name="EM_039_15">#REF!</definedName>
    <definedName name="EM_039_16" localSheetId="0">#REF!</definedName>
    <definedName name="EM_039_16">#REF!</definedName>
    <definedName name="EM_039_17" localSheetId="0">#REF!</definedName>
    <definedName name="EM_039_17">#REF!</definedName>
    <definedName name="EM_039_18" localSheetId="0">#REF!</definedName>
    <definedName name="EM_039_18">#REF!</definedName>
    <definedName name="EM_039_2" localSheetId="0">#REF!</definedName>
    <definedName name="EM_039_2">#REF!</definedName>
    <definedName name="EM_039_3" localSheetId="0">#REF!</definedName>
    <definedName name="EM_039_3">#REF!</definedName>
    <definedName name="EM_039_4" localSheetId="0">#REF!</definedName>
    <definedName name="EM_039_4">#REF!</definedName>
    <definedName name="EM_039_5" localSheetId="0">#REF!</definedName>
    <definedName name="EM_039_5">#REF!</definedName>
    <definedName name="EM_039_6" localSheetId="0">#REF!</definedName>
    <definedName name="EM_039_6">#REF!</definedName>
    <definedName name="EM_039_7" localSheetId="0">#REF!</definedName>
    <definedName name="EM_039_7">#REF!</definedName>
    <definedName name="EM_039_8" localSheetId="0">#REF!</definedName>
    <definedName name="EM_039_8">#REF!</definedName>
    <definedName name="EM_039_9" localSheetId="0">#REF!</definedName>
    <definedName name="EM_039_9">#REF!</definedName>
    <definedName name="EM_051_14" localSheetId="0">#REF!</definedName>
    <definedName name="EM_051_14">#REF!</definedName>
    <definedName name="EM_051_15" localSheetId="0">#REF!</definedName>
    <definedName name="EM_051_15">#REF!</definedName>
    <definedName name="EM_051_16" localSheetId="0">#REF!</definedName>
    <definedName name="EM_051_16">#REF!</definedName>
    <definedName name="EM_051_17" localSheetId="0">#REF!</definedName>
    <definedName name="EM_051_17">#REF!</definedName>
    <definedName name="EM_051_18" localSheetId="0">#REF!</definedName>
    <definedName name="EM_051_18">#REF!</definedName>
    <definedName name="EM_052_14" localSheetId="0">#REF!</definedName>
    <definedName name="EM_052_14">#REF!</definedName>
    <definedName name="EM_052_15" localSheetId="0">#REF!</definedName>
    <definedName name="EM_052_15">#REF!</definedName>
    <definedName name="EM_052_16" localSheetId="0">#REF!</definedName>
    <definedName name="EM_052_16">#REF!</definedName>
    <definedName name="EM_052_17" localSheetId="0">#REF!</definedName>
    <definedName name="EM_052_17">#REF!</definedName>
    <definedName name="EM_052_18" localSheetId="0">#REF!</definedName>
    <definedName name="EM_052_18">#REF!</definedName>
    <definedName name="EM_053_14" localSheetId="0">#REF!</definedName>
    <definedName name="EM_053_14">#REF!</definedName>
    <definedName name="EM_053_15" localSheetId="0">#REF!</definedName>
    <definedName name="EM_053_15">#REF!</definedName>
    <definedName name="EM_053_16" localSheetId="0">#REF!</definedName>
    <definedName name="EM_053_16">#REF!</definedName>
    <definedName name="EM_053_17" localSheetId="0">#REF!</definedName>
    <definedName name="EM_053_17">#REF!</definedName>
    <definedName name="EM_053_18" localSheetId="0">#REF!</definedName>
    <definedName name="EM_053_18">#REF!</definedName>
    <definedName name="EM_054_14" localSheetId="0">#REF!</definedName>
    <definedName name="EM_054_14">#REF!</definedName>
    <definedName name="EM_054_15" localSheetId="0">#REF!</definedName>
    <definedName name="EM_054_15">#REF!</definedName>
    <definedName name="EM_054_16" localSheetId="0">#REF!</definedName>
    <definedName name="EM_054_16">#REF!</definedName>
    <definedName name="EM_054_17" localSheetId="0">#REF!</definedName>
    <definedName name="EM_054_17">#REF!</definedName>
    <definedName name="EM_054_18" localSheetId="0">#REF!</definedName>
    <definedName name="EM_054_18">#REF!</definedName>
    <definedName name="EM_055_14" localSheetId="0">#REF!</definedName>
    <definedName name="EM_055_14">#REF!</definedName>
    <definedName name="EM_055_15" localSheetId="0">#REF!</definedName>
    <definedName name="EM_055_15">#REF!</definedName>
    <definedName name="EM_055_16" localSheetId="0">#REF!</definedName>
    <definedName name="EM_055_16">#REF!</definedName>
    <definedName name="EM_055_17" localSheetId="0">#REF!</definedName>
    <definedName name="EM_055_17">#REF!</definedName>
    <definedName name="EM_055_18" localSheetId="0">#REF!</definedName>
    <definedName name="EM_055_18">#REF!</definedName>
    <definedName name="EM_056_14" localSheetId="0">#REF!</definedName>
    <definedName name="EM_056_14">#REF!</definedName>
    <definedName name="EM_056_15" localSheetId="0">#REF!</definedName>
    <definedName name="EM_056_15">#REF!</definedName>
    <definedName name="EM_056_16" localSheetId="0">#REF!</definedName>
    <definedName name="EM_056_16">#REF!</definedName>
    <definedName name="EM_056_17" localSheetId="0">#REF!</definedName>
    <definedName name="EM_056_17">#REF!</definedName>
    <definedName name="EM_056_18" localSheetId="0">#REF!</definedName>
    <definedName name="EM_056_18">#REF!</definedName>
    <definedName name="EM_057_14" localSheetId="0">#REF!</definedName>
    <definedName name="EM_057_14">#REF!</definedName>
    <definedName name="EM_057_15" localSheetId="0">#REF!</definedName>
    <definedName name="EM_057_15">#REF!</definedName>
    <definedName name="EM_057_16" localSheetId="0">#REF!</definedName>
    <definedName name="EM_057_16">#REF!</definedName>
    <definedName name="EM_057_17" localSheetId="0">#REF!</definedName>
    <definedName name="EM_057_17">#REF!</definedName>
    <definedName name="EM_057_18" localSheetId="0">#REF!</definedName>
    <definedName name="EM_057_18">#REF!</definedName>
    <definedName name="EM_058_14" localSheetId="0">#REF!</definedName>
    <definedName name="EM_058_14">#REF!</definedName>
    <definedName name="EM_058_15" localSheetId="0">#REF!</definedName>
    <definedName name="EM_058_15">#REF!</definedName>
    <definedName name="EM_058_16" localSheetId="0">#REF!</definedName>
    <definedName name="EM_058_16">#REF!</definedName>
    <definedName name="EM_058_17" localSheetId="0">#REF!</definedName>
    <definedName name="EM_058_17">#REF!</definedName>
    <definedName name="EM_058_18" localSheetId="0">#REF!</definedName>
    <definedName name="EM_058_18">#REF!</definedName>
    <definedName name="EM_059_14" localSheetId="0">#REF!</definedName>
    <definedName name="EM_059_14">#REF!</definedName>
    <definedName name="EM_059_15" localSheetId="0">#REF!</definedName>
    <definedName name="EM_059_15">#REF!</definedName>
    <definedName name="EM_059_16" localSheetId="0">#REF!</definedName>
    <definedName name="EM_059_16">#REF!</definedName>
    <definedName name="EM_059_17" localSheetId="0">#REF!</definedName>
    <definedName name="EM_059_17">#REF!</definedName>
    <definedName name="EM_059_18" localSheetId="0">#REF!</definedName>
    <definedName name="EM_059_18">#REF!</definedName>
    <definedName name="EM_060_14" localSheetId="0">#REF!</definedName>
    <definedName name="EM_060_14">#REF!</definedName>
    <definedName name="EM_060_15" localSheetId="0">#REF!</definedName>
    <definedName name="EM_060_15">#REF!</definedName>
    <definedName name="EM_060_16" localSheetId="0">#REF!</definedName>
    <definedName name="EM_060_16">#REF!</definedName>
    <definedName name="EM_060_17" localSheetId="0">#REF!</definedName>
    <definedName name="EM_060_17">#REF!</definedName>
    <definedName name="EM_060_18" localSheetId="0">#REF!</definedName>
    <definedName name="EM_060_18">#REF!</definedName>
    <definedName name="EM_061_14" localSheetId="0">#REF!</definedName>
    <definedName name="EM_061_14">#REF!</definedName>
    <definedName name="EM_061_15" localSheetId="0">#REF!</definedName>
    <definedName name="EM_061_15">#REF!</definedName>
    <definedName name="EM_061_16" localSheetId="0">#REF!</definedName>
    <definedName name="EM_061_16">#REF!</definedName>
    <definedName name="EM_061_17" localSheetId="0">#REF!</definedName>
    <definedName name="EM_061_17">#REF!</definedName>
    <definedName name="EM_061_18" localSheetId="0">#REF!</definedName>
    <definedName name="EM_061_18">#REF!</definedName>
    <definedName name="EM_062_14" localSheetId="0">#REF!</definedName>
    <definedName name="EM_062_14">#REF!</definedName>
    <definedName name="EM_062_15" localSheetId="0">#REF!</definedName>
    <definedName name="EM_062_15">#REF!</definedName>
    <definedName name="EM_062_16" localSheetId="0">#REF!</definedName>
    <definedName name="EM_062_16">#REF!</definedName>
    <definedName name="EM_062_17" localSheetId="0">#REF!</definedName>
    <definedName name="EM_062_17">#REF!</definedName>
    <definedName name="EM_062_18" localSheetId="0">#REF!</definedName>
    <definedName name="EM_062_18">#REF!</definedName>
    <definedName name="EM_063_14" localSheetId="0">#REF!</definedName>
    <definedName name="EM_063_14">#REF!</definedName>
    <definedName name="EM_063_15" localSheetId="0">#REF!</definedName>
    <definedName name="EM_063_15">#REF!</definedName>
    <definedName name="EM_063_16" localSheetId="0">#REF!</definedName>
    <definedName name="EM_063_16">#REF!</definedName>
    <definedName name="EM_063_17" localSheetId="0">#REF!</definedName>
    <definedName name="EM_063_17">#REF!</definedName>
    <definedName name="EM_063_18" localSheetId="0">#REF!</definedName>
    <definedName name="EM_063_18">#REF!</definedName>
    <definedName name="EM_064_14" localSheetId="0">#REF!</definedName>
    <definedName name="EM_064_14">#REF!</definedName>
    <definedName name="EM_064_15" localSheetId="0">#REF!</definedName>
    <definedName name="EM_064_15">#REF!</definedName>
    <definedName name="EM_064_16" localSheetId="0">#REF!</definedName>
    <definedName name="EM_064_16">#REF!</definedName>
    <definedName name="EM_064_17" localSheetId="0">#REF!</definedName>
    <definedName name="EM_064_17">#REF!</definedName>
    <definedName name="EM_064_18" localSheetId="0">#REF!</definedName>
    <definedName name="EM_064_18">#REF!</definedName>
    <definedName name="EM_065_14" localSheetId="0">#REF!</definedName>
    <definedName name="EM_065_14">#REF!</definedName>
    <definedName name="EM_065_15" localSheetId="0">#REF!</definedName>
    <definedName name="EM_065_15">#REF!</definedName>
    <definedName name="EM_065_16" localSheetId="0">#REF!</definedName>
    <definedName name="EM_065_16">#REF!</definedName>
    <definedName name="EM_065_17" localSheetId="0">#REF!</definedName>
    <definedName name="EM_065_17">#REF!</definedName>
    <definedName name="EM_065_18" localSheetId="0">#REF!</definedName>
    <definedName name="EM_065_18">#REF!</definedName>
    <definedName name="EM_066_14" localSheetId="0">#REF!</definedName>
    <definedName name="EM_066_14">#REF!</definedName>
    <definedName name="EM_066_15" localSheetId="0">#REF!</definedName>
    <definedName name="EM_066_15">#REF!</definedName>
    <definedName name="EM_066_16" localSheetId="0">#REF!</definedName>
    <definedName name="EM_066_16">#REF!</definedName>
    <definedName name="EM_066_17" localSheetId="0">#REF!</definedName>
    <definedName name="EM_066_17">#REF!</definedName>
    <definedName name="EM_066_18" localSheetId="0">#REF!</definedName>
    <definedName name="EM_066_18">#REF!</definedName>
    <definedName name="EM_067_14" localSheetId="0">#REF!</definedName>
    <definedName name="EM_067_14">#REF!</definedName>
    <definedName name="EM_067_15" localSheetId="0">#REF!</definedName>
    <definedName name="EM_067_15">#REF!</definedName>
    <definedName name="EM_067_16" localSheetId="0">#REF!</definedName>
    <definedName name="EM_067_16">#REF!</definedName>
    <definedName name="EM_067_17" localSheetId="0">#REF!</definedName>
    <definedName name="EM_067_17">#REF!</definedName>
    <definedName name="EM_067_18" localSheetId="0">#REF!</definedName>
    <definedName name="EM_067_18">#REF!</definedName>
    <definedName name="EM_068_14" localSheetId="0">#REF!</definedName>
    <definedName name="EM_068_14">#REF!</definedName>
    <definedName name="EM_068_15" localSheetId="0">#REF!</definedName>
    <definedName name="EM_068_15">#REF!</definedName>
    <definedName name="EM_068_16" localSheetId="0">#REF!</definedName>
    <definedName name="EM_068_16">#REF!</definedName>
    <definedName name="EM_068_17" localSheetId="0">#REF!</definedName>
    <definedName name="EM_068_17">#REF!</definedName>
    <definedName name="EM_068_18" localSheetId="0">#REF!</definedName>
    <definedName name="EM_068_18">#REF!</definedName>
    <definedName name="EM_069_14" localSheetId="0">#REF!</definedName>
    <definedName name="EM_069_14">#REF!</definedName>
    <definedName name="EM_069_15" localSheetId="0">#REF!</definedName>
    <definedName name="EM_069_15">#REF!</definedName>
    <definedName name="EM_069_16" localSheetId="0">#REF!</definedName>
    <definedName name="EM_069_16">#REF!</definedName>
    <definedName name="EM_069_17" localSheetId="0">#REF!</definedName>
    <definedName name="EM_069_17">#REF!</definedName>
    <definedName name="EM_069_18" localSheetId="0">#REF!</definedName>
    <definedName name="EM_069_18">#REF!</definedName>
    <definedName name="EM_070_14" localSheetId="0">#REF!</definedName>
    <definedName name="EM_070_14">#REF!</definedName>
    <definedName name="EM_070_15" localSheetId="0">#REF!</definedName>
    <definedName name="EM_070_15">#REF!</definedName>
    <definedName name="EM_070_16" localSheetId="0">#REF!</definedName>
    <definedName name="EM_070_16">#REF!</definedName>
    <definedName name="EM_070_17" localSheetId="0">#REF!</definedName>
    <definedName name="EM_070_17">#REF!</definedName>
    <definedName name="EM_070_18" localSheetId="0">#REF!</definedName>
    <definedName name="EM_070_18">#REF!</definedName>
    <definedName name="EM_071_14" localSheetId="0">#REF!</definedName>
    <definedName name="EM_071_14">#REF!</definedName>
    <definedName name="EM_071_15" localSheetId="0">#REF!</definedName>
    <definedName name="EM_071_15">#REF!</definedName>
    <definedName name="EM_071_16" localSheetId="0">#REF!</definedName>
    <definedName name="EM_071_16">#REF!</definedName>
    <definedName name="EM_071_17" localSheetId="0">#REF!</definedName>
    <definedName name="EM_071_17">#REF!</definedName>
    <definedName name="EM_071_18" localSheetId="0">#REF!</definedName>
    <definedName name="EM_071_18">#REF!</definedName>
    <definedName name="EM_072_14" localSheetId="0">#REF!</definedName>
    <definedName name="EM_072_14">#REF!</definedName>
    <definedName name="EM_072_15" localSheetId="0">#REF!</definedName>
    <definedName name="EM_072_15">#REF!</definedName>
    <definedName name="EM_072_16" localSheetId="0">#REF!</definedName>
    <definedName name="EM_072_16">#REF!</definedName>
    <definedName name="EM_072_17" localSheetId="0">#REF!</definedName>
    <definedName name="EM_072_17">#REF!</definedName>
    <definedName name="EM_072_18" localSheetId="0">#REF!</definedName>
    <definedName name="EM_072_18">#REF!</definedName>
    <definedName name="EM_073_14" localSheetId="0">#REF!</definedName>
    <definedName name="EM_073_14">#REF!</definedName>
    <definedName name="EM_073_15" localSheetId="0">#REF!</definedName>
    <definedName name="EM_073_15">#REF!</definedName>
    <definedName name="EM_073_16" localSheetId="0">#REF!</definedName>
    <definedName name="EM_073_16">#REF!</definedName>
    <definedName name="EM_073_17" localSheetId="0">#REF!</definedName>
    <definedName name="EM_073_17">#REF!</definedName>
    <definedName name="EM_073_18" localSheetId="0">#REF!</definedName>
    <definedName name="EM_073_18">#REF!</definedName>
    <definedName name="EM_074_14" localSheetId="0">#REF!</definedName>
    <definedName name="EM_074_14">#REF!</definedName>
    <definedName name="EM_074_15" localSheetId="0">#REF!</definedName>
    <definedName name="EM_074_15">#REF!</definedName>
    <definedName name="EM_074_16" localSheetId="0">#REF!</definedName>
    <definedName name="EM_074_16">#REF!</definedName>
    <definedName name="EM_074_17" localSheetId="0">#REF!</definedName>
    <definedName name="EM_074_17">#REF!</definedName>
    <definedName name="EM_074_18" localSheetId="0">#REF!</definedName>
    <definedName name="EM_074_18">#REF!</definedName>
    <definedName name="EMF">#REF!</definedName>
    <definedName name="EMFR">#REF!</definedName>
    <definedName name="EMFS">#REF!</definedName>
    <definedName name="END" localSheetId="0">#REF!</definedName>
    <definedName name="END">#REF!</definedName>
    <definedName name="EndCell">#REF!</definedName>
    <definedName name="eng_proj_id_001" localSheetId="0">#REF!</definedName>
    <definedName name="eng_proj_id_001">#REF!</definedName>
    <definedName name="eng_ref_id_001" localSheetId="0">#REF!</definedName>
    <definedName name="eng_ref_id_001">#REF!</definedName>
    <definedName name="eq" localSheetId="0">[49]eq_data!$C$5:$C$54</definedName>
    <definedName name="EQ">[55]eq_data!$C$5:$C$54</definedName>
    <definedName name="eq_index" localSheetId="0">#REF!</definedName>
    <definedName name="eq_index">#REF!</definedName>
    <definedName name="eq_name" localSheetId="0">[49]eq_data!$C$5:$C$54</definedName>
    <definedName name="eq_name">[55]eq_data!$C$5:$C$54</definedName>
    <definedName name="eqname" localSheetId="0">[56]eq_data!$C$5:$C$54</definedName>
    <definedName name="eqname">[57]eq_data!$C$5:$C$54</definedName>
    <definedName name="EQPT_Rate">#REF!</definedName>
    <definedName name="equip_id_001" localSheetId="0">#REF!</definedName>
    <definedName name="equip_id_001">#REF!</definedName>
    <definedName name="EQUIPMENT_____LIST" localSheetId="0">#REF!</definedName>
    <definedName name="EQUIPMENT_____LIST">#REF!</definedName>
    <definedName name="ESD">#REF!</definedName>
    <definedName name="EU">#REF!</definedName>
    <definedName name="EW">[58]내역!#REF!</definedName>
    <definedName name="Exca_D">[59]Basic!$B$46</definedName>
    <definedName name="Excav">#REF!</definedName>
    <definedName name="Exchangerate" localSheetId="0">#REF!</definedName>
    <definedName name="Exchangerate">#REF!</definedName>
    <definedName name="Ext_Paint_Final" localSheetId="0">#REF!</definedName>
    <definedName name="Ext_Paint_Final">#REF!</definedName>
    <definedName name="Ext_Paint_Intermediate" localSheetId="0">#REF!</definedName>
    <definedName name="Ext_Paint_Intermediate">#REF!</definedName>
    <definedName name="Ext_Paint_Primer" localSheetId="0">#REF!</definedName>
    <definedName name="Ext_Paint_Primer">#REF!</definedName>
    <definedName name="F" localSheetId="0">[58]영업소실적!#REF!</definedName>
    <definedName name="F">[60]영업소실적!#REF!</definedName>
    <definedName name="f_shape" localSheetId="0">#REF!</definedName>
    <definedName name="f_shape">#REF!</definedName>
    <definedName name="fact">#REF!</definedName>
    <definedName name="Factor" localSheetId="0">[61]PumpSpec!$U$2:$V$5</definedName>
    <definedName name="Factor">[56]PumpSpec!$U$2:$V$5</definedName>
    <definedName name="factor_wt">#REF!</definedName>
    <definedName name="factor_wt1">#REF!</definedName>
    <definedName name="factor1">#REF!</definedName>
    <definedName name="fasfsdfsdfasdfsdfsd" localSheetId="0" hidden="1">{#N/A,#N/A,TRUE,"Basic";#N/A,#N/A,TRUE,"EXT-TABLE";#N/A,#N/A,TRUE,"STEEL";#N/A,#N/A,TRUE,"INT-Table";#N/A,#N/A,TRUE,"STEEL";#N/A,#N/A,TRUE,"Door"}</definedName>
    <definedName name="fasfsdfsdfasdfsdfsd" hidden="1">{#N/A,#N/A,TRUE,"Basic";#N/A,#N/A,TRUE,"EXT-TABLE";#N/A,#N/A,TRUE,"STEEL";#N/A,#N/A,TRUE,"INT-Table";#N/A,#N/A,TRUE,"STEEL";#N/A,#N/A,TRUE,"Door"}</definedName>
    <definedName name="fb_dc_cur_001" localSheetId="0">#REF!</definedName>
    <definedName name="fb_dc_cur_001">#REF!</definedName>
    <definedName name="fb_dev_address_001" localSheetId="0">#REF!</definedName>
    <definedName name="fb_dev_address_001">#REF!</definedName>
    <definedName name="fb_dev_id_001" localSheetId="0">#REF!</definedName>
    <definedName name="fb_dev_id_001">#REF!</definedName>
    <definedName name="fb_max_volt_001" localSheetId="0">#REF!</definedName>
    <definedName name="fb_max_volt_001">#REF!</definedName>
    <definedName name="fb_min_transmit_level_001" localSheetId="0">#REF!</definedName>
    <definedName name="fb_min_transmit_level_001">#REF!</definedName>
    <definedName name="fb_min_volt_001" localSheetId="0">#REF!</definedName>
    <definedName name="fb_min_volt_001">#REF!</definedName>
    <definedName name="fb_standard_001" localSheetId="0">#REF!</definedName>
    <definedName name="fb_standard_001">#REF!</definedName>
    <definedName name="fb_tag_no_001" localSheetId="0">#REF!</definedName>
    <definedName name="fb_tag_no_001">#REF!</definedName>
    <definedName name="fdn_no" localSheetId="0">#REF!</definedName>
    <definedName name="fdn_no">#REF!</definedName>
    <definedName name="FE">#REF!</definedName>
    <definedName name="fe_isize_decplaces_001" localSheetId="0">#REF!</definedName>
    <definedName name="fe_isize_decplaces_001">#REF!</definedName>
    <definedName name="FEEF">#REF!</definedName>
    <definedName name="FF" localSheetId="0">#REF!</definedName>
    <definedName name="FF">#REF!</definedName>
    <definedName name="ffefsdfsdfsdf" localSheetId="0" hidden="1">{#N/A,#N/A,TRUE,"Basic";#N/A,#N/A,TRUE,"EXT-TABLE";#N/A,#N/A,TRUE,"STEEL";#N/A,#N/A,TRUE,"INT-Table";#N/A,#N/A,TRUE,"STEEL";#N/A,#N/A,TRUE,"Door"}</definedName>
    <definedName name="ffefsdfsdfsdf" hidden="1">{#N/A,#N/A,TRUE,"Basic";#N/A,#N/A,TRUE,"EXT-TABLE";#N/A,#N/A,TRUE,"STEEL";#N/A,#N/A,TRUE,"INT-Table";#N/A,#N/A,TRUE,"STEEL";#N/A,#N/A,TRUE,"Door"}</definedName>
    <definedName name="fffff" localSheetId="0" hidden="1">{#N/A,#N/A,TRUE,"Basic";#N/A,#N/A,TRUE,"EXT-TABLE";#N/A,#N/A,TRUE,"STEEL";#N/A,#N/A,TRUE,"INT-Table";#N/A,#N/A,TRUE,"STEEL";#N/A,#N/A,TRUE,"Door"}</definedName>
    <definedName name="fffff" hidden="1">{#N/A,#N/A,TRUE,"Basic";#N/A,#N/A,TRUE,"EXT-TABLE";#N/A,#N/A,TRUE,"STEEL";#N/A,#N/A,TRUE,"INT-Table";#N/A,#N/A,TRUE,"STEEL";#N/A,#N/A,TRUE,"Door"}</definedName>
    <definedName name="FG46TBTB4RTDKDK">#REF!</definedName>
    <definedName name="fgfg">#REF!</definedName>
    <definedName name="fgr">#REF!</definedName>
    <definedName name="Field_Erection" localSheetId="0">#REF!</definedName>
    <definedName name="Field_Erection">#REF!</definedName>
    <definedName name="Field_Internals" localSheetId="0">#REF!</definedName>
    <definedName name="Field_Internals">#REF!</definedName>
    <definedName name="Field_Platform" localSheetId="0">#REF!</definedName>
    <definedName name="Field_Platform">#REF!</definedName>
    <definedName name="fieldbus_device_rev_001" localSheetId="0">#REF!</definedName>
    <definedName name="fieldbus_device_rev_001">#REF!</definedName>
    <definedName name="FieldFab" localSheetId="0">#REF!</definedName>
    <definedName name="FieldFab">#REF!</definedName>
    <definedName name="Fill" localSheetId="0" hidden="1">#REF!</definedName>
    <definedName name="Fill" hidden="1">#REF!</definedName>
    <definedName name="Fire_Proofing" localSheetId="0">#REF!</definedName>
    <definedName name="Fire_Proofing">#REF!</definedName>
    <definedName name="flow_flag_001" localSheetId="0">#REF!</definedName>
    <definedName name="flow_flag_001">#REF!</definedName>
    <definedName name="fluid_id_001" localSheetId="0">#REF!</definedName>
    <definedName name="fluid_id_001">#REF!</definedName>
    <definedName name="FO">#REF!</definedName>
    <definedName name="Form">#REF!</definedName>
    <definedName name="frequency_id_001" localSheetId="0">#REF!</definedName>
    <definedName name="frequency_id_001">#REF!</definedName>
    <definedName name="FROM" localSheetId="0">[34]Main!$C$8</definedName>
    <definedName name="from">[35]Main!$C$8</definedName>
    <definedName name="FROM_C" localSheetId="0">[43]MAIN!$E$7</definedName>
    <definedName name="FROM_C">[44]MAIN!$E$7</definedName>
    <definedName name="FS_2" localSheetId="0">Cover!ClearSheet</definedName>
    <definedName name="FS_2">[0]!ClearSheet</definedName>
    <definedName name="FS_3" localSheetId="0">Cover!ClearSheet</definedName>
    <definedName name="FS_3">[0]!ClearSheet</definedName>
    <definedName name="fsda" localSheetId="0" hidden="1">{#N/A,#N/A,TRUE,"Basic";#N/A,#N/A,TRUE,"EXT-TABLE";#N/A,#N/A,TRUE,"STEEL";#N/A,#N/A,TRUE,"INT-Table";#N/A,#N/A,TRUE,"STEEL";#N/A,#N/A,TRUE,"Door"}</definedName>
    <definedName name="fsda" hidden="1">{#N/A,#N/A,TRUE,"Basic";#N/A,#N/A,TRUE,"EXT-TABLE";#N/A,#N/A,TRUE,"STEEL";#N/A,#N/A,TRUE,"INT-Table";#N/A,#N/A,TRUE,"STEEL";#N/A,#N/A,TRUE,"Door"}</definedName>
    <definedName name="fsdaa" localSheetId="0" hidden="1">{#N/A,#N/A,TRUE,"Basic";#N/A,#N/A,TRUE,"EXT-TABLE";#N/A,#N/A,TRUE,"STEEL";#N/A,#N/A,TRUE,"INT-Table";#N/A,#N/A,TRUE,"STEEL";#N/A,#N/A,TRUE,"Door"}</definedName>
    <definedName name="fsdaa" hidden="1">{#N/A,#N/A,TRUE,"Basic";#N/A,#N/A,TRUE,"EXT-TABLE";#N/A,#N/A,TRUE,"STEEL";#N/A,#N/A,TRUE,"INT-Table";#N/A,#N/A,TRUE,"STEEL";#N/A,#N/A,TRUE,"Door"}</definedName>
    <definedName name="FT">#REF!</definedName>
    <definedName name="Ft_Matl">[62]Proposal!#REF!</definedName>
    <definedName name="Ft_Zone_A">[62]Proposal!#REF!</definedName>
    <definedName name="Ft_Zone_B">[62]Proposal!#REF!</definedName>
    <definedName name="Ft_Zone_C">[62]Proposal!#REF!</definedName>
    <definedName name="Ft_Zone_D">[62]Proposal!#REF!</definedName>
    <definedName name="Ft_Zone_E">[62]Proposal!#REF!</definedName>
    <definedName name="full_load_current_001" localSheetId="0">#REF!</definedName>
    <definedName name="full_load_current_001">#REF!</definedName>
    <definedName name="full_weight_001" localSheetId="0">#REF!</definedName>
    <definedName name="full_weight_001">#REF!</definedName>
    <definedName name="Furniture" localSheetId="0" hidden="1">{#N/A,#N/A,TRUE,"Basic";#N/A,#N/A,TRUE,"EXT-TABLE";#N/A,#N/A,TRUE,"STEEL";#N/A,#N/A,TRUE,"INT-Table";#N/A,#N/A,TRUE,"STEEL";#N/A,#N/A,TRUE,"Door"}</definedName>
    <definedName name="Furniture" hidden="1">{#N/A,#N/A,TRUE,"Basic";#N/A,#N/A,TRUE,"EXT-TABLE";#N/A,#N/A,TRUE,"STEEL";#N/A,#N/A,TRUE,"INT-Table";#N/A,#N/A,TRUE,"STEEL";#N/A,#N/A,TRUE,"Door"}</definedName>
    <definedName name="fwbs_name" localSheetId="0">#REF!</definedName>
    <definedName name="fwbs_name">#REF!</definedName>
    <definedName name="G" localSheetId="0">#REF!</definedName>
    <definedName name="G">#REF!</definedName>
    <definedName name="G_P_P">#N/A</definedName>
    <definedName name="gg" localSheetId="0">'[11]h-013211-2'!$Q$3</definedName>
    <definedName name="gg">'[16]h-013211-2'!$Q$3</definedName>
    <definedName name="ggg" localSheetId="0">Cover!ClearSheet</definedName>
    <definedName name="ggg">[0]!ClearSheet</definedName>
    <definedName name="gggg">#REF!</definedName>
    <definedName name="GJ1M" localSheetId="0">#REF!</definedName>
    <definedName name="GJ1M">#REF!</definedName>
    <definedName name="GJ1Y" localSheetId="0">#REF!</definedName>
    <definedName name="GJ1Y">#REF!</definedName>
    <definedName name="GJ3M" localSheetId="0">#REF!</definedName>
    <definedName name="GJ3M">#REF!</definedName>
    <definedName name="GJ3Y" localSheetId="0">#REF!</definedName>
    <definedName name="GJ3Y">#REF!</definedName>
    <definedName name="GJ5P" localSheetId="0">'[6]95삼성급(본사)'!#REF!</definedName>
    <definedName name="GJ5P">'[7]95삼성급(본사)'!#REF!</definedName>
    <definedName name="GJ5Y" localSheetId="0">'[6]95삼성급(본사)'!#REF!</definedName>
    <definedName name="GJ5Y">'[7]95삼성급(본사)'!#REF!</definedName>
    <definedName name="GK" localSheetId="0">#REF!</definedName>
    <definedName name="GK">#REF!</definedName>
    <definedName name="GLAND600V" localSheetId="0">#REF!</definedName>
    <definedName name="GLAND600V">#REF!</definedName>
    <definedName name="GLAND6KV" localSheetId="0">#REF!</definedName>
    <definedName name="GLAND6KV">#REF!</definedName>
    <definedName name="GoForm" localSheetId="0">[63]!GoForm</definedName>
    <definedName name="GoForm">[64]!GoForm</definedName>
    <definedName name="GoList" localSheetId="0">[65]!GoList</definedName>
    <definedName name="GoList">[66]!GoList</definedName>
    <definedName name="GoSpec" localSheetId="0">[63]!GoSpec</definedName>
    <definedName name="GoSpec">[64]!GoSpec</definedName>
    <definedName name="GoTop" localSheetId="0">[63]!GoTop</definedName>
    <definedName name="GoTop">[64]!GoTop</definedName>
    <definedName name="governing_case_001" localSheetId="0">#REF!</definedName>
    <definedName name="governing_case_001">#REF!</definedName>
    <definedName name="GROUP">[1]회사99!#REF!</definedName>
    <definedName name="grout_type" localSheetId="0">#REF!</definedName>
    <definedName name="grout_type">#REF!</definedName>
    <definedName name="Grouting" localSheetId="0">#REF!</definedName>
    <definedName name="Grouting">#REF!</definedName>
    <definedName name="GrphActSales" localSheetId="0">#REF!</definedName>
    <definedName name="GrphActSales">#REF!</definedName>
    <definedName name="GrphActStk" localSheetId="0">#REF!</definedName>
    <definedName name="GrphActStk">#REF!</definedName>
    <definedName name="GrphPlanSales" localSheetId="0">#REF!</definedName>
    <definedName name="GrphPlanSales">#REF!</definedName>
    <definedName name="GrphTgtStk" localSheetId="0">#REF!</definedName>
    <definedName name="GrphTgtStk">#REF!</definedName>
    <definedName name="H" localSheetId="0">#REF!</definedName>
    <definedName name="H">#REF!</definedName>
    <definedName name="h_af" localSheetId="0">#REF!</definedName>
    <definedName name="h_af">#REF!</definedName>
    <definedName name="h_bf" localSheetId="0">#REF!</definedName>
    <definedName name="h_bf">#REF!</definedName>
    <definedName name="HAUS">[1]회사99!#REF!</definedName>
    <definedName name="Hboard">#REF!</definedName>
    <definedName name="hf" localSheetId="0">#REF!</definedName>
    <definedName name="hf">#REF!</definedName>
    <definedName name="HH" localSheetId="0">#REF!</definedName>
    <definedName name="HH">#REF!</definedName>
    <definedName name="HHH" localSheetId="0" hidden="1">{#N/A,#N/A,TRUE,"Basic";#N/A,#N/A,TRUE,"EXT-TABLE";#N/A,#N/A,TRUE,"STEEL";#N/A,#N/A,TRUE,"INT-Table";#N/A,#N/A,TRUE,"STEEL";#N/A,#N/A,TRUE,"Door"}</definedName>
    <definedName name="HHH" hidden="1">{#N/A,#N/A,TRUE,"Basic";#N/A,#N/A,TRUE,"EXT-TABLE";#N/A,#N/A,TRUE,"STEEL";#N/A,#N/A,TRUE,"INT-Table";#N/A,#N/A,TRUE,"STEEL";#N/A,#N/A,TRUE,"Door"}</definedName>
    <definedName name="HOME" localSheetId="0">#REF!</definedName>
    <definedName name="HOME">#REF!</definedName>
    <definedName name="HOME1">'[10]개시대사 (2)'!$A$1</definedName>
    <definedName name="HOME2">'[10]개시대사 (2)'!$H$1</definedName>
    <definedName name="Hot_Insulation" localSheetId="0">#REF!</definedName>
    <definedName name="Hot_Insulation">#REF!</definedName>
    <definedName name="hybrid_max_001" localSheetId="0">#REF!</definedName>
    <definedName name="hybrid_max_001">#REF!</definedName>
    <definedName name="hybrid_min_001" localSheetId="0">#REF!</definedName>
    <definedName name="hybrid_min_001">#REF!</definedName>
    <definedName name="hybrid_norm_001" localSheetId="0">#REF!</definedName>
    <definedName name="hybrid_norm_001">#REF!</definedName>
    <definedName name="Hyd_P">#REF!</definedName>
    <definedName name="I" localSheetId="0">#REF!</definedName>
    <definedName name="I">#REF!</definedName>
    <definedName name="ICF">#REF!</definedName>
    <definedName name="ID600V" localSheetId="0">#REF!</definedName>
    <definedName name="ID600V">#REF!</definedName>
    <definedName name="ID6KV" localSheetId="0">#REF!</definedName>
    <definedName name="ID6KV">#REF!</definedName>
    <definedName name="IELWSALES" localSheetId="0">#REF!</definedName>
    <definedName name="IELWSALES">#REF!</definedName>
    <definedName name="IELYSALES" localSheetId="0">#REF!</definedName>
    <definedName name="IELYSALES">#REF!</definedName>
    <definedName name="IEPLANSALES" localSheetId="0">#REF!</definedName>
    <definedName name="IEPLANSALES">#REF!</definedName>
    <definedName name="IESP" localSheetId="0">#REF!</definedName>
    <definedName name="IESP">#REF!</definedName>
    <definedName name="ifa" localSheetId="0">[34]data_dci!$I$8:$I$746</definedName>
    <definedName name="ifa">[35]data_dci!$I$8:$I$746</definedName>
    <definedName name="IFC" localSheetId="0">[34]data_dci!$J$8:$J$746</definedName>
    <definedName name="IFC">[35]data_dci!$J$8:$J$746</definedName>
    <definedName name="II" localSheetId="0">#REF!</definedName>
    <definedName name="II">#REF!</definedName>
    <definedName name="IMF">#REF!</definedName>
    <definedName name="Inc_Sup_Matl">[67]BQ!#REF!</definedName>
    <definedName name="Inc_Sup_MD">[67]BQ!#REF!</definedName>
    <definedName name="Inc_Sup_Total_Matl">[67]BQ!#REF!</definedName>
    <definedName name="Inc_Sup_Total_MD">[67]BQ!#REF!</definedName>
    <definedName name="inci11">#REF!</definedName>
    <definedName name="inci12">#REF!</definedName>
    <definedName name="INDEX_QRY">#REF!</definedName>
    <definedName name="INDEX22222" localSheetId="0" hidden="1">#REF!</definedName>
    <definedName name="INDEX22222" hidden="1">#REF!</definedName>
    <definedName name="Inq_List">#REF!</definedName>
    <definedName name="Inq_No">#REF!</definedName>
    <definedName name="INST">#REF!</definedName>
    <definedName name="INST_DCI_심의" localSheetId="0">#REF!</definedName>
    <definedName name="INST_DCI_심의">#REF!</definedName>
    <definedName name="inst_range_max" localSheetId="0">#REF!</definedName>
    <definedName name="inst_range_max">#REF!</definedName>
    <definedName name="inst_range_max_001" localSheetId="0">#REF!</definedName>
    <definedName name="inst_range_max_001">#REF!</definedName>
    <definedName name="inst_range_min" localSheetId="0">#REF!</definedName>
    <definedName name="inst_range_min">#REF!</definedName>
    <definedName name="inst_range_min_001" localSheetId="0">#REF!</definedName>
    <definedName name="inst_range_min_001">#REF!</definedName>
    <definedName name="inst_range_uflg_max_001" localSheetId="0">#REF!</definedName>
    <definedName name="inst_range_uflg_max_001">#REF!</definedName>
    <definedName name="inst_range_uflg_min_001" localSheetId="0">#REF!</definedName>
    <definedName name="inst_range_uflg_min_001">#REF!</definedName>
    <definedName name="inst_range_uom_max_001" localSheetId="0">#REF!</definedName>
    <definedName name="inst_range_uom_max_001">#REF!</definedName>
    <definedName name="inst_range_uom_min_001" localSheetId="0">#REF!</definedName>
    <definedName name="inst_range_uom_min_001">#REF!</definedName>
    <definedName name="inst1" localSheetId="0">#REF!</definedName>
    <definedName name="inst1">#REF!</definedName>
    <definedName name="INST1_MCI" localSheetId="0">#REF!</definedName>
    <definedName name="INST1_MCI">#REF!</definedName>
    <definedName name="INST2" localSheetId="0">#REF!</definedName>
    <definedName name="INST2">#REF!</definedName>
    <definedName name="INST2_MCI" localSheetId="0">#REF!</definedName>
    <definedName name="INST2_MCI">#REF!</definedName>
    <definedName name="inst3">[15]INST_DCI!#REF!</definedName>
    <definedName name="INST3_MCI" localSheetId="0">#REF!</definedName>
    <definedName name="INST3_MCI">#REF!</definedName>
    <definedName name="inst4" localSheetId="0">#REF!</definedName>
    <definedName name="inst4">#REF!</definedName>
    <definedName name="INST4_MCI" localSheetId="0">#REF!</definedName>
    <definedName name="INST4_MCI">#REF!</definedName>
    <definedName name="inst5" localSheetId="0">#REF!</definedName>
    <definedName name="inst5">#REF!</definedName>
    <definedName name="INST5_MCI" localSheetId="0">#REF!</definedName>
    <definedName name="INST5_MCI">#REF!</definedName>
    <definedName name="inst6" localSheetId="0">#REF!</definedName>
    <definedName name="inst6">#REF!</definedName>
    <definedName name="INST6_MCI" localSheetId="0">#REF!</definedName>
    <definedName name="INST6_MCI">#REF!</definedName>
    <definedName name="inst7" localSheetId="0">#REF!</definedName>
    <definedName name="inst7">#REF!</definedName>
    <definedName name="INST7_MCI" localSheetId="0">#REF!</definedName>
    <definedName name="INST7_MCI">#REF!</definedName>
    <definedName name="INST8">[44]INST_MCI!#REF!</definedName>
    <definedName name="INST9">[44]INST_MCI!#REF!</definedName>
    <definedName name="INSTDKADU">#REF!</definedName>
    <definedName name="INSTNFGP">#REF!</definedName>
    <definedName name="INSTNGL4">#REF!</definedName>
    <definedName name="INSTPGM">#REF!</definedName>
    <definedName name="INSTPIPELINE">#REF!</definedName>
    <definedName name="instr_pd_flg_001" localSheetId="0">#REF!</definedName>
    <definedName name="instr_pd_flg_001">#REF!</definedName>
    <definedName name="Instrument_Database1" localSheetId="0">#REF!</definedName>
    <definedName name="Instrument_Database1">#REF!</definedName>
    <definedName name="Instrument_Database2" localSheetId="0">#REF!</definedName>
    <definedName name="Instrument_Database2">#REF!</definedName>
    <definedName name="Instrument_Index">#REF!</definedName>
    <definedName name="INSTTANK">#REF!</definedName>
    <definedName name="Insulation_bm" localSheetId="0">#REF!</definedName>
    <definedName name="Insulation_bm">#REF!</definedName>
    <definedName name="Int_Paint_Final">#REF!</definedName>
    <definedName name="Int_Paint_Intermediate">#REF!</definedName>
    <definedName name="Int_Paint_Primer" localSheetId="0">#REF!</definedName>
    <definedName name="Int_Paint_Primer">#REF!</definedName>
    <definedName name="IntFreeCred" localSheetId="0">#REF!</definedName>
    <definedName name="IntFreeCred">#REF!</definedName>
    <definedName name="IS_DCI">[54]INST_DCI!#REF!</definedName>
    <definedName name="ISSUE" localSheetId="0">[34]data_dci!$L$8:$L$746</definedName>
    <definedName name="ISSUE">[35]data_dci!$L$8:$L$746</definedName>
    <definedName name="Item_name" localSheetId="0">#REF!</definedName>
    <definedName name="Item_name">#REF!</definedName>
    <definedName name="Item_No">#REF!</definedName>
    <definedName name="ITEMDESC">[45]Sheet5!#REF!</definedName>
    <definedName name="j_filler" localSheetId="0">#REF!</definedName>
    <definedName name="j_filler">#REF!</definedName>
    <definedName name="JH">[68]정부노임단가!$A$5:$F$215</definedName>
    <definedName name="JJ" localSheetId="0">#REF!</definedName>
    <definedName name="JJ">#REF!</definedName>
    <definedName name="K" localSheetId="0">#REF!</definedName>
    <definedName name="K">#REF!</definedName>
    <definedName name="K_TBM2" localSheetId="0">#REF!</definedName>
    <definedName name="K_TBM2">#REF!</definedName>
    <definedName name="KK">#N/A</definedName>
    <definedName name="kkkk" localSheetId="0" hidden="1">{#N/A,#N/A,TRUE,"Basic";#N/A,#N/A,TRUE,"EXT-TABLE";#N/A,#N/A,TRUE,"STEEL";#N/A,#N/A,TRUE,"INT-Table";#N/A,#N/A,TRUE,"STEEL";#N/A,#N/A,TRUE,"Door"}</definedName>
    <definedName name="kkkk" hidden="1">{#N/A,#N/A,TRUE,"Basic";#N/A,#N/A,TRUE,"EXT-TABLE";#N/A,#N/A,TRUE,"STEEL";#N/A,#N/A,TRUE,"INT-Table";#N/A,#N/A,TRUE,"STEEL";#N/A,#N/A,TRUE,"Door"}</definedName>
    <definedName name="knh" localSheetId="0">#REF!</definedName>
    <definedName name="knh">#REF!</definedName>
    <definedName name="KT" localSheetId="0">Cover!_________KT66</definedName>
    <definedName name="KT">[0]!_KT66</definedName>
    <definedName name="KTA">#REF!</definedName>
    <definedName name="KTB">#REF!</definedName>
    <definedName name="KTLEE" localSheetId="0">Cover!_________KT66</definedName>
    <definedName name="KTLEE">[0]!_KT66</definedName>
    <definedName name="KTX">#REF!</definedName>
    <definedName name="L" localSheetId="0">#REF!</definedName>
    <definedName name="L">#REF!</definedName>
    <definedName name="LA">#REF!</definedName>
    <definedName name="LABA1">#REF!</definedName>
    <definedName name="Labor_Rate">#REF!</definedName>
    <definedName name="Labor_Unit_Rate">#REF!</definedName>
    <definedName name="LAST">#REF!</definedName>
    <definedName name="le">#REF!</definedName>
    <definedName name="lean" localSheetId="0">#REF!</definedName>
    <definedName name="lean">#REF!</definedName>
    <definedName name="LEE" localSheetId="0" hidden="1">{#N/A,#N/A,TRUE,"Basic";#N/A,#N/A,TRUE,"EXT-TABLE";#N/A,#N/A,TRUE,"STEEL";#N/A,#N/A,TRUE,"INT-Table";#N/A,#N/A,TRUE,"STEEL";#N/A,#N/A,TRUE,"Door"}</definedName>
    <definedName name="LEE" hidden="1">{#N/A,#N/A,TRUE,"Basic";#N/A,#N/A,TRUE,"EXT-TABLE";#N/A,#N/A,TRUE,"STEEL";#N/A,#N/A,TRUE,"INT-Table";#N/A,#N/A,TRUE,"STEEL";#N/A,#N/A,TRUE,"Door"}</definedName>
    <definedName name="line_cmpnt_id_001" localSheetId="0">#REF!</definedName>
    <definedName name="line_cmpnt_id_001">#REF!</definedName>
    <definedName name="line_i_d_001" localSheetId="0">#REF!</definedName>
    <definedName name="line_i_d_001">#REF!</definedName>
    <definedName name="line_id_001" localSheetId="0">#REF!</definedName>
    <definedName name="line_id_001">#REF!</definedName>
    <definedName name="LINE_NO" localSheetId="0">#REF!</definedName>
    <definedName name="LINE_NO">#REF!</definedName>
    <definedName name="line_num_001" localSheetId="0">#REF!</definedName>
    <definedName name="line_num_001">#REF!</definedName>
    <definedName name="line_sched_001" localSheetId="0">#REF!</definedName>
    <definedName name="line_sched_001">#REF!</definedName>
    <definedName name="line_size_001" localSheetId="0">#REF!</definedName>
    <definedName name="line_size_001">#REF!</definedName>
    <definedName name="line_uom_001" localSheetId="0">#REF!</definedName>
    <definedName name="line_uom_001">#REF!</definedName>
    <definedName name="liquid_compres_calc_flg_001" localSheetId="0">#REF!</definedName>
    <definedName name="liquid_compres_calc_flg_001">#REF!</definedName>
    <definedName name="list" localSheetId="0" hidden="1">{#N/A,#N/A,TRUE,"Basic";#N/A,#N/A,TRUE,"EXT-TABLE";#N/A,#N/A,TRUE,"STEEL";#N/A,#N/A,TRUE,"INT-Table";#N/A,#N/A,TRUE,"STEEL";#N/A,#N/A,TRUE,"Door"}</definedName>
    <definedName name="list" hidden="1">{#N/A,#N/A,TRUE,"Basic";#N/A,#N/A,TRUE,"EXT-TABLE";#N/A,#N/A,TRUE,"STEEL";#N/A,#N/A,TRUE,"INT-Table";#N/A,#N/A,TRUE,"STEEL";#N/A,#N/A,TRUE,"Door"}</definedName>
    <definedName name="list01" localSheetId="0" hidden="1">{#N/A,#N/A,TRUE,"Basic";#N/A,#N/A,TRUE,"EXT-TABLE";#N/A,#N/A,TRUE,"STEEL";#N/A,#N/A,TRUE,"INT-Table";#N/A,#N/A,TRUE,"STEEL";#N/A,#N/A,TRUE,"Door"}</definedName>
    <definedName name="list01" hidden="1">{#N/A,#N/A,TRUE,"Basic";#N/A,#N/A,TRUE,"EXT-TABLE";#N/A,#N/A,TRUE,"STEEL";#N/A,#N/A,TRUE,"INT-Table";#N/A,#N/A,TRUE,"STEEL";#N/A,#N/A,TRUE,"Door"}</definedName>
    <definedName name="list02" localSheetId="0" hidden="1">{#N/A,#N/A,TRUE,"Basic";#N/A,#N/A,TRUE,"EXT-TABLE";#N/A,#N/A,TRUE,"STEEL";#N/A,#N/A,TRUE,"INT-Table";#N/A,#N/A,TRUE,"STEEL";#N/A,#N/A,TRUE,"Door"}</definedName>
    <definedName name="list02" hidden="1">{#N/A,#N/A,TRUE,"Basic";#N/A,#N/A,TRUE,"EXT-TABLE";#N/A,#N/A,TRUE,"STEEL";#N/A,#N/A,TRUE,"INT-Table";#N/A,#N/A,TRUE,"STEEL";#N/A,#N/A,TRUE,"Door"}</definedName>
    <definedName name="load_watt_001" localSheetId="0">#REF!</definedName>
    <definedName name="load_watt_001">#REF!</definedName>
    <definedName name="logo_001" localSheetId="0">#REF!</definedName>
    <definedName name="logo_001">#REF!</definedName>
    <definedName name="LookUp_Range">[69]Units!$B$3:$DA$8</definedName>
    <definedName name="LTR_현바제_93113_93.10.07">#REF!</definedName>
    <definedName name="LWSALES" localSheetId="0">#REF!</definedName>
    <definedName name="LWSALES">#REF!</definedName>
    <definedName name="lx" localSheetId="0">#REF!</definedName>
    <definedName name="lx">#REF!</definedName>
    <definedName name="ly" localSheetId="0">#REF!</definedName>
    <definedName name="ly">#REF!</definedName>
    <definedName name="LYBin" localSheetId="0">#REF!</definedName>
    <definedName name="LYBin">#REF!</definedName>
    <definedName name="LYHolds" localSheetId="0">#REF!</definedName>
    <definedName name="LYHolds">#REF!</definedName>
    <definedName name="LYNet" localSheetId="0">#REF!</definedName>
    <definedName name="LYNet">#REF!</definedName>
    <definedName name="LYoos" localSheetId="0">#REF!</definedName>
    <definedName name="LYoos">#REF!</definedName>
    <definedName name="LYReselects" localSheetId="0">#REF!</definedName>
    <definedName name="LYReselects">#REF!</definedName>
    <definedName name="LYReturns" localSheetId="0">#REF!</definedName>
    <definedName name="LYReturns">#REF!</definedName>
    <definedName name="LYSales" localSheetId="0">#REF!</definedName>
    <definedName name="LYSales">#REF!</definedName>
    <definedName name="LYTotal" localSheetId="0">#REF!</definedName>
    <definedName name="LYTotal">#REF!</definedName>
    <definedName name="M_A_L_G_A">#N/A</definedName>
    <definedName name="m_disc" localSheetId="0">[34]data_mci!$E$8:$E$126</definedName>
    <definedName name="m_disc">[35]data_mci!$E$8:$E$126</definedName>
    <definedName name="M_L_N_G">#N/A</definedName>
    <definedName name="M_P_D_P">#N/A</definedName>
    <definedName name="m_start" localSheetId="0">[34]data_mci!$G$8:$G$126</definedName>
    <definedName name="m_start">[35]data_mci!$G$8:$G$126</definedName>
    <definedName name="main">[70]!main</definedName>
    <definedName name="MARGINPLAN" localSheetId="0">#REF!</definedName>
    <definedName name="MARGINPLAN">#REF!</definedName>
    <definedName name="MARGINPROJ" localSheetId="0">#REF!</definedName>
    <definedName name="MARGINPROJ">#REF!</definedName>
    <definedName name="master_cmpnt_id_001" localSheetId="0">#REF!</definedName>
    <definedName name="master_cmpnt_id_001">#REF!</definedName>
    <definedName name="MATA1">#REF!</definedName>
    <definedName name="MATB1">#REF!</definedName>
    <definedName name="MATC1">#REF!</definedName>
    <definedName name="MATC10">#REF!</definedName>
    <definedName name="MATC2">#REF!</definedName>
    <definedName name="MATC3">#REF!</definedName>
    <definedName name="MATC4">#REF!</definedName>
    <definedName name="MATC5">#REF!</definedName>
    <definedName name="MATC6">#REF!</definedName>
    <definedName name="MATC7">#REF!</definedName>
    <definedName name="MATC8">#REF!</definedName>
    <definedName name="MATC9">#REF!</definedName>
    <definedName name="MATD1">#REF!</definedName>
    <definedName name="MATD2">#REF!</definedName>
    <definedName name="MATD3">#REF!</definedName>
    <definedName name="MATD4">#REF!</definedName>
    <definedName name="MATD5">#REF!</definedName>
    <definedName name="MATD6">#REF!</definedName>
    <definedName name="MATE1">#REF!</definedName>
    <definedName name="MATE2">#REF!</definedName>
    <definedName name="MATE3">#REF!</definedName>
    <definedName name="MATE4">#REF!</definedName>
    <definedName name="MATE5">#REF!</definedName>
    <definedName name="MATE6">#REF!</definedName>
    <definedName name="MATE7">#REF!</definedName>
    <definedName name="MATF1">#REF!</definedName>
    <definedName name="MATF2">#REF!</definedName>
    <definedName name="MATF3">#REF!</definedName>
    <definedName name="MATF4">#REF!</definedName>
    <definedName name="MATF5">#REF!</definedName>
    <definedName name="MATF6">#REF!</definedName>
    <definedName name="MATF7">#REF!</definedName>
    <definedName name="MATL_Rate">#REF!</definedName>
    <definedName name="Max._Water">#REF!</definedName>
    <definedName name="MCF">#REF!</definedName>
    <definedName name="MEASURE">[45]Sheet5!#REF!</definedName>
    <definedName name="MECH">[15]HVAC_DCI!#REF!</definedName>
    <definedName name="mech1" localSheetId="0">#REF!</definedName>
    <definedName name="mech1">#REF!</definedName>
    <definedName name="mech1_mci" localSheetId="0">#REF!</definedName>
    <definedName name="mech1_mci">#REF!</definedName>
    <definedName name="mech2" localSheetId="0">#REF!</definedName>
    <definedName name="mech2">#REF!</definedName>
    <definedName name="mech2_mci" localSheetId="0">#REF!</definedName>
    <definedName name="mech2_mci">#REF!</definedName>
    <definedName name="mech3">[15]HVAC_DCI!#REF!</definedName>
    <definedName name="mech3_mci" localSheetId="0">#REF!</definedName>
    <definedName name="mech3_mci">#REF!</definedName>
    <definedName name="mech4" localSheetId="0">#REF!</definedName>
    <definedName name="mech4">#REF!</definedName>
    <definedName name="mech4_mci" localSheetId="0">#REF!</definedName>
    <definedName name="mech4_mci">#REF!</definedName>
    <definedName name="mech5" localSheetId="0">#REF!</definedName>
    <definedName name="mech5">#REF!</definedName>
    <definedName name="mech5_mci" localSheetId="0">#REF!</definedName>
    <definedName name="mech5_mci">#REF!</definedName>
    <definedName name="MECH6" localSheetId="0">#REF!</definedName>
    <definedName name="MECH6">#REF!</definedName>
    <definedName name="mech6_mci" localSheetId="0">#REF!</definedName>
    <definedName name="mech6_mci">#REF!</definedName>
    <definedName name="mech7" localSheetId="0">#REF!</definedName>
    <definedName name="mech7">#REF!</definedName>
    <definedName name="mecH7_mci" localSheetId="0">#REF!</definedName>
    <definedName name="mecH7_mci">#REF!</definedName>
    <definedName name="MECH8">[44]MECH_MCI!#REF!</definedName>
    <definedName name="MECH9">[44]MECH_MCI!#REF!</definedName>
    <definedName name="meci7_mci" localSheetId="0">#REF!</definedName>
    <definedName name="meci7_mci">#REF!</definedName>
    <definedName name="MENU" localSheetId="0">[65]!MENU</definedName>
    <definedName name="MENU">[66]!MENU</definedName>
    <definedName name="MergeComments">#REF!</definedName>
    <definedName name="MergeCritRating">#REF!</definedName>
    <definedName name="MergeDesPress">#REF!</definedName>
    <definedName name="MergeDesTemp">#REF!</definedName>
    <definedName name="MergeFluid">#REF!</definedName>
    <definedName name="MergeFrom">#REF!</definedName>
    <definedName name="MergeInsulCode">#REF!</definedName>
    <definedName name="MergeInsulThk">#REF!</definedName>
    <definedName name="MergeLine">#REF!</definedName>
    <definedName name="MergeLineNumber">#REF!</definedName>
    <definedName name="MergeLineSize">#REF!</definedName>
    <definedName name="MergeMatClass">#REF!</definedName>
    <definedName name="MergeNDE">#REF!</definedName>
    <definedName name="MergeOperPress">#REF!</definedName>
    <definedName name="MergeOperTemp">#REF!</definedName>
    <definedName name="MergePaintCode">#REF!</definedName>
    <definedName name="MergePIDNumber">#REF!</definedName>
    <definedName name="MergeRev">#REF!</definedName>
    <definedName name="MergeStressAnalysis">#REF!</definedName>
    <definedName name="MergeTestMedia">#REF!</definedName>
    <definedName name="MergeTestPress">#REF!</definedName>
    <definedName name="MergeTo">#REF!</definedName>
    <definedName name="MH_소수점">[71]Total!$D$3</definedName>
    <definedName name="MIOLO" localSheetId="0">#REF!</definedName>
    <definedName name="MIOLO">#REF!</definedName>
    <definedName name="mis" localSheetId="0">BlankMacro1</definedName>
    <definedName name="mis">BlankMacro1</definedName>
    <definedName name="MISA1">#REF!</definedName>
    <definedName name="Misc_Matl_Rate">#REF!</definedName>
    <definedName name="Miscel" localSheetId="0">BlankMacro1</definedName>
    <definedName name="Miscel">BlankMacro1</definedName>
    <definedName name="miss2" localSheetId="0">BlankMacro1</definedName>
    <definedName name="miss2">BlankMacro1</definedName>
    <definedName name="MMM" localSheetId="0">#REF!</definedName>
    <definedName name="MMM">#REF!</definedName>
    <definedName name="MMMMMMMM" localSheetId="0">#REF!</definedName>
    <definedName name="MMMMMMMM">#REF!</definedName>
    <definedName name="mnnb" localSheetId="0">'[11]h-013211-2'!$Q$2</definedName>
    <definedName name="mnnb">'[16]h-013211-2'!$Q$2</definedName>
    <definedName name="Motorrating" localSheetId="0">[61]PumpSpec!$Y$3:$Z$25</definedName>
    <definedName name="Motorrating">[56]PumpSpec!$Y$3:$Z$25</definedName>
    <definedName name="ＭＲ" localSheetId="0" hidden="1">{#N/A,#N/A,TRUE,"Basic";#N/A,#N/A,TRUE,"EXT-TABLE";#N/A,#N/A,TRUE,"STEEL";#N/A,#N/A,TRUE,"INT-Table";#N/A,#N/A,TRUE,"STEEL";#N/A,#N/A,TRUE,"Door"}</definedName>
    <definedName name="ＭＲ" hidden="1">{#N/A,#N/A,TRUE,"Basic";#N/A,#N/A,TRUE,"EXT-TABLE";#N/A,#N/A,TRUE,"STEEL";#N/A,#N/A,TRUE,"INT-Table";#N/A,#N/A,TRUE,"STEEL";#N/A,#N/A,TRUE,"Door"}</definedName>
    <definedName name="MTO_A" localSheetId="0">[43]PRO_A!$D$133:$AL$148</definedName>
    <definedName name="MTO_A">[44]PRO_A!$D$133:$AL$148</definedName>
    <definedName name="mto_s" localSheetId="0">[43]PRO!$D$117:$AL$132</definedName>
    <definedName name="mto_s">[44]PRO!$D$117:$AL$132</definedName>
    <definedName name="N" localSheetId="0">#REF!,#REF!</definedName>
    <definedName name="N">#REF!,#REF!</definedName>
    <definedName name="name" localSheetId="0">#REF!</definedName>
    <definedName name="name">#REF!</definedName>
    <definedName name="NHHNHNHHHHH" localSheetId="0">#REF!</definedName>
    <definedName name="NHHNHNHHHHH">#REF!</definedName>
    <definedName name="NMMNM" localSheetId="0">#REF!</definedName>
    <definedName name="NMMNM">#REF!</definedName>
    <definedName name="NN" localSheetId="0">'[2]97 사업추정(WEKI)'!#REF!</definedName>
    <definedName name="NN">'[3]97 사업추정(WEKI)'!#REF!</definedName>
    <definedName name="NNN" localSheetId="0">'[50]97 사업추정(WEKI)'!#REF!</definedName>
    <definedName name="NNN">'[51]97 사업추정(WEKI)'!#REF!</definedName>
    <definedName name="NO">#N/A</definedName>
    <definedName name="note_note" localSheetId="0">#REF!</definedName>
    <definedName name="note_note">#REF!</definedName>
    <definedName name="Nshrkge">#REF!</definedName>
    <definedName name="num" localSheetId="0">#REF!</definedName>
    <definedName name="num">#REF!</definedName>
    <definedName name="Number">#REF!</definedName>
    <definedName name="number_of_phases_id_001" localSheetId="0">#REF!</definedName>
    <definedName name="number_of_phases_id_001">#REF!</definedName>
    <definedName name="O" localSheetId="0">[26]상반기손익차2총괄!#REF!</definedName>
    <definedName name="O">[27]상반기손익차2총괄!#REF!</definedName>
    <definedName name="OBJ">#REF!</definedName>
    <definedName name="oo" localSheetId="0">'[15]h-013211-2'!$Q$3</definedName>
    <definedName name="oo">'[53]h-013211-2'!$Q$3</definedName>
    <definedName name="operating_mode_id_001" localSheetId="0">#REF!</definedName>
    <definedName name="operating_mode_id_001">#REF!</definedName>
    <definedName name="OutField">#REF!</definedName>
    <definedName name="OVER">#REF!</definedName>
    <definedName name="P" localSheetId="0">#REF!</definedName>
    <definedName name="P">#REF!</definedName>
    <definedName name="p_shape" localSheetId="0">#REF!</definedName>
    <definedName name="p_shape">#REF!</definedName>
    <definedName name="PAGE1">#REF!</definedName>
    <definedName name="PAGE11">#N/A</definedName>
    <definedName name="PAGE12">#N/A</definedName>
    <definedName name="PAGE2">#REF!</definedName>
    <definedName name="PAGE21">#N/A</definedName>
    <definedName name="PAGE22">#N/A</definedName>
    <definedName name="PAGE3">#REF!</definedName>
    <definedName name="PAGE31">#N/A</definedName>
    <definedName name="PAGE32">#N/A</definedName>
    <definedName name="PAGE41">#N/A</definedName>
    <definedName name="PAGE42">#N/A</definedName>
    <definedName name="Panel" localSheetId="0" hidden="1">{#N/A,#N/A,TRUE,"Basic";#N/A,#N/A,TRUE,"EXT-TABLE";#N/A,#N/A,TRUE,"STEEL";#N/A,#N/A,TRUE,"INT-Table";#N/A,#N/A,TRUE,"STEEL";#N/A,#N/A,TRUE,"Door"}</definedName>
    <definedName name="Panel" hidden="1">{#N/A,#N/A,TRUE,"Basic";#N/A,#N/A,TRUE,"EXT-TABLE";#N/A,#N/A,TRUE,"STEEL";#N/A,#N/A,TRUE,"INT-Table";#N/A,#N/A,TRUE,"STEEL";#N/A,#N/A,TRUE,"Door"}</definedName>
    <definedName name="panel_id_001" localSheetId="0">#REF!</definedName>
    <definedName name="panel_id_001">#REF!</definedName>
    <definedName name="PCF">#REF!</definedName>
    <definedName name="PCK" localSheetId="0">#REF!</definedName>
    <definedName name="PCK">#REF!</definedName>
    <definedName name="pd_angle_of_repose_001" localSheetId="0">#REF!</definedName>
    <definedName name="pd_angle_of_repose_001">#REF!</definedName>
    <definedName name="pd_api_calc_type_001" localSheetId="0">#REF!</definedName>
    <definedName name="pd_api_calc_type_001">#REF!</definedName>
    <definedName name="pd_api_degree_max_001" localSheetId="0">#REF!</definedName>
    <definedName name="pd_api_degree_max_001">#REF!</definedName>
    <definedName name="pd_api_degree_min_001" localSheetId="0">#REF!</definedName>
    <definedName name="pd_api_degree_min_001">#REF!</definedName>
    <definedName name="pd_api_degree_nor_001" localSheetId="0">#REF!</definedName>
    <definedName name="pd_api_degree_nor_001">#REF!</definedName>
    <definedName name="pd_api_group_id_001" localSheetId="0">#REF!</definedName>
    <definedName name="pd_api_group_id_001">#REF!</definedName>
    <definedName name="pd_bubble_pt_max_001" localSheetId="0">#REF!</definedName>
    <definedName name="pd_bubble_pt_max_001">#REF!</definedName>
    <definedName name="pd_bubble_pt_min_001" localSheetId="0">#REF!</definedName>
    <definedName name="pd_bubble_pt_min_001">#REF!</definedName>
    <definedName name="pd_bubble_pt_nor_001" localSheetId="0">#REF!</definedName>
    <definedName name="pd_bubble_pt_nor_001">#REF!</definedName>
    <definedName name="pd_bubble_pt_uid_001" localSheetId="0">#REF!</definedName>
    <definedName name="pd_bubble_pt_uid_001">#REF!</definedName>
    <definedName name="pd_build_tend_001" localSheetId="0">#REF!</definedName>
    <definedName name="pd_build_tend_001">#REF!</definedName>
    <definedName name="pd_chim_abstr_num_001" localSheetId="0">#REF!</definedName>
    <definedName name="pd_chim_abstr_num_001">#REF!</definedName>
    <definedName name="pd_coagulat_001" localSheetId="0">#REF!</definedName>
    <definedName name="pd_coagulat_001">#REF!</definedName>
    <definedName name="pd_colored_001" localSheetId="0">#REF!</definedName>
    <definedName name="pd_colored_001">#REF!</definedName>
    <definedName name="pd_compres_base_001" localSheetId="0">#REF!</definedName>
    <definedName name="pd_compres_base_001">#REF!</definedName>
    <definedName name="pd_compres_flow_max_001" localSheetId="0">#REF!</definedName>
    <definedName name="pd_compres_flow_max_001">#REF!</definedName>
    <definedName name="pd_compres_flow_min_001" localSheetId="0">#REF!</definedName>
    <definedName name="pd_compres_flow_min_001">#REF!</definedName>
    <definedName name="pd_compres_flow_nor_001" localSheetId="0">#REF!</definedName>
    <definedName name="pd_compres_flow_nor_001">#REF!</definedName>
    <definedName name="pd_conduct_resist_flg_001" localSheetId="0">#REF!</definedName>
    <definedName name="pd_conduct_resist_flg_001">#REF!</definedName>
    <definedName name="pd_conductivity_max_001" localSheetId="0">#REF!</definedName>
    <definedName name="pd_conductivity_max_001">#REF!</definedName>
    <definedName name="pd_conductivity_min_001" localSheetId="0">#REF!</definedName>
    <definedName name="pd_conductivity_min_001">#REF!</definedName>
    <definedName name="pd_conductivity_nor_001" localSheetId="0">#REF!</definedName>
    <definedName name="pd_conductivity_nor_001">#REF!</definedName>
    <definedName name="pd_conductivity_uid_001" localSheetId="0">#REF!</definedName>
    <definedName name="pd_conductivity_uid_001">#REF!</definedName>
    <definedName name="pd_contain_parts_001" localSheetId="0">#REF!</definedName>
    <definedName name="pd_contain_parts_001">#REF!</definedName>
    <definedName name="pd_corrosive_001" localSheetId="0">#REF!</definedName>
    <definedName name="pd_corrosive_001">#REF!</definedName>
    <definedName name="pd_cp_cv_max_001" localSheetId="0">#REF!</definedName>
    <definedName name="pd_cp_cv_max_001">#REF!</definedName>
    <definedName name="pd_cp_cv_min_001" localSheetId="0">#REF!</definedName>
    <definedName name="pd_cp_cv_min_001">#REF!</definedName>
    <definedName name="pd_cp_cv_nor_001" localSheetId="0">#REF!</definedName>
    <definedName name="pd_cp_cv_nor_001">#REF!</definedName>
    <definedName name="pd_critic_press_001" localSheetId="0">#REF!</definedName>
    <definedName name="pd_critic_press_001">#REF!</definedName>
    <definedName name="pd_critic_press_uflg_001" localSheetId="0">#REF!</definedName>
    <definedName name="pd_critic_press_uflg_001">#REF!</definedName>
    <definedName name="pd_critic_press_uid_001" localSheetId="0">#REF!</definedName>
    <definedName name="pd_critic_press_uid_001">#REF!</definedName>
    <definedName name="pd_dens_at_bas_uid_001" localSheetId="0">#REF!</definedName>
    <definedName name="pd_dens_at_bas_uid_001">#REF!</definedName>
    <definedName name="pd_dens_at_base_001" localSheetId="0">#REF!</definedName>
    <definedName name="pd_dens_at_base_001">#REF!</definedName>
    <definedName name="pd_dens_comp_base_flg_001" localSheetId="0">#REF!</definedName>
    <definedName name="pd_dens_comp_base_flg_001">#REF!</definedName>
    <definedName name="pd_dens_grav_base_flg_001" localSheetId="0">#REF!</definedName>
    <definedName name="pd_dens_grav_base_flg_001">#REF!</definedName>
    <definedName name="pd_dens_grav_flg_001" localSheetId="0">#REF!</definedName>
    <definedName name="pd_dens_grav_flg_001">#REF!</definedName>
    <definedName name="pd_dens_max_001" localSheetId="0">#REF!</definedName>
    <definedName name="pd_dens_max_001">#REF!</definedName>
    <definedName name="pd_dens_min_001" localSheetId="0">#REF!</definedName>
    <definedName name="pd_dens_min_001">#REF!</definedName>
    <definedName name="pd_dens_nor_001" localSheetId="0">#REF!</definedName>
    <definedName name="pd_dens_nor_001">#REF!</definedName>
    <definedName name="pd_dens_ref_001" localSheetId="0">#REF!</definedName>
    <definedName name="pd_dens_ref_001">#REF!</definedName>
    <definedName name="pd_dens_ref_uid_001" localSheetId="0">#REF!</definedName>
    <definedName name="pd_dens_ref_uid_001">#REF!</definedName>
    <definedName name="pd_dens_uid_001" localSheetId="0">#REF!</definedName>
    <definedName name="pd_dens_uid_001">#REF!</definedName>
    <definedName name="pd_design_temp_max" localSheetId="0">#REF!</definedName>
    <definedName name="pd_design_temp_max">#REF!</definedName>
    <definedName name="pd_design_temp_max_001" localSheetId="0">#REF!</definedName>
    <definedName name="pd_design_temp_max_001">#REF!</definedName>
    <definedName name="pd_design_temp_min" localSheetId="0">#REF!</definedName>
    <definedName name="pd_design_temp_min">#REF!</definedName>
    <definedName name="pd_design_temp_min_001" localSheetId="0">#REF!</definedName>
    <definedName name="pd_design_temp_min_001">#REF!</definedName>
    <definedName name="pd_design_temp_uid_001" localSheetId="0">#REF!</definedName>
    <definedName name="pd_design_temp_uid_001">#REF!</definedName>
    <definedName name="pd_dew_pt_max_001" localSheetId="0">#REF!</definedName>
    <definedName name="pd_dew_pt_max_001">#REF!</definedName>
    <definedName name="pd_dew_pt_min_001" localSheetId="0">#REF!</definedName>
    <definedName name="pd_dew_pt_min_001">#REF!</definedName>
    <definedName name="pd_dew_pt_nor_001" localSheetId="0">#REF!</definedName>
    <definedName name="pd_dew_pt_nor_001">#REF!</definedName>
    <definedName name="pd_dew_pt_uid_001" localSheetId="0">#REF!</definedName>
    <definedName name="pd_dew_pt_uid_001">#REF!</definedName>
    <definedName name="pd_erosive_001" localSheetId="0">#REF!</definedName>
    <definedName name="pd_erosive_001">#REF!</definedName>
    <definedName name="pd_flow_add_flag_001" localSheetId="0">#REF!</definedName>
    <definedName name="pd_flow_add_flag_001">#REF!</definedName>
    <definedName name="pd_flow_alarm_flag_001" localSheetId="0">#REF!</definedName>
    <definedName name="pd_flow_alarm_flag_001">#REF!</definedName>
    <definedName name="pd_flow_flag_001" localSheetId="0">#REF!</definedName>
    <definedName name="pd_flow_flag_001">#REF!</definedName>
    <definedName name="pd_flow_max_001" localSheetId="0">#REF!</definedName>
    <definedName name="pd_flow_max_001">#REF!</definedName>
    <definedName name="pd_flow_min_001" localSheetId="0">#REF!</definedName>
    <definedName name="pd_flow_min_001">#REF!</definedName>
    <definedName name="pd_flow_nor_001" localSheetId="0">#REF!</definedName>
    <definedName name="pd_flow_nor_001">#REF!</definedName>
    <definedName name="pd_flow_uflg_001" localSheetId="0">#REF!</definedName>
    <definedName name="pd_flow_uflg_001">#REF!</definedName>
    <definedName name="pd_flow_uid_001" localSheetId="0">#REF!</definedName>
    <definedName name="pd_flow_uid_001">#REF!</definedName>
    <definedName name="pd_fluid_name" localSheetId="0">#REF!</definedName>
    <definedName name="pd_fluid_name">#REF!</definedName>
    <definedName name="pd_fluid_name_001" localSheetId="0">#REF!</definedName>
    <definedName name="pd_fluid_name_001">#REF!</definedName>
    <definedName name="pd_fluid_phase_001" localSheetId="0">#REF!</definedName>
    <definedName name="pd_fluid_phase_001">#REF!</definedName>
    <definedName name="pd_fluid_stat_001" localSheetId="0">#REF!</definedName>
    <definedName name="pd_fluid_stat_001">#REF!</definedName>
    <definedName name="pd_gas_comp_dens_flg_001" localSheetId="0">#REF!</definedName>
    <definedName name="pd_gas_comp_dens_flg_001">#REF!</definedName>
    <definedName name="pd_gas_mm_grav_flg_001" localSheetId="0">#REF!</definedName>
    <definedName name="pd_gas_mm_grav_flg_001">#REF!</definedName>
    <definedName name="pd_gas_sg_as_mm_001" localSheetId="0">#REF!</definedName>
    <definedName name="pd_gas_sg_as_mm_001">#REF!</definedName>
    <definedName name="pd_heat_max_001" localSheetId="0">#REF!</definedName>
    <definedName name="pd_heat_max_001">#REF!</definedName>
    <definedName name="pd_heat_min_001" localSheetId="0">#REF!</definedName>
    <definedName name="pd_heat_min_001">#REF!</definedName>
    <definedName name="pd_heat_nor_001" localSheetId="0">#REF!</definedName>
    <definedName name="pd_heat_nor_001">#REF!</definedName>
    <definedName name="pd_heat_uid_001" localSheetId="0">#REF!</definedName>
    <definedName name="pd_heat_uid_001">#REF!</definedName>
    <definedName name="pd_isize_phase_001" localSheetId="0">#REF!</definedName>
    <definedName name="pd_isize_phase_001">#REF!</definedName>
    <definedName name="pd_latent_heat_max_001" localSheetId="0">#REF!</definedName>
    <definedName name="pd_latent_heat_max_001">#REF!</definedName>
    <definedName name="pd_latent_heat_min_001" localSheetId="0">#REF!</definedName>
    <definedName name="pd_latent_heat_min_001">#REF!</definedName>
    <definedName name="pd_latent_heat_nor_001" localSheetId="0">#REF!</definedName>
    <definedName name="pd_latent_heat_nor_001">#REF!</definedName>
    <definedName name="pd_latent_heat_uid_001" localSheetId="0">#REF!</definedName>
    <definedName name="pd_latent_heat_uid_001">#REF!</definedName>
    <definedName name="pd_line_eq_flg_001" localSheetId="0">#REF!</definedName>
    <definedName name="pd_line_eq_flg_001">#REF!</definedName>
    <definedName name="pd_molecular_mass_001" localSheetId="0">#REF!</definedName>
    <definedName name="pd_molecular_mass_001">#REF!</definedName>
    <definedName name="pd_note_001" localSheetId="0">#REF!</definedName>
    <definedName name="pd_note_001">#REF!</definedName>
    <definedName name="pd_oxidizing_001" localSheetId="0">#REF!</definedName>
    <definedName name="pd_oxidizing_001">#REF!</definedName>
    <definedName name="pd_p_alarm_high_001" localSheetId="0">#REF!</definedName>
    <definedName name="pd_p_alarm_high_001">#REF!</definedName>
    <definedName name="pd_p_alarm_high_high_001" localSheetId="0">#REF!</definedName>
    <definedName name="pd_p_alarm_high_high_001">#REF!</definedName>
    <definedName name="pd_p_alarm_high_high_high_001" localSheetId="0">#REF!</definedName>
    <definedName name="pd_p_alarm_high_high_high_001">#REF!</definedName>
    <definedName name="pd_p_alarm_low_001" localSheetId="0">#REF!</definedName>
    <definedName name="pd_p_alarm_low_001">#REF!</definedName>
    <definedName name="pd_p_alarm_low_low_001" localSheetId="0">#REF!</definedName>
    <definedName name="pd_p_alarm_low_low_001">#REF!</definedName>
    <definedName name="pd_p_alarm_low_low_low_001" localSheetId="0">#REF!</definedName>
    <definedName name="pd_p_alarm_low_low_low_001">#REF!</definedName>
    <definedName name="pd_p_cntrl_pnt_max_001" localSheetId="0">#REF!</definedName>
    <definedName name="pd_p_cntrl_pnt_max_001">#REF!</definedName>
    <definedName name="pd_p_cntrl_pnt_min_001" localSheetId="0">#REF!</definedName>
    <definedName name="pd_p_cntrl_pnt_min_001">#REF!</definedName>
    <definedName name="pd_p_cntrl_pnt_nor_001" localSheetId="0">#REF!</definedName>
    <definedName name="pd_p_cntrl_pnt_nor_001">#REF!</definedName>
    <definedName name="pd_p_cntrl_pnt_uid_001" localSheetId="0">#REF!</definedName>
    <definedName name="pd_p_cntrl_pnt_uid_001">#REF!</definedName>
    <definedName name="pd_p_dif_press_uid_001" localSheetId="0">#REF!</definedName>
    <definedName name="pd_p_dif_press_uid_001">#REF!</definedName>
    <definedName name="pd_p_dif_range_uid_001" localSheetId="0">#REF!</definedName>
    <definedName name="pd_p_dif_range_uid_001">#REF!</definedName>
    <definedName name="pd_p_dif_trip_alarm_uid_001" localSheetId="0">#REF!</definedName>
    <definedName name="pd_p_dif_trip_alarm_uid_001">#REF!</definedName>
    <definedName name="pd_p_kind_of_pressure_001" localSheetId="0">#REF!</definedName>
    <definedName name="pd_p_kind_of_pressure_001">#REF!</definedName>
    <definedName name="pd_p_range_max_001" localSheetId="0">#REF!</definedName>
    <definedName name="pd_p_range_max_001">#REF!</definedName>
    <definedName name="pd_p_range_min_001" localSheetId="0">#REF!</definedName>
    <definedName name="pd_p_range_min_001">#REF!</definedName>
    <definedName name="pd_p_range_nor_001" localSheetId="0">#REF!</definedName>
    <definedName name="pd_p_range_nor_001">#REF!</definedName>
    <definedName name="pd_p_range_uflg_001" localSheetId="0">#REF!</definedName>
    <definedName name="pd_p_range_uflg_001">#REF!</definedName>
    <definedName name="pd_p_range_uid_001" localSheetId="0">#REF!</definedName>
    <definedName name="pd_p_range_uid_001">#REF!</definedName>
    <definedName name="pd_p_trac_jacet_001" localSheetId="0">#REF!</definedName>
    <definedName name="pd_p_trac_jacet_001">#REF!</definedName>
    <definedName name="pd_p_trip_alarm_uflg_001" localSheetId="0">#REF!</definedName>
    <definedName name="pd_p_trip_alarm_uflg_001">#REF!</definedName>
    <definedName name="pd_p_trip_alarm_uid_001" localSheetId="0">#REF!</definedName>
    <definedName name="pd_p_trip_alarm_uid_001">#REF!</definedName>
    <definedName name="pd_p_trip_high_001" localSheetId="0">#REF!</definedName>
    <definedName name="pd_p_trip_high_001">#REF!</definedName>
    <definedName name="pd_p_trip_high_high_001" localSheetId="0">#REF!</definedName>
    <definedName name="pd_p_trip_high_high_001">#REF!</definedName>
    <definedName name="pd_p_trip_high_high_high_001" localSheetId="0">#REF!</definedName>
    <definedName name="pd_p_trip_high_high_high_001">#REF!</definedName>
    <definedName name="pd_p_trip_low_001" localSheetId="0">#REF!</definedName>
    <definedName name="pd_p_trip_low_001">#REF!</definedName>
    <definedName name="pd_p_trip_low_low_001" localSheetId="0">#REF!</definedName>
    <definedName name="pd_p_trip_low_low_001">#REF!</definedName>
    <definedName name="pd_p_trip_low_low_low_001" localSheetId="0">#REF!</definedName>
    <definedName name="pd_p_trip_low_low_low_001">#REF!</definedName>
    <definedName name="pd_p_valvtend_001" localSheetId="0">#REF!</definedName>
    <definedName name="pd_p_valvtend_001">#REF!</definedName>
    <definedName name="pd_p_view_dif_pressure_flag_001" localSheetId="0">#REF!</definedName>
    <definedName name="pd_p_view_dif_pressure_flag_001">#REF!</definedName>
    <definedName name="pd_p_view_dif_range_flag_001" localSheetId="0">#REF!</definedName>
    <definedName name="pd_p_view_dif_range_flag_001">#REF!</definedName>
    <definedName name="pd_p_view_dif_trip_alarm_flag_001" localSheetId="0">#REF!</definedName>
    <definedName name="pd_p_view_dif_trip_alarm_flag_001">#REF!</definedName>
    <definedName name="pd_ph_orp_max_001" localSheetId="0">#REF!</definedName>
    <definedName name="pd_ph_orp_max_001">#REF!</definedName>
    <definedName name="pd_ph_orp_min_001" localSheetId="0">#REF!</definedName>
    <definedName name="pd_ph_orp_min_001">#REF!</definedName>
    <definedName name="pd_ph_orp_nor_001" localSheetId="0">#REF!</definedName>
    <definedName name="pd_ph_orp_nor_001">#REF!</definedName>
    <definedName name="pd_ph_orp_uid_001" localSheetId="0">#REF!</definedName>
    <definedName name="pd_ph_orp_uid_001">#REF!</definedName>
    <definedName name="pd_press_base_001" localSheetId="0">#REF!</definedName>
    <definedName name="pd_press_base_001">#REF!</definedName>
    <definedName name="pd_press_base_uid_001" localSheetId="0">#REF!</definedName>
    <definedName name="pd_press_base_uid_001">#REF!</definedName>
    <definedName name="pd_press_des" localSheetId="0">#REF!</definedName>
    <definedName name="pd_press_des">#REF!</definedName>
    <definedName name="pd_press_des_001" localSheetId="0">#REF!</definedName>
    <definedName name="pd_press_des_001">#REF!</definedName>
    <definedName name="pd_press_des_min" localSheetId="0">#REF!</definedName>
    <definedName name="pd_press_des_min">#REF!</definedName>
    <definedName name="pd_press_des_min_001" localSheetId="0">#REF!</definedName>
    <definedName name="pd_press_des_min_001">#REF!</definedName>
    <definedName name="pd_press_des_min_uflg_001" localSheetId="0">#REF!</definedName>
    <definedName name="pd_press_des_min_uflg_001">#REF!</definedName>
    <definedName name="pd_press_des_min_uid_001" localSheetId="0">#REF!</definedName>
    <definedName name="pd_press_des_min_uid_001">#REF!</definedName>
    <definedName name="pd_press_des_uflg_001" localSheetId="0">#REF!</definedName>
    <definedName name="pd_press_des_uflg_001">#REF!</definedName>
    <definedName name="pd_press_des_uid_001" localSheetId="0">#REF!</definedName>
    <definedName name="pd_press_des_uid_001">#REF!</definedName>
    <definedName name="pd_press_drp_max_001" localSheetId="0">#REF!</definedName>
    <definedName name="pd_press_drp_max_001">#REF!</definedName>
    <definedName name="pd_press_drp_min_001" localSheetId="0">#REF!</definedName>
    <definedName name="pd_press_drp_min_001">#REF!</definedName>
    <definedName name="pd_press_drp_nor_001" localSheetId="0">#REF!</definedName>
    <definedName name="pd_press_drp_nor_001">#REF!</definedName>
    <definedName name="pd_press_drp_uid_001" localSheetId="0">#REF!</definedName>
    <definedName name="pd_press_drp_uid_001">#REF!</definedName>
    <definedName name="pd_press_max" localSheetId="0">#REF!</definedName>
    <definedName name="pd_press_max">#REF!</definedName>
    <definedName name="pd_press_max_001" localSheetId="0">#REF!</definedName>
    <definedName name="pd_press_max_001">#REF!</definedName>
    <definedName name="pd_press_min_001" localSheetId="0">#REF!</definedName>
    <definedName name="pd_press_min_001">#REF!</definedName>
    <definedName name="pd_press_nor" localSheetId="0">#REF!</definedName>
    <definedName name="pd_press_nor">#REF!</definedName>
    <definedName name="pd_press_nor_001" localSheetId="0">#REF!</definedName>
    <definedName name="pd_press_nor_001">#REF!</definedName>
    <definedName name="pd_press_uflg_001" localSheetId="0">#REF!</definedName>
    <definedName name="pd_press_uflg_001">#REF!</definedName>
    <definedName name="pd_press_uid_001" localSheetId="0">#REF!</definedName>
    <definedName name="pd_press_uid_001">#REF!</definedName>
    <definedName name="pd_pulsation_001" localSheetId="0">#REF!</definedName>
    <definedName name="pd_pulsation_001">#REF!</definedName>
    <definedName name="pd_resistivity_max_001" localSheetId="0">#REF!</definedName>
    <definedName name="pd_resistivity_max_001">#REF!</definedName>
    <definedName name="pd_resistivity_min_001" localSheetId="0">#REF!</definedName>
    <definedName name="pd_resistivity_min_001">#REF!</definedName>
    <definedName name="pd_resistivity_nor_001" localSheetId="0">#REF!</definedName>
    <definedName name="pd_resistivity_nor_001">#REF!</definedName>
    <definedName name="pd_resistivity_uid_001" localSheetId="0">#REF!</definedName>
    <definedName name="pd_resistivity_uid_001">#REF!</definedName>
    <definedName name="pd_return_pres_design_001" localSheetId="0">#REF!</definedName>
    <definedName name="pd_return_pres_design_001">#REF!</definedName>
    <definedName name="pd_return_pres_design_uflg_001" localSheetId="0">#REF!</definedName>
    <definedName name="pd_return_pres_design_uflg_001">#REF!</definedName>
    <definedName name="pd_return_pres_design_uid_001" localSheetId="0">#REF!</definedName>
    <definedName name="pd_return_pres_design_uid_001">#REF!</definedName>
    <definedName name="pd_return_pres_max_001" localSheetId="0">#REF!</definedName>
    <definedName name="pd_return_pres_max_001">#REF!</definedName>
    <definedName name="pd_return_pres_min_001" localSheetId="0">#REF!</definedName>
    <definedName name="pd_return_pres_min_001">#REF!</definedName>
    <definedName name="pd_return_pres_nor_001" localSheetId="0">#REF!</definedName>
    <definedName name="pd_return_pres_nor_001">#REF!</definedName>
    <definedName name="pd_return_pres_uflg_001" localSheetId="0">#REF!</definedName>
    <definedName name="pd_return_pres_uflg_001">#REF!</definedName>
    <definedName name="pd_return_pres_uid_001" localSheetId="0">#REF!</definedName>
    <definedName name="pd_return_pres_uid_001">#REF!</definedName>
    <definedName name="pd_return_temp_design_001" localSheetId="0">#REF!</definedName>
    <definedName name="pd_return_temp_design_001">#REF!</definedName>
    <definedName name="pd_return_temp_max_001" localSheetId="0">#REF!</definedName>
    <definedName name="pd_return_temp_max_001">#REF!</definedName>
    <definedName name="pd_return_temp_min_001" localSheetId="0">#REF!</definedName>
    <definedName name="pd_return_temp_min_001">#REF!</definedName>
    <definedName name="pd_return_temp_nor_001" localSheetId="0">#REF!</definedName>
    <definedName name="pd_return_temp_nor_001">#REF!</definedName>
    <definedName name="pd_return_temp_uid_001" localSheetId="0">#REF!</definedName>
    <definedName name="pd_return_temp_uid_001">#REF!</definedName>
    <definedName name="pd_saturat_temp_001" localSheetId="0">#REF!</definedName>
    <definedName name="pd_saturat_temp_001">#REF!</definedName>
    <definedName name="pd_schedul_001" localSheetId="0">#REF!</definedName>
    <definedName name="pd_schedul_001">#REF!</definedName>
    <definedName name="pd_size_001" localSheetId="0">#REF!</definedName>
    <definedName name="pd_size_001">#REF!</definedName>
    <definedName name="pd_size_uid_001" localSheetId="0">#REF!</definedName>
    <definedName name="pd_size_uid_001">#REF!</definedName>
    <definedName name="pd_solidfy_001" localSheetId="0">#REF!</definedName>
    <definedName name="pd_solidfy_001">#REF!</definedName>
    <definedName name="pd_solids_qt_001" localSheetId="0">#REF!</definedName>
    <definedName name="pd_solids_qt_001">#REF!</definedName>
    <definedName name="pd_solids_qt_uid_001" localSheetId="0">#REF!</definedName>
    <definedName name="pd_solids_qt_uid_001">#REF!</definedName>
    <definedName name="pd_solids_size_001" localSheetId="0">#REF!</definedName>
    <definedName name="pd_solids_size_001">#REF!</definedName>
    <definedName name="pd_solids_size_uid_001" localSheetId="0">#REF!</definedName>
    <definedName name="pd_solids_size_uid_001">#REF!</definedName>
    <definedName name="pd_source_001" localSheetId="0">#REF!</definedName>
    <definedName name="pd_source_001">#REF!</definedName>
    <definedName name="pd_source_type_001" localSheetId="0">#REF!</definedName>
    <definedName name="pd_source_type_001">#REF!</definedName>
    <definedName name="pd_spec_grav_base_001" localSheetId="0">#REF!</definedName>
    <definedName name="pd_spec_grav_base_001">#REF!</definedName>
    <definedName name="pd_spec_grav_max_001" localSheetId="0">#REF!</definedName>
    <definedName name="pd_spec_grav_max_001">#REF!</definedName>
    <definedName name="pd_spec_grav_min_001" localSheetId="0">#REF!</definedName>
    <definedName name="pd_spec_grav_min_001">#REF!</definedName>
    <definedName name="pd_spec_grav_nor_001" localSheetId="0">#REF!</definedName>
    <definedName name="pd_spec_grav_nor_001">#REF!</definedName>
    <definedName name="pd_spec_grav_ref_001" localSheetId="0">#REF!</definedName>
    <definedName name="pd_spec_grav_ref_001">#REF!</definedName>
    <definedName name="pd_stat_001" localSheetId="0">#REF!</definedName>
    <definedName name="pd_stat_001">#REF!</definedName>
    <definedName name="pd_temp_base_001" localSheetId="0">#REF!</definedName>
    <definedName name="pd_temp_base_001">#REF!</definedName>
    <definedName name="pd_temp_base_uid_001" localSheetId="0">#REF!</definedName>
    <definedName name="pd_temp_base_uid_001">#REF!</definedName>
    <definedName name="pd_temp_max" localSheetId="0">#REF!</definedName>
    <definedName name="pd_temp_max">#REF!</definedName>
    <definedName name="pd_temp_max_001" localSheetId="0">#REF!</definedName>
    <definedName name="pd_temp_max_001">#REF!</definedName>
    <definedName name="pd_temp_min_001" localSheetId="0">#REF!</definedName>
    <definedName name="pd_temp_min_001">#REF!</definedName>
    <definedName name="pd_temp_nor" localSheetId="0">#REF!</definedName>
    <definedName name="pd_temp_nor">#REF!</definedName>
    <definedName name="pd_temp_nor_001" localSheetId="0">#REF!</definedName>
    <definedName name="pd_temp_nor_001">#REF!</definedName>
    <definedName name="pd_temp_ref_001" localSheetId="0">#REF!</definedName>
    <definedName name="pd_temp_ref_001">#REF!</definedName>
    <definedName name="pd_temp_ref_uid_001" localSheetId="0">#REF!</definedName>
    <definedName name="pd_temp_ref_uid_001">#REF!</definedName>
    <definedName name="pd_temp_uid_001" localSheetId="0">#REF!</definedName>
    <definedName name="pd_temp_uid_001">#REF!</definedName>
    <definedName name="pd_term_shock_001" localSheetId="0">#REF!</definedName>
    <definedName name="pd_term_shock_001">#REF!</definedName>
    <definedName name="pd_toxic_001" localSheetId="0">#REF!</definedName>
    <definedName name="pd_toxic_001">#REF!</definedName>
    <definedName name="pd_transparent_001" localSheetId="0">#REF!</definedName>
    <definedName name="pd_transparent_001">#REF!</definedName>
    <definedName name="pd_udf_c01_001" localSheetId="0">#REF!</definedName>
    <definedName name="pd_udf_c01_001">#REF!</definedName>
    <definedName name="pd_udf_c02_001" localSheetId="0">#REF!</definedName>
    <definedName name="pd_udf_c02_001">#REF!</definedName>
    <definedName name="pd_udf_c03_001" localSheetId="0">#REF!</definedName>
    <definedName name="pd_udf_c03_001">#REF!</definedName>
    <definedName name="pd_udf_c04_001" localSheetId="0">#REF!</definedName>
    <definedName name="pd_udf_c04_001">#REF!</definedName>
    <definedName name="pd_udf_c05_001" localSheetId="0">#REF!</definedName>
    <definedName name="pd_udf_c05_001">#REF!</definedName>
    <definedName name="pd_udf_c06_001" localSheetId="0">#REF!</definedName>
    <definedName name="pd_udf_c06_001">#REF!</definedName>
    <definedName name="pd_udf_c07_001" localSheetId="0">#REF!</definedName>
    <definedName name="pd_udf_c07_001">#REF!</definedName>
    <definedName name="pd_udf_c08_001" localSheetId="0">#REF!</definedName>
    <definedName name="pd_udf_c08_001">#REF!</definedName>
    <definedName name="pd_udf_c09_001" localSheetId="0">#REF!</definedName>
    <definedName name="pd_udf_c09_001">#REF!</definedName>
    <definedName name="pd_udf_c10_001" localSheetId="0">#REF!</definedName>
    <definedName name="pd_udf_c10_001">#REF!</definedName>
    <definedName name="pd_udf_c11_001" localSheetId="0">#REF!</definedName>
    <definedName name="pd_udf_c11_001">#REF!</definedName>
    <definedName name="pd_udf_c12_001" localSheetId="0">#REF!</definedName>
    <definedName name="pd_udf_c12_001">#REF!</definedName>
    <definedName name="pd_udf_c13_001" localSheetId="0">#REF!</definedName>
    <definedName name="pd_udf_c13_001">#REF!</definedName>
    <definedName name="pd_udf_c14_001" localSheetId="0">#REF!</definedName>
    <definedName name="pd_udf_c14_001">#REF!</definedName>
    <definedName name="pd_udf_c15_001" localSheetId="0">#REF!</definedName>
    <definedName name="pd_udf_c15_001">#REF!</definedName>
    <definedName name="pd_udf_c16_001" localSheetId="0">#REF!</definedName>
    <definedName name="pd_udf_c16_001">#REF!</definedName>
    <definedName name="pd_udf_c17_001" localSheetId="0">#REF!</definedName>
    <definedName name="pd_udf_c17_001">#REF!</definedName>
    <definedName name="pd_udf_c18_001" localSheetId="0">#REF!</definedName>
    <definedName name="pd_udf_c18_001">#REF!</definedName>
    <definedName name="pd_udf_c19_001" localSheetId="0">#REF!</definedName>
    <definedName name="pd_udf_c19_001">#REF!</definedName>
    <definedName name="pd_udf_c20_001" localSheetId="0">#REF!</definedName>
    <definedName name="pd_udf_c20_001">#REF!</definedName>
    <definedName name="pd_unit_percent_001" localSheetId="0">#REF!</definedName>
    <definedName name="pd_unit_percent_001">#REF!</definedName>
    <definedName name="pd_vap_press_max_001" localSheetId="0">#REF!</definedName>
    <definedName name="pd_vap_press_max_001">#REF!</definedName>
    <definedName name="pd_vap_press_min_001" localSheetId="0">#REF!</definedName>
    <definedName name="pd_vap_press_min_001">#REF!</definedName>
    <definedName name="pd_vap_press_nor_001" localSheetId="0">#REF!</definedName>
    <definedName name="pd_vap_press_nor_001">#REF!</definedName>
    <definedName name="pd_vap_press_uflg_001" localSheetId="0">#REF!</definedName>
    <definedName name="pd_vap_press_uflg_001">#REF!</definedName>
    <definedName name="pd_vap_press_uid_001" localSheetId="0">#REF!</definedName>
    <definedName name="pd_vap_press_uid_001">#REF!</definedName>
    <definedName name="pd_velocity_max_001" localSheetId="0">#REF!</definedName>
    <definedName name="pd_velocity_max_001">#REF!</definedName>
    <definedName name="pd_velocity_min_001" localSheetId="0">#REF!</definedName>
    <definedName name="pd_velocity_min_001">#REF!</definedName>
    <definedName name="pd_velocity_nor_001" localSheetId="0">#REF!</definedName>
    <definedName name="pd_velocity_nor_001">#REF!</definedName>
    <definedName name="pd_velocity_uid_001" localSheetId="0">#REF!</definedName>
    <definedName name="pd_velocity_uid_001">#REF!</definedName>
    <definedName name="pd_vibration_001" localSheetId="0">#REF!</definedName>
    <definedName name="pd_vibration_001">#REF!</definedName>
    <definedName name="pd_visc_max_001" localSheetId="0">#REF!</definedName>
    <definedName name="pd_visc_max_001">#REF!</definedName>
    <definedName name="pd_visc_min_001" localSheetId="0">#REF!</definedName>
    <definedName name="pd_visc_min_001">#REF!</definedName>
    <definedName name="pd_visc_nor" localSheetId="0">#REF!</definedName>
    <definedName name="pd_visc_nor">#REF!</definedName>
    <definedName name="pd_visc_nor_001" localSheetId="0">#REF!</definedName>
    <definedName name="pd_visc_nor_001">#REF!</definedName>
    <definedName name="pd_visc_uid_001" localSheetId="0">#REF!</definedName>
    <definedName name="pd_visc_uid_001">#REF!</definedName>
    <definedName name="ped_no" localSheetId="0">#REF!</definedName>
    <definedName name="ped_no">#REF!</definedName>
    <definedName name="PER">#REF!</definedName>
    <definedName name="PHASE" localSheetId="0" hidden="1">{#N/A,#N/A,TRUE,"Basic";#N/A,#N/A,TRUE,"EXT-TABLE";#N/A,#N/A,TRUE,"STEEL";#N/A,#N/A,TRUE,"INT-Table";#N/A,#N/A,TRUE,"STEEL";#N/A,#N/A,TRUE,"Door"}</definedName>
    <definedName name="PHASE" hidden="1">{#N/A,#N/A,TRUE,"Basic";#N/A,#N/A,TRUE,"EXT-TABLE";#N/A,#N/A,TRUE,"STEEL";#N/A,#N/A,TRUE,"INT-Table";#N/A,#N/A,TRUE,"STEEL";#N/A,#N/A,TRUE,"Door"}</definedName>
    <definedName name="phase1_001" localSheetId="0">#REF!</definedName>
    <definedName name="phase1_001">#REF!</definedName>
    <definedName name="phase2_001" localSheetId="0">#REF!</definedName>
    <definedName name="phase2_001">#REF!</definedName>
    <definedName name="phase3_001" localSheetId="0">#REF!</definedName>
    <definedName name="phase3_001">#REF!</definedName>
    <definedName name="Physical_Scope">[72]eq_data!$C$5:$C$54</definedName>
    <definedName name="pid_no_001" localSheetId="0">#REF!</definedName>
    <definedName name="pid_no_001">#REF!</definedName>
    <definedName name="pile_no" localSheetId="0">#REF!</definedName>
    <definedName name="pile_no">#REF!</definedName>
    <definedName name="PIPE">[15]PIPE_DCI!#REF!</definedName>
    <definedName name="pipe_class_001" localSheetId="0">#REF!</definedName>
    <definedName name="pipe_class_001">#REF!</definedName>
    <definedName name="pipe_class_id_001" localSheetId="0">#REF!</definedName>
    <definedName name="pipe_class_id_001">#REF!</definedName>
    <definedName name="Pipe_Name" localSheetId="0">#REF!</definedName>
    <definedName name="Pipe_Name">#REF!</definedName>
    <definedName name="pipe1" localSheetId="0">#REF!</definedName>
    <definedName name="pipe1">#REF!</definedName>
    <definedName name="pipe2" localSheetId="0">#REF!</definedName>
    <definedName name="pipe2">#REF!</definedName>
    <definedName name="pipe3">[15]PIPE_DCI!#REF!</definedName>
    <definedName name="pipe4" localSheetId="0">#REF!</definedName>
    <definedName name="pipe4">#REF!</definedName>
    <definedName name="pipe5" localSheetId="0">#REF!</definedName>
    <definedName name="pipe5">#REF!</definedName>
    <definedName name="pipe6" localSheetId="0">#REF!</definedName>
    <definedName name="pipe6">#REF!</definedName>
    <definedName name="pipe7" localSheetId="0">#REF!</definedName>
    <definedName name="pipe7">#REF!</definedName>
    <definedName name="plant_id_001" localSheetId="0">#REF!</definedName>
    <definedName name="plant_id_001">#REF!</definedName>
    <definedName name="PLANT_JE_GWAN_GONG">#REF!</definedName>
    <definedName name="PO" localSheetId="0">[34]data_mci!$L$8:$L$126</definedName>
    <definedName name="PO">[35]data_mci!$L$8:$L$126</definedName>
    <definedName name="POARTM0TB0TB0TB0TB4.8TB55TB175R" localSheetId="0">[33]영업소실적!#REF!</definedName>
    <definedName name="POARTM0TB0TB0TB0TB4.8TB55TB175R">[73]영업소실적!#REF!</definedName>
    <definedName name="POARTM0TB0TB0TB0TB4.8TB55TB200R">#REF!</definedName>
    <definedName name="POARTSQKS15C5LRTRT" localSheetId="0">#REF!</definedName>
    <definedName name="POARTSQKS15C5LRTRT">#REF!</definedName>
    <definedName name="power_distribution_board_001" localSheetId="0">#REF!</definedName>
    <definedName name="power_distribution_board_001">#REF!</definedName>
    <definedName name="power_factor_full_load_001" localSheetId="0">#REF!</definedName>
    <definedName name="power_factor_full_load_001">#REF!</definedName>
    <definedName name="power_supply_type_flag_001" localSheetId="0">#REF!</definedName>
    <definedName name="power_supply_type_flag_001">#REF!</definedName>
    <definedName name="PPP" localSheetId="0">[74]PRO_DCI!#REF!,[74]PRO_DCI!#REF!,[74]PRO_DCI!#REF!,[74]PRO_DCI!#REF!,[74]PRO_DCI!#REF!</definedName>
    <definedName name="PPP">[15]PRO_DCI!#REF!,[15]PRO_DCI!#REF!,[15]PRO_DCI!#REF!,[15]PRO_DCI!#REF!,[15]PRO_DCI!#REF!</definedName>
    <definedName name="PRDump" localSheetId="0">#REF!</definedName>
    <definedName name="PRDump">#REF!</definedName>
    <definedName name="PreviousData" localSheetId="0">#REF!</definedName>
    <definedName name="PreviousData">#REF!</definedName>
    <definedName name="_xlnm.Print_Area" localSheetId="0">Cover!$A$1:$S$27</definedName>
    <definedName name="PRINT_AREA_MI" localSheetId="0">#REF!</definedName>
    <definedName name="PRINT_AREA_MI">#REF!</definedName>
    <definedName name="PRINT_TITLES_MI">#REF!</definedName>
    <definedName name="printe" localSheetId="0">#REF!</definedName>
    <definedName name="printe">#REF!</definedName>
    <definedName name="PRN_CODE" localSheetId="0">'[75]IT-BAT'!#REF!</definedName>
    <definedName name="PRN_CODE">'[76]IT-BAT'!#REF!</definedName>
    <definedName name="PRO1_MCI" localSheetId="0">#REF!</definedName>
    <definedName name="PRO1_MCI">#REF!</definedName>
    <definedName name="PRO2_MCI" localSheetId="0">#REF!</definedName>
    <definedName name="PRO2_MCI">#REF!</definedName>
    <definedName name="PRO3_MCI" localSheetId="0">#REF!</definedName>
    <definedName name="PRO3_MCI">#REF!</definedName>
    <definedName name="PRO4_MCI" localSheetId="0">#REF!</definedName>
    <definedName name="PRO4_MCI">#REF!</definedName>
    <definedName name="PRO5_MCI" localSheetId="0">#REF!</definedName>
    <definedName name="PRO5_MCI">#REF!</definedName>
    <definedName name="PRO6_MCI" localSheetId="0">#REF!</definedName>
    <definedName name="PRO6_MCI">#REF!</definedName>
    <definedName name="pro7_mci" localSheetId="0">#REF!</definedName>
    <definedName name="pro7_mci">#REF!</definedName>
    <definedName name="proc_func_id_001" localSheetId="0">#REF!</definedName>
    <definedName name="proc_func_id_001">#REF!</definedName>
    <definedName name="PROJ" localSheetId="0">#REF!</definedName>
    <definedName name="PROJ">#REF!</definedName>
    <definedName name="proj_id_001" localSheetId="0">#REF!</definedName>
    <definedName name="proj_id_001">#REF!</definedName>
    <definedName name="PROJECT">#N/A</definedName>
    <definedName name="Project_Name">#REF!</definedName>
    <definedName name="PROJECT_NUMBER">[24]Orbit!#REF!</definedName>
    <definedName name="Prop_Matl">#REF!</definedName>
    <definedName name="Prop_Matl_Rate">#REF!</definedName>
    <definedName name="Prop_MD">#REF!</definedName>
    <definedName name="Prop_MD_Rate">#REF!</definedName>
    <definedName name="Prop_Total_Matl">#REF!</definedName>
    <definedName name="Prop_Total_MD">#REF!</definedName>
    <definedName name="PS" localSheetId="0">[34]data_mci!$K$8:$K$126</definedName>
    <definedName name="PS">[35]data_mci!$K$8:$K$126</definedName>
    <definedName name="Psheet">#REF!</definedName>
    <definedName name="PSR" localSheetId="0">#REF!</definedName>
    <definedName name="PSR">#REF!</definedName>
    <definedName name="pump" localSheetId="0">BlankMacro1</definedName>
    <definedName name="pump">BlankMacro1</definedName>
    <definedName name="q" localSheetId="0" hidden="1">{#N/A,#N/A,TRUE,"Basic";#N/A,#N/A,TRUE,"EXT-TABLE";#N/A,#N/A,TRUE,"STEEL";#N/A,#N/A,TRUE,"INT-Table";#N/A,#N/A,TRUE,"STEEL";#N/A,#N/A,TRUE,"Door"}</definedName>
    <definedName name="q" hidden="1">{#N/A,#N/A,TRUE,"Basic";#N/A,#N/A,TRUE,"EXT-TABLE";#N/A,#N/A,TRUE,"STEEL";#N/A,#N/A,TRUE,"INT-Table";#N/A,#N/A,TRUE,"STEEL";#N/A,#N/A,TRUE,"Door"}</definedName>
    <definedName name="QMM">#REF!</definedName>
    <definedName name="QMR">#REF!</definedName>
    <definedName name="QMS">#REF!</definedName>
    <definedName name="qqq" localSheetId="0" hidden="1">{#N/A,#N/A,TRUE,"Basic";#N/A,#N/A,TRUE,"EXT-TABLE";#N/A,#N/A,TRUE,"STEEL";#N/A,#N/A,TRUE,"INT-Table";#N/A,#N/A,TRUE,"STEEL";#N/A,#N/A,TRUE,"Door"}</definedName>
    <definedName name="QQQ">BlankMacro1</definedName>
    <definedName name="QQQQ" localSheetId="0" hidden="1">{#N/A,#N/A,TRUE,"Basic";#N/A,#N/A,TRUE,"EXT-TABLE";#N/A,#N/A,TRUE,"STEEL";#N/A,#N/A,TRUE,"INT-Table";#N/A,#N/A,TRUE,"STEEL";#N/A,#N/A,TRUE,"Door"}</definedName>
    <definedName name="QQQQ" hidden="1">{#N/A,#N/A,TRUE,"Basic";#N/A,#N/A,TRUE,"EXT-TABLE";#N/A,#N/A,TRUE,"STEEL";#N/A,#N/A,TRUE,"INT-Table";#N/A,#N/A,TRUE,"STEEL";#N/A,#N/A,TRUE,"Door"}</definedName>
    <definedName name="qqqqq" localSheetId="0" hidden="1">{#N/A,#N/A,TRUE,"Basic";#N/A,#N/A,TRUE,"EXT-TABLE";#N/A,#N/A,TRUE,"STEEL";#N/A,#N/A,TRUE,"INT-Table";#N/A,#N/A,TRUE,"STEEL";#N/A,#N/A,TRUE,"Door"}</definedName>
    <definedName name="qqqqq" hidden="1">{#N/A,#N/A,TRUE,"Basic";#N/A,#N/A,TRUE,"EXT-TABLE";#N/A,#N/A,TRUE,"STEEL";#N/A,#N/A,TRUE,"INT-Table";#N/A,#N/A,TRUE,"STEEL";#N/A,#N/A,TRUE,"Door"}</definedName>
    <definedName name="qryFGPtoc24aug05_2149">#REF!</definedName>
    <definedName name="QTN" localSheetId="0">[34]data_mci!$I$8:$I$126</definedName>
    <definedName name="QTN">[35]data_mci!$I$8:$I$126</definedName>
    <definedName name="Qty">#REF!</definedName>
    <definedName name="Qty_1">#REF!</definedName>
    <definedName name="Qty_Temp">#REF!</definedName>
    <definedName name="Query1">#REF!</definedName>
    <definedName name="qw" localSheetId="0" hidden="1">{#N/A,#N/A,TRUE,"Basic";#N/A,#N/A,TRUE,"EXT-TABLE";#N/A,#N/A,TRUE,"STEEL";#N/A,#N/A,TRUE,"INT-Table";#N/A,#N/A,TRUE,"STEEL";#N/A,#N/A,TRUE,"Door"}</definedName>
    <definedName name="qw" hidden="1">{#N/A,#N/A,TRUE,"Basic";#N/A,#N/A,TRUE,"EXT-TABLE";#N/A,#N/A,TRUE,"STEEL";#N/A,#N/A,TRUE,"INT-Table";#N/A,#N/A,TRUE,"STEEL";#N/A,#N/A,TRUE,"Door"}</definedName>
    <definedName name="R_">#REF!</definedName>
    <definedName name="R_I_Q_A_S">#N/A</definedName>
    <definedName name="RASCO__3">#N/A</definedName>
    <definedName name="RASCO__A">#N/A</definedName>
    <definedName name="RATE">#REF!</definedName>
    <definedName name="Rate_MD">[62]Proposal!#REF!</definedName>
    <definedName name="rated" localSheetId="0">[61]PumpSpec!$X$2:$Y$26</definedName>
    <definedName name="rated">[56]PumpSpec!$X$2:$Y$26</definedName>
    <definedName name="rated_active_load_001" localSheetId="0">#REF!</definedName>
    <definedName name="rated_active_load_001">#REF!</definedName>
    <definedName name="rated_apparent_load_001" localSheetId="0">#REF!</definedName>
    <definedName name="rated_apparent_load_001">#REF!</definedName>
    <definedName name="rated_reactive_load_001" localSheetId="0">#REF!</definedName>
    <definedName name="rated_reactive_load_001">#REF!</definedName>
    <definedName name="rated_voltage_id_001" localSheetId="0">#REF!</definedName>
    <definedName name="rated_voltage_id_001">#REF!</definedName>
    <definedName name="Rating" localSheetId="0">[61]PumpSpec!$U$2:$V$5</definedName>
    <definedName name="Rating">[56]PumpSpec!$U$2:$V$5</definedName>
    <definedName name="RawAgencyPrice" localSheetId="0">#REF!</definedName>
    <definedName name="RawAgencyPrice">#REF!</definedName>
    <definedName name="RBData" localSheetId="0">#REF!</definedName>
    <definedName name="RBData">#REF!</definedName>
    <definedName name="RCROOF" localSheetId="0">#REF!</definedName>
    <definedName name="RCROOF">#REF!</definedName>
    <definedName name="re_bar" localSheetId="0">#REF!</definedName>
    <definedName name="re_bar">#REF!</definedName>
    <definedName name="reac11" localSheetId="0">#REF!</definedName>
    <definedName name="reac11">#REF!</definedName>
    <definedName name="reac12" localSheetId="0">#REF!</definedName>
    <definedName name="reac12">#REF!</definedName>
    <definedName name="ReadCaseButton">"Button 19"</definedName>
    <definedName name="ReadItemButton">"Button 18"</definedName>
    <definedName name="ReadSelectByButton">"Button 16"</definedName>
    <definedName name="ReadStatusButton">"Button 17"</definedName>
    <definedName name="ReadWgButton">"Button 15"</definedName>
    <definedName name="RECEIVE" localSheetId="0">#REF!</definedName>
    <definedName name="RECEIVE">#REF!</definedName>
    <definedName name="RECEIVE_V" localSheetId="0">[34]data_mci!$N$8:$N$126</definedName>
    <definedName name="RECEIVE_V">[35]data_mci!$N$8:$N$126</definedName>
    <definedName name="_xlnm.Recorder">#REF!</definedName>
    <definedName name="related_voltage_id_001" localSheetId="0">#REF!</definedName>
    <definedName name="related_voltage_id_001">#REF!</definedName>
    <definedName name="REMK">#N/A</definedName>
    <definedName name="RemoveDuplicates">#REF!</definedName>
    <definedName name="RemoveLineFrmTo">#REF!</definedName>
    <definedName name="Rental">#REF!</definedName>
    <definedName name="req_no_001" localSheetId="0">#REF!</definedName>
    <definedName name="req_no_001">#REF!</definedName>
    <definedName name="requi">#REF!</definedName>
    <definedName name="requires_power_supply_001" localSheetId="0">#REF!</definedName>
    <definedName name="requires_power_supply_001">#REF!</definedName>
    <definedName name="Reselects" localSheetId="0">#REF!</definedName>
    <definedName name="Reselects">#REF!</definedName>
    <definedName name="Rev" localSheetId="0">#REF!</definedName>
    <definedName name="Rev">#REF!</definedName>
    <definedName name="rev_id_001" localSheetId="0">#REF!</definedName>
    <definedName name="rev_id_001">#REF!</definedName>
    <definedName name="RevBy" localSheetId="0">#REF!</definedName>
    <definedName name="RevBy">#REF!</definedName>
    <definedName name="RevDate" localSheetId="0">#REF!</definedName>
    <definedName name="RevDate">#REF!</definedName>
    <definedName name="REVISION">#REF!</definedName>
    <definedName name="RevList" localSheetId="0">#REF!</definedName>
    <definedName name="RevList">#REF!</definedName>
    <definedName name="RevListBy" localSheetId="0">#REF!</definedName>
    <definedName name="RevListBy">#REF!</definedName>
    <definedName name="RevListDate" localSheetId="0">#REF!</definedName>
    <definedName name="RevListDate">#REF!</definedName>
    <definedName name="RevListNo" localSheetId="0">#REF!</definedName>
    <definedName name="RevListNo">#REF!</definedName>
    <definedName name="RevListStatus" localSheetId="0">#REF!</definedName>
    <definedName name="RevListStatus">#REF!</definedName>
    <definedName name="RevTable">#REF!</definedName>
    <definedName name="REWWQ">#REF!</definedName>
    <definedName name="RFA">#REF!</definedName>
    <definedName name="RFB">#REF!</definedName>
    <definedName name="RFC">#REF!</definedName>
    <definedName name="RFE">#REF!</definedName>
    <definedName name="RFF">#REF!</definedName>
    <definedName name="RFG">#REF!</definedName>
    <definedName name="RFQ" localSheetId="0">[34]data_mci!$H$8:$H$126</definedName>
    <definedName name="RFQ">[35]data_mci!$H$8:$H$126</definedName>
    <definedName name="rhhh">#REF!</definedName>
    <definedName name="Risk_Class">[13]Cover!$N$6:$O$14</definedName>
    <definedName name="rout_t" localSheetId="0">#REF!</definedName>
    <definedName name="rout_t">#REF!</definedName>
    <definedName name="rr" localSheetId="0" hidden="1">{#N/A,#N/A,TRUE,"Basic";#N/A,#N/A,TRUE,"EXT-TABLE";#N/A,#N/A,TRUE,"STEEL";#N/A,#N/A,TRUE,"INT-Table";#N/A,#N/A,TRUE,"STEEL";#N/A,#N/A,TRUE,"Door"}</definedName>
    <definedName name="rr" hidden="1">{#N/A,#N/A,TRUE,"Basic";#N/A,#N/A,TRUE,"EXT-TABLE";#N/A,#N/A,TRUE,"STEEL";#N/A,#N/A,TRUE,"INT-Table";#N/A,#N/A,TRUE,"STEEL";#N/A,#N/A,TRUE,"Door"}</definedName>
    <definedName name="S" localSheetId="0">#REF!</definedName>
    <definedName name="S">#REF!</definedName>
    <definedName name="S_M_D_S">#N/A</definedName>
    <definedName name="S41M" localSheetId="0">#REF!</definedName>
    <definedName name="S41M">#REF!</definedName>
    <definedName name="S41Y" localSheetId="0">#REF!</definedName>
    <definedName name="S41Y">#REF!</definedName>
    <definedName name="S43M" localSheetId="0">#REF!</definedName>
    <definedName name="S43M">#REF!</definedName>
    <definedName name="S43Y" localSheetId="0">#REF!</definedName>
    <definedName name="S43Y">#REF!</definedName>
    <definedName name="sa">#REF!</definedName>
    <definedName name="SALESPLAN" localSheetId="0">#REF!</definedName>
    <definedName name="SALESPLAN">#REF!</definedName>
    <definedName name="SAM" localSheetId="0" hidden="1">{#N/A,#N/A,TRUE,"Basic";#N/A,#N/A,TRUE,"EXT-TABLE";#N/A,#N/A,TRUE,"STEEL";#N/A,#N/A,TRUE,"INT-Table";#N/A,#N/A,TRUE,"STEEL";#N/A,#N/A,TRUE,"Door"}</definedName>
    <definedName name="SAM" hidden="1">{#N/A,#N/A,TRUE,"Basic";#N/A,#N/A,TRUE,"EXT-TABLE";#N/A,#N/A,TRUE,"STEEL";#N/A,#N/A,TRUE,"INT-Table";#N/A,#N/A,TRUE,"STEEL";#N/A,#N/A,TRUE,"Door"}</definedName>
    <definedName name="SAPOC">[1]회사99!#REF!</definedName>
    <definedName name="scale" localSheetId="0">#REF!</definedName>
    <definedName name="scale">#REF!</definedName>
    <definedName name="SCOPE" localSheetId="0">[77]eq_data!$C$5:$C$54</definedName>
    <definedName name="SCOPE">[75]eq_data!$C$5:$C$54</definedName>
    <definedName name="sddd" localSheetId="0">BlankMacro1</definedName>
    <definedName name="sddd">BlankMacro1</definedName>
    <definedName name="SEQU">#N/A</definedName>
    <definedName name="SetWrapText">#REF!</definedName>
    <definedName name="SEXP">#N/A</definedName>
    <definedName name="SFA">#REF!</definedName>
    <definedName name="SFB">#REF!</definedName>
    <definedName name="SFC">#REF!</definedName>
    <definedName name="SG">#REF!</definedName>
    <definedName name="Sheet1Remark0" localSheetId="0">#REF!</definedName>
    <definedName name="Sheet1Remark0">#REF!</definedName>
    <definedName name="Sheet1Remark1" localSheetId="0">#REF!</definedName>
    <definedName name="Sheet1Remark1">#REF!</definedName>
    <definedName name="Sheet1Remark10" localSheetId="0">#REF!</definedName>
    <definedName name="Sheet1Remark10">#REF!</definedName>
    <definedName name="Sheet1Remark11" localSheetId="0">#REF!</definedName>
    <definedName name="Sheet1Remark11">#REF!</definedName>
    <definedName name="Sheet1Remark12" localSheetId="0">#REF!</definedName>
    <definedName name="Sheet1Remark12">#REF!</definedName>
    <definedName name="Sheet1Remark13" localSheetId="0">#REF!</definedName>
    <definedName name="Sheet1Remark13">#REF!</definedName>
    <definedName name="Sheet1Remark14" localSheetId="0">#REF!</definedName>
    <definedName name="Sheet1Remark14">#REF!</definedName>
    <definedName name="Sheet1Remark15" localSheetId="0">#REF!</definedName>
    <definedName name="Sheet1Remark15">#REF!</definedName>
    <definedName name="Sheet1Remark16" localSheetId="0">#REF!</definedName>
    <definedName name="Sheet1Remark16">#REF!</definedName>
    <definedName name="Sheet1Remark17" localSheetId="0">#REF!</definedName>
    <definedName name="Sheet1Remark17">#REF!</definedName>
    <definedName name="Sheet1Remark18" localSheetId="0">#REF!</definedName>
    <definedName name="Sheet1Remark18">#REF!</definedName>
    <definedName name="Sheet1Remark19" localSheetId="0">#REF!</definedName>
    <definedName name="Sheet1Remark19">#REF!</definedName>
    <definedName name="Sheet1Remark2" localSheetId="0">#REF!</definedName>
    <definedName name="Sheet1Remark2">#REF!</definedName>
    <definedName name="Sheet1Remark20" localSheetId="0">#REF!</definedName>
    <definedName name="Sheet1Remark20">#REF!</definedName>
    <definedName name="Sheet1Remark21" localSheetId="0">#REF!</definedName>
    <definedName name="Sheet1Remark21">#REF!</definedName>
    <definedName name="Sheet1Remark22" localSheetId="0">#REF!</definedName>
    <definedName name="Sheet1Remark22">#REF!</definedName>
    <definedName name="Sheet1Remark3" localSheetId="0">#REF!</definedName>
    <definedName name="Sheet1Remark3">#REF!</definedName>
    <definedName name="Sheet1Remark4" localSheetId="0">#REF!</definedName>
    <definedName name="Sheet1Remark4">#REF!</definedName>
    <definedName name="Sheet1Remark5" localSheetId="0">#REF!</definedName>
    <definedName name="Sheet1Remark5">#REF!</definedName>
    <definedName name="Sheet1Remark6" localSheetId="0">#REF!</definedName>
    <definedName name="Sheet1Remark6">#REF!</definedName>
    <definedName name="Sheet1Remark7" localSheetId="0">#REF!</definedName>
    <definedName name="Sheet1Remark7">#REF!</definedName>
    <definedName name="Sheet1Remark8" localSheetId="0">#REF!</definedName>
    <definedName name="Sheet1Remark8">#REF!</definedName>
    <definedName name="Sheet1Remark9" localSheetId="0">#REF!</definedName>
    <definedName name="Sheet1Remark9">#REF!</definedName>
    <definedName name="Sheet1Value10" localSheetId="0">#REF!</definedName>
    <definedName name="Sheet1Value10">#REF!</definedName>
    <definedName name="Sheet1Value11" localSheetId="0">#REF!</definedName>
    <definedName name="Sheet1Value11">#REF!</definedName>
    <definedName name="Sheet1Value12" localSheetId="0">#REF!</definedName>
    <definedName name="Sheet1Value12">#REF!</definedName>
    <definedName name="Sheet1Value13" localSheetId="0">#REF!</definedName>
    <definedName name="Sheet1Value13">#REF!</definedName>
    <definedName name="Sheet1Value14" localSheetId="0">#REF!</definedName>
    <definedName name="Sheet1Value14">#REF!</definedName>
    <definedName name="Sheet1Value15" localSheetId="0">#REF!</definedName>
    <definedName name="Sheet1Value15">#REF!</definedName>
    <definedName name="Sheet1Value16" localSheetId="0">#REF!</definedName>
    <definedName name="Sheet1Value16">#REF!</definedName>
    <definedName name="Sheet1Value17" localSheetId="0">#REF!</definedName>
    <definedName name="Sheet1Value17">#REF!</definedName>
    <definedName name="Sheet1Value18" localSheetId="0">#REF!</definedName>
    <definedName name="Sheet1Value18">#REF!</definedName>
    <definedName name="Sheet1Value19" localSheetId="0">#REF!</definedName>
    <definedName name="Sheet1Value19">#REF!</definedName>
    <definedName name="Sheet1Value20" localSheetId="0">#REF!</definedName>
    <definedName name="Sheet1Value20">#REF!</definedName>
    <definedName name="Sheet1Value21" localSheetId="0">#REF!</definedName>
    <definedName name="Sheet1Value21">#REF!</definedName>
    <definedName name="Sheet1Value22" localSheetId="0">#REF!</definedName>
    <definedName name="Sheet1Value22">#REF!</definedName>
    <definedName name="Sheet1Value23" localSheetId="0">#REF!</definedName>
    <definedName name="Sheet1Value23">#REF!</definedName>
    <definedName name="Sheet1Value24" localSheetId="0">#REF!</definedName>
    <definedName name="Sheet1Value24">#REF!</definedName>
    <definedName name="Sheet1Value25" localSheetId="0">#REF!</definedName>
    <definedName name="Sheet1Value25">#REF!</definedName>
    <definedName name="Sheet1Value26" localSheetId="0">#REF!</definedName>
    <definedName name="Sheet1Value26">#REF!</definedName>
    <definedName name="Sheet1Value27" localSheetId="0">#REF!</definedName>
    <definedName name="Sheet1Value27">#REF!</definedName>
    <definedName name="Sheet1Value28" localSheetId="0">#REF!</definedName>
    <definedName name="Sheet1Value28">#REF!</definedName>
    <definedName name="Sheet1Value29" localSheetId="0">#REF!</definedName>
    <definedName name="Sheet1Value29">#REF!</definedName>
    <definedName name="Sheet1Value30" localSheetId="0">#REF!</definedName>
    <definedName name="Sheet1Value30">#REF!</definedName>
    <definedName name="Sheet1Value31" localSheetId="0">#REF!</definedName>
    <definedName name="Sheet1Value31">#REF!</definedName>
    <definedName name="Sheet1Value32" localSheetId="0">#REF!</definedName>
    <definedName name="Sheet1Value32">#REF!</definedName>
    <definedName name="Sheet1Value33" localSheetId="0">#REF!</definedName>
    <definedName name="Sheet1Value33">#REF!</definedName>
    <definedName name="Sheet1Value34" localSheetId="0">#REF!</definedName>
    <definedName name="Sheet1Value34">#REF!</definedName>
    <definedName name="Sheet1Value35" localSheetId="0">#REF!</definedName>
    <definedName name="Sheet1Value35">#REF!</definedName>
    <definedName name="Sheet1Value36" localSheetId="0">#REF!</definedName>
    <definedName name="Sheet1Value36">#REF!</definedName>
    <definedName name="Sheet1Value37" localSheetId="0">#REF!</definedName>
    <definedName name="Sheet1Value37">#REF!</definedName>
    <definedName name="Sheet1Value38" localSheetId="0">#REF!</definedName>
    <definedName name="Sheet1Value38">#REF!</definedName>
    <definedName name="Sheet1Value39" localSheetId="0">#REF!</definedName>
    <definedName name="Sheet1Value39">#REF!</definedName>
    <definedName name="Sheet1Value40" localSheetId="0">#REF!</definedName>
    <definedName name="Sheet1Value40">#REF!</definedName>
    <definedName name="Sheet1Value41" localSheetId="0">#REF!</definedName>
    <definedName name="Sheet1Value41">#REF!</definedName>
    <definedName name="Sheet1Value42" localSheetId="0">#REF!</definedName>
    <definedName name="Sheet1Value42">#REF!</definedName>
    <definedName name="Sheet1Value43" localSheetId="0">#REF!</definedName>
    <definedName name="Sheet1Value43">#REF!</definedName>
    <definedName name="Sheet1Value44" localSheetId="0">#REF!</definedName>
    <definedName name="Sheet1Value44">#REF!</definedName>
    <definedName name="Sheet1Value45" localSheetId="0">#REF!</definedName>
    <definedName name="Sheet1Value45">#REF!</definedName>
    <definedName name="Sheet1Value46" localSheetId="0">#REF!</definedName>
    <definedName name="Sheet1Value46">#REF!</definedName>
    <definedName name="Sheet1Value47" localSheetId="0">#REF!</definedName>
    <definedName name="Sheet1Value47">#REF!</definedName>
    <definedName name="Sheet1Value48" localSheetId="0">#REF!</definedName>
    <definedName name="Sheet1Value48">#REF!</definedName>
    <definedName name="Sheet1Value49" localSheetId="0">#REF!</definedName>
    <definedName name="Sheet1Value49">#REF!</definedName>
    <definedName name="Sheet1Value50" localSheetId="0">#REF!</definedName>
    <definedName name="Sheet1Value50">#REF!</definedName>
    <definedName name="Sheet1Value51" localSheetId="0">#REF!</definedName>
    <definedName name="Sheet1Value51">#REF!</definedName>
    <definedName name="Sheet1Value52" localSheetId="0">#REF!</definedName>
    <definedName name="Sheet1Value52">#REF!</definedName>
    <definedName name="Sheet1Value53" localSheetId="0">#REF!</definedName>
    <definedName name="Sheet1Value53">#REF!</definedName>
    <definedName name="Sheet1Value54" localSheetId="0">#REF!</definedName>
    <definedName name="Sheet1Value54">#REF!</definedName>
    <definedName name="Sheet1Value55" localSheetId="0">#REF!</definedName>
    <definedName name="Sheet1Value55">#REF!</definedName>
    <definedName name="Sheet1Value56" localSheetId="0">#REF!</definedName>
    <definedName name="Sheet1Value56">#REF!</definedName>
    <definedName name="Sheet1Value57" localSheetId="0">#REF!</definedName>
    <definedName name="Sheet1Value57">#REF!</definedName>
    <definedName name="Sheet1Value58" localSheetId="0">#REF!</definedName>
    <definedName name="Sheet1Value58">#REF!</definedName>
    <definedName name="Sheet1Value59" localSheetId="0">#REF!</definedName>
    <definedName name="Sheet1Value59">#REF!</definedName>
    <definedName name="Sheet1Value60" localSheetId="0">#REF!</definedName>
    <definedName name="Sheet1Value60">#REF!</definedName>
    <definedName name="Sheet1Value61" localSheetId="0">#REF!</definedName>
    <definedName name="Sheet1Value61">#REF!</definedName>
    <definedName name="Sheet1Value62" localSheetId="0">#REF!</definedName>
    <definedName name="Sheet1Value62">#REF!</definedName>
    <definedName name="Sheet1Value9" localSheetId="0">#REF!</definedName>
    <definedName name="Sheet1Value9">#REF!</definedName>
    <definedName name="SHEET8" localSheetId="0">BlankMacro1</definedName>
    <definedName name="SHEET8">BlankMacro1</definedName>
    <definedName name="SHELTER" localSheetId="0" hidden="1">{#N/A,#N/A,TRUE,"Basic";#N/A,#N/A,TRUE,"EXT-TABLE";#N/A,#N/A,TRUE,"STEEL";#N/A,#N/A,TRUE,"INT-Table";#N/A,#N/A,TRUE,"STEEL";#N/A,#N/A,TRUE,"Door"}</definedName>
    <definedName name="SHELTER" hidden="1">{#N/A,#N/A,TRUE,"Basic";#N/A,#N/A,TRUE,"EXT-TABLE";#N/A,#N/A,TRUE,"STEEL";#N/A,#N/A,TRUE,"INT-Table";#N/A,#N/A,TRUE,"STEEL";#N/A,#N/A,TRUE,"Door"}</definedName>
    <definedName name="Shop_Erection" localSheetId="0">#REF!</definedName>
    <definedName name="Shop_Erection">#REF!</definedName>
    <definedName name="Shop_Internals" localSheetId="0">#REF!</definedName>
    <definedName name="Shop_Internals">#REF!</definedName>
    <definedName name="Shop_Platform" localSheetId="0">#REF!</definedName>
    <definedName name="Shop_Platform">#REF!</definedName>
    <definedName name="shpe" localSheetId="0">#REF!</definedName>
    <definedName name="shpe">#REF!</definedName>
    <definedName name="silo11" localSheetId="0">#REF!</definedName>
    <definedName name="silo11">#REF!</definedName>
    <definedName name="silo12" localSheetId="0">#REF!</definedName>
    <definedName name="silo12">#REF!</definedName>
    <definedName name="SITE">#REF!</definedName>
    <definedName name="site_id_001" localSheetId="0">#REF!</definedName>
    <definedName name="site_id_001">#REF!</definedName>
    <definedName name="SIZE">#N/A</definedName>
    <definedName name="SK">#REF!</definedName>
    <definedName name="SLAB">#N/A</definedName>
    <definedName name="slope" localSheetId="0">#REF!</definedName>
    <definedName name="slope">#REF!</definedName>
    <definedName name="SMAT">#N/A</definedName>
    <definedName name="SMHR">#N/A</definedName>
    <definedName name="SMLTOOLS">#REF!</definedName>
    <definedName name="sort">#REF!</definedName>
    <definedName name="sortedprvlist1">[78]SortedList!$B$2:$D$41</definedName>
    <definedName name="SortRows">#REF!</definedName>
    <definedName name="SOURCE" localSheetId="0">#REF!</definedName>
    <definedName name="SOURCE">#REF!</definedName>
    <definedName name="spec_cmpnt_func_001" localSheetId="0">#REF!</definedName>
    <definedName name="spec_cmpnt_func_001">#REF!</definedName>
    <definedName name="spec_cmpnt_mounting_001" localSheetId="0">#REF!</definedName>
    <definedName name="spec_cmpnt_mounting_001">#REF!</definedName>
    <definedName name="spec_cmpnt_po_item_no_001" localSheetId="0">#REF!</definedName>
    <definedName name="spec_cmpnt_po_item_no_001">#REF!</definedName>
    <definedName name="spec_cmpnt_po_no" localSheetId="0">#REF!</definedName>
    <definedName name="spec_cmpnt_po_no">#REF!</definedName>
    <definedName name="spec_cmpnt_po_no_001" localSheetId="0">#REF!</definedName>
    <definedName name="spec_cmpnt_po_no_001">#REF!</definedName>
    <definedName name="spec_cmpnt_power_supply_001" localSheetId="0">#REF!</definedName>
    <definedName name="spec_cmpnt_power_supply_001">#REF!</definedName>
    <definedName name="spec_cmpnt_price_001" localSheetId="0">#REF!</definedName>
    <definedName name="spec_cmpnt_price_001">#REF!</definedName>
    <definedName name="spec_cmpnt_sn" localSheetId="0">#REF!</definedName>
    <definedName name="spec_cmpnt_sn">#REF!</definedName>
    <definedName name="spec_cmpnt_sn_001" localSheetId="0">#REF!</definedName>
    <definedName name="spec_cmpnt_sn_001">#REF!</definedName>
    <definedName name="spec_cmpnt_type_001" localSheetId="0">#REF!</definedName>
    <definedName name="spec_cmpnt_type_001">#REF!</definedName>
    <definedName name="spec_enclosure_class_001" localSheetId="0">#REF!</definedName>
    <definedName name="spec_enclosure_class_001">#REF!</definedName>
    <definedName name="spec_id_001" localSheetId="0">#REF!</definedName>
    <definedName name="spec_id_001">#REF!</definedName>
    <definedName name="spec_note" localSheetId="0">#REF!</definedName>
    <definedName name="spec_note">#REF!</definedName>
    <definedName name="spec_note_001" localSheetId="0">#REF!</definedName>
    <definedName name="spec_note_001">#REF!</definedName>
    <definedName name="spec_sheet_of" localSheetId="0">#REF!</definedName>
    <definedName name="spec_sheet_of">#REF!</definedName>
    <definedName name="spec_sheet_of_001" localSheetId="0">#REF!</definedName>
    <definedName name="spec_sheet_of_001">#REF!</definedName>
    <definedName name="spec_sheets" localSheetId="0">#REF!</definedName>
    <definedName name="spec_sheets">#REF!</definedName>
    <definedName name="spec_sheets_001" localSheetId="0">#REF!</definedName>
    <definedName name="spec_sheets_001">#REF!</definedName>
    <definedName name="spec_type_flg_001" localSheetId="0">#REF!</definedName>
    <definedName name="spec_type_flg_001">#REF!</definedName>
    <definedName name="spec_udf_c01" localSheetId="0">#REF!</definedName>
    <definedName name="spec_udf_c01">#REF!</definedName>
    <definedName name="spec_udf_c01_001" localSheetId="0">#REF!</definedName>
    <definedName name="spec_udf_c01_001">#REF!</definedName>
    <definedName name="spec_udf_c04_001" localSheetId="0">#REF!</definedName>
    <definedName name="spec_udf_c04_001">#REF!</definedName>
    <definedName name="spec_udf_c05_001" localSheetId="0">#REF!</definedName>
    <definedName name="spec_udf_c05_001">#REF!</definedName>
    <definedName name="spec_udf_c06" localSheetId="0">#REF!</definedName>
    <definedName name="spec_udf_c06">#REF!</definedName>
    <definedName name="spec_udf_c06_001" localSheetId="0">#REF!</definedName>
    <definedName name="spec_udf_c06_001">#REF!</definedName>
    <definedName name="spec_udf_c07_001" localSheetId="0">#REF!</definedName>
    <definedName name="spec_udf_c07_001">#REF!</definedName>
    <definedName name="spec_udf_c13_001" localSheetId="0">#REF!</definedName>
    <definedName name="spec_udf_c13_001">#REF!</definedName>
    <definedName name="spec_udf_c14" localSheetId="0">#REF!</definedName>
    <definedName name="spec_udf_c14">#REF!</definedName>
    <definedName name="spec_udf_c14_001" localSheetId="0">#REF!</definedName>
    <definedName name="spec_udf_c14_001">#REF!</definedName>
    <definedName name="spec_udf_c16" localSheetId="0">#REF!</definedName>
    <definedName name="spec_udf_c16">#REF!</definedName>
    <definedName name="spec_udf_c16_001" localSheetId="0">#REF!</definedName>
    <definedName name="spec_udf_c16_001">#REF!</definedName>
    <definedName name="spec_udf_c17" localSheetId="0">#REF!</definedName>
    <definedName name="spec_udf_c17">#REF!</definedName>
    <definedName name="spec_udf_c17_001" localSheetId="0">#REF!</definedName>
    <definedName name="spec_udf_c17_001">#REF!</definedName>
    <definedName name="spec_udf_c19" localSheetId="0">#REF!</definedName>
    <definedName name="spec_udf_c19">#REF!</definedName>
    <definedName name="spec_udf_c19_001" localSheetId="0">#REF!</definedName>
    <definedName name="spec_udf_c19_001">#REF!</definedName>
    <definedName name="spec_udf_c20" localSheetId="0">#REF!</definedName>
    <definedName name="spec_udf_c20">#REF!</definedName>
    <definedName name="spec_udf_c20_001" localSheetId="0">#REF!</definedName>
    <definedName name="spec_udf_c20_001">#REF!</definedName>
    <definedName name="spec_udf_c21" localSheetId="0">#REF!</definedName>
    <definedName name="spec_udf_c21">#REF!</definedName>
    <definedName name="spec_udf_c21_001" localSheetId="0">#REF!</definedName>
    <definedName name="spec_udf_c21_001">#REF!</definedName>
    <definedName name="spec_udf_c24" localSheetId="0">#REF!</definedName>
    <definedName name="spec_udf_c24">#REF!</definedName>
    <definedName name="spec_udf_c24_001" localSheetId="0">#REF!</definedName>
    <definedName name="spec_udf_c24_001">#REF!</definedName>
    <definedName name="spec_udf_c25" localSheetId="0">#REF!</definedName>
    <definedName name="spec_udf_c25">#REF!</definedName>
    <definedName name="spec_udf_c25_001" localSheetId="0">#REF!</definedName>
    <definedName name="spec_udf_c25_001">#REF!</definedName>
    <definedName name="spec_udf_c26" localSheetId="0">#REF!</definedName>
    <definedName name="spec_udf_c26">#REF!</definedName>
    <definedName name="spec_udf_c26_001" localSheetId="0">#REF!</definedName>
    <definedName name="spec_udf_c26_001">#REF!</definedName>
    <definedName name="spec_udf_c27_001" localSheetId="0">#REF!</definedName>
    <definedName name="spec_udf_c27_001">#REF!</definedName>
    <definedName name="spec_udf_c28" localSheetId="0">#REF!</definedName>
    <definedName name="spec_udf_c28">#REF!</definedName>
    <definedName name="spec_udf_c28_001" localSheetId="0">#REF!</definedName>
    <definedName name="spec_udf_c28_001">#REF!</definedName>
    <definedName name="spec_udf_c29" localSheetId="0">#REF!</definedName>
    <definedName name="spec_udf_c29">#REF!</definedName>
    <definedName name="spec_udf_c29_001" localSheetId="0">#REF!</definedName>
    <definedName name="spec_udf_c29_001">#REF!</definedName>
    <definedName name="spec_udf_c30" localSheetId="0">#REF!</definedName>
    <definedName name="spec_udf_c30">#REF!</definedName>
    <definedName name="spec_udf_c30_001" localSheetId="0">#REF!</definedName>
    <definedName name="spec_udf_c30_001">#REF!</definedName>
    <definedName name="spec_udf_c31" localSheetId="0">#REF!</definedName>
    <definedName name="spec_udf_c31">#REF!</definedName>
    <definedName name="spec_udf_c31_001" localSheetId="0">#REF!</definedName>
    <definedName name="spec_udf_c31_001">#REF!</definedName>
    <definedName name="spec_udf_c32" localSheetId="0">#REF!</definedName>
    <definedName name="spec_udf_c32">#REF!</definedName>
    <definedName name="spec_udf_c32_001" localSheetId="0">#REF!</definedName>
    <definedName name="spec_udf_c32_001">#REF!</definedName>
    <definedName name="spec_udf_c33" localSheetId="0">#REF!</definedName>
    <definedName name="spec_udf_c33">#REF!</definedName>
    <definedName name="spec_udf_c33_001" localSheetId="0">#REF!</definedName>
    <definedName name="spec_udf_c33_001">#REF!</definedName>
    <definedName name="spec_udf_c34" localSheetId="0">#REF!</definedName>
    <definedName name="spec_udf_c34">#REF!</definedName>
    <definedName name="spec_udf_c34_001" localSheetId="0">#REF!</definedName>
    <definedName name="spec_udf_c34_001">#REF!</definedName>
    <definedName name="spec_udf_c37" localSheetId="0">#REF!</definedName>
    <definedName name="spec_udf_c37">#REF!</definedName>
    <definedName name="spec_udf_c37_001" localSheetId="0">#REF!</definedName>
    <definedName name="spec_udf_c37_001">#REF!</definedName>
    <definedName name="spec_udf_c38" localSheetId="0">#REF!</definedName>
    <definedName name="spec_udf_c38">#REF!</definedName>
    <definedName name="spec_udf_c38_001" localSheetId="0">#REF!</definedName>
    <definedName name="spec_udf_c38_001">#REF!</definedName>
    <definedName name="spec_udf_c40" localSheetId="0">#REF!</definedName>
    <definedName name="spec_udf_c40">#REF!</definedName>
    <definedName name="spec_udf_c40_001" localSheetId="0">#REF!</definedName>
    <definedName name="spec_udf_c40_001">#REF!</definedName>
    <definedName name="spec_udf_c41" localSheetId="0">#REF!</definedName>
    <definedName name="spec_udf_c41">#REF!</definedName>
    <definedName name="spec_udf_c41_001" localSheetId="0">#REF!</definedName>
    <definedName name="spec_udf_c41_001">#REF!</definedName>
    <definedName name="spec_udf_c43" localSheetId="0">#REF!</definedName>
    <definedName name="spec_udf_c43">#REF!</definedName>
    <definedName name="spec_udf_c43_001" localSheetId="0">#REF!</definedName>
    <definedName name="spec_udf_c43_001">#REF!</definedName>
    <definedName name="spec_udf_c44" localSheetId="0">#REF!</definedName>
    <definedName name="spec_udf_c44">#REF!</definedName>
    <definedName name="spec_udf_c44_001" localSheetId="0">#REF!</definedName>
    <definedName name="spec_udf_c44_001">#REF!</definedName>
    <definedName name="spec_udf_c45" localSheetId="0">#REF!</definedName>
    <definedName name="spec_udf_c45">#REF!</definedName>
    <definedName name="spec_udf_c45_001" localSheetId="0">#REF!</definedName>
    <definedName name="spec_udf_c45_001">#REF!</definedName>
    <definedName name="spec_udf_c49" localSheetId="0">#REF!</definedName>
    <definedName name="spec_udf_c49">#REF!</definedName>
    <definedName name="spec_udf_c49_001" localSheetId="0">#REF!</definedName>
    <definedName name="spec_udf_c49_001">#REF!</definedName>
    <definedName name="spec_udf_c50" localSheetId="0">#REF!</definedName>
    <definedName name="spec_udf_c50">#REF!</definedName>
    <definedName name="spec_udf_c50_001" localSheetId="0">#REF!</definedName>
    <definedName name="spec_udf_c50_001">#REF!</definedName>
    <definedName name="spec_udf_c51" localSheetId="0">#REF!</definedName>
    <definedName name="spec_udf_c51">#REF!</definedName>
    <definedName name="spec_udf_c51_001" localSheetId="0">#REF!</definedName>
    <definedName name="spec_udf_c51_001">#REF!</definedName>
    <definedName name="spec_udf_c52" localSheetId="0">#REF!</definedName>
    <definedName name="spec_udf_c52">#REF!</definedName>
    <definedName name="spec_udf_c52_001" localSheetId="0">#REF!</definedName>
    <definedName name="spec_udf_c52_001">#REF!</definedName>
    <definedName name="spec_udf_c55" localSheetId="0">#REF!</definedName>
    <definedName name="spec_udf_c55">#REF!</definedName>
    <definedName name="spec_udf_c55_001" localSheetId="0">#REF!</definedName>
    <definedName name="spec_udf_c55_001">#REF!</definedName>
    <definedName name="spec_udf_c56" localSheetId="0">#REF!</definedName>
    <definedName name="spec_udf_c56">#REF!</definedName>
    <definedName name="spec_udf_c56_001" localSheetId="0">#REF!</definedName>
    <definedName name="spec_udf_c56_001">#REF!</definedName>
    <definedName name="spec_udf_c57" localSheetId="0">#REF!</definedName>
    <definedName name="spec_udf_c57">#REF!</definedName>
    <definedName name="spec_udf_c57_001" localSheetId="0">#REF!</definedName>
    <definedName name="spec_udf_c57_001">#REF!</definedName>
    <definedName name="spec_udf_c58" localSheetId="0">#REF!</definedName>
    <definedName name="spec_udf_c58">#REF!</definedName>
    <definedName name="spec_udf_c58_001" localSheetId="0">#REF!</definedName>
    <definedName name="spec_udf_c58_001">#REF!</definedName>
    <definedName name="spec_udf_c59" localSheetId="0">#REF!</definedName>
    <definedName name="spec_udf_c59">#REF!</definedName>
    <definedName name="spec_udf_c59_001" localSheetId="0">#REF!</definedName>
    <definedName name="spec_udf_c59_001">#REF!</definedName>
    <definedName name="spec_udf_c60" localSheetId="0">#REF!</definedName>
    <definedName name="spec_udf_c60">#REF!</definedName>
    <definedName name="spec_udf_c60_001" localSheetId="0">#REF!</definedName>
    <definedName name="spec_udf_c60_001">#REF!</definedName>
    <definedName name="spec_udf_c90" localSheetId="0">#REF!</definedName>
    <definedName name="spec_udf_c90">#REF!</definedName>
    <definedName name="spec_udf_c90_001" localSheetId="0">#REF!</definedName>
    <definedName name="spec_udf_c90_001">#REF!</definedName>
    <definedName name="Sprep_E4TK187">'[79]SPrep_E4TK(R187)'!$C$8:$M$112</definedName>
    <definedName name="squad" localSheetId="0">[34]data_dci!$H$8:$H$746</definedName>
    <definedName name="squad">[35]data_dci!$H$8:$H$746</definedName>
    <definedName name="SR" localSheetId="0" hidden="1">#REF!</definedName>
    <definedName name="SR" hidden="1">#REF!</definedName>
    <definedName name="SS" localSheetId="0">BlankMacro1</definedName>
    <definedName name="SS">BlankMacro1</definedName>
    <definedName name="ssd" localSheetId="0">Cover!ClearSheet</definedName>
    <definedName name="ssd">[0]!ClearSheet</definedName>
    <definedName name="sss" localSheetId="0" hidden="1">{#N/A,#N/A,TRUE,"Basic";#N/A,#N/A,TRUE,"EXT-TABLE";#N/A,#N/A,TRUE,"STEEL";#N/A,#N/A,TRUE,"INT-Table";#N/A,#N/A,TRUE,"STEEL";#N/A,#N/A,TRUE,"Door"}</definedName>
    <definedName name="sss">#REF!</definedName>
    <definedName name="ssss" localSheetId="0" hidden="1">{#N/A,#N/A,TRUE,"Basic";#N/A,#N/A,TRUE,"EXT-TABLE";#N/A,#N/A,TRUE,"STEEL";#N/A,#N/A,TRUE,"INT-Table";#N/A,#N/A,TRUE,"STEEL";#N/A,#N/A,TRUE,"Door"}</definedName>
    <definedName name="ssss" hidden="1">{#N/A,#N/A,TRUE,"Basic";#N/A,#N/A,TRUE,"EXT-TABLE";#N/A,#N/A,TRUE,"STEEL";#N/A,#N/A,TRUE,"INT-Table";#N/A,#N/A,TRUE,"STEEL";#N/A,#N/A,TRUE,"Door"}</definedName>
    <definedName name="start" localSheetId="0">[34]data_dci!$G$8:$G$746</definedName>
    <definedName name="start">[35]data_dci!$G$8:$G$746</definedName>
    <definedName name="StartCell">#REF!</definedName>
    <definedName name="starting_current_001" localSheetId="0">#REF!</definedName>
    <definedName name="starting_current_001">#REF!</definedName>
    <definedName name="STAS_Design_Capacity">#REF!</definedName>
    <definedName name="STAS_Weight_Empty">#REF!</definedName>
    <definedName name="STAS_Weight_Operating">#REF!</definedName>
    <definedName name="stmx11" localSheetId="0">#REF!</definedName>
    <definedName name="stmx11">#REF!</definedName>
    <definedName name="strip_id_001" localSheetId="0">#REF!</definedName>
    <definedName name="strip_id_001">#REF!</definedName>
    <definedName name="Subject_2_Electrical">#REF!</definedName>
    <definedName name="Subject_3_Electrical">#REF!</definedName>
    <definedName name="Subject_5_Electrical">#REF!</definedName>
    <definedName name="sum" localSheetId="0">{#N/A,#N/A,TRUE,"Basic";#N/A,#N/A,TRUE,"EXT-TABLE";#N/A,#N/A,TRUE,"STEEL";#N/A,#N/A,TRUE,"INT-Table";#N/A,#N/A,TRUE,"STEEL";#N/A,#N/A,TRUE,"Door"}</definedName>
    <definedName name="sum">{#N/A,#N/A,TRUE,"Basic";#N/A,#N/A,TRUE,"EXT-TABLE";#N/A,#N/A,TRUE,"STEEL";#N/A,#N/A,TRUE,"INT-Table";#N/A,#N/A,TRUE,"STEEL";#N/A,#N/A,TRUE,"Door"}</definedName>
    <definedName name="summary" localSheetId="0">#REF!</definedName>
    <definedName name="summary">#REF!</definedName>
    <definedName name="SUMPREVIEWS" localSheetId="0">'[80]INPUT DATA'!$AM$8,'[80]INPUT DATA'!$AI$8,'[80]INPUT DATA'!$AI$8,'[80]INPUT DATA'!$AJ$8,'[80]INPUT DATA'!$AJ$8,'[80]INPUT DATA'!$AK$8,'[80]INPUT DATA'!$AK$8,'[80]INPUT DATA'!$AL$8,'[80]INPUT DATA'!$AL$8</definedName>
    <definedName name="SUMPREVIEWS">'[81]INPUT DATA'!$AM$8,'[81]INPUT DATA'!$AI$8,'[81]INPUT DATA'!$AI$8,'[81]INPUT DATA'!$AJ$8,'[81]INPUT DATA'!$AJ$8,'[81]INPUT DATA'!$AK$8,'[81]INPUT DATA'!$AK$8,'[81]INPUT DATA'!$AL$8,'[81]INPUT DATA'!$AL$8</definedName>
    <definedName name="Sup_MATL_Rate">#REF!</definedName>
    <definedName name="Sup_MD_Rate">#REF!</definedName>
    <definedName name="Sup_Total_WT">[67]BQ!#REF!</definedName>
    <definedName name="Sup_WT">[67]BQ!#REF!</definedName>
    <definedName name="SWBR_5021A">#REF!</definedName>
    <definedName name="T">[82]경제지표!$A$3:$D$52</definedName>
    <definedName name="T_2">#N/A</definedName>
    <definedName name="T_3">#N/A</definedName>
    <definedName name="T_4">#N/A</definedName>
    <definedName name="T2_">#N/A</definedName>
    <definedName name="Table" localSheetId="0">#REF!</definedName>
    <definedName name="Table">#REF!</definedName>
    <definedName name="Table1" localSheetId="0">#REF!</definedName>
    <definedName name="Table1">#REF!</definedName>
    <definedName name="tableau1">#REF!</definedName>
    <definedName name="tag_number_note" localSheetId="0">#REF!</definedName>
    <definedName name="tag_number_note">#REF!</definedName>
    <definedName name="TAX">#REF!</definedName>
    <definedName name="TBA" localSheetId="0">[34]data_mci!$J$8:$J$126</definedName>
    <definedName name="TBA">[35]data_mci!$J$8:$J$126</definedName>
    <definedName name="tc_field_equipment_id_001" localSheetId="0">#REF!</definedName>
    <definedName name="tc_field_equipment_id_001">#REF!</definedName>
    <definedName name="tc_fire_area_001" localSheetId="0">#REF!</definedName>
    <definedName name="tc_fire_area_001">#REF!</definedName>
    <definedName name="tc_line_number_id_001" localSheetId="0">#REF!</definedName>
    <definedName name="tc_line_number_id_001">#REF!</definedName>
    <definedName name="tc_location_layout_001" localSheetId="0">#REF!</definedName>
    <definedName name="tc_location_layout_001">#REF!</definedName>
    <definedName name="tc_signal_id_001" localSheetId="0">#REF!</definedName>
    <definedName name="tc_signal_id_001">#REF!</definedName>
    <definedName name="TC2C">#REF!</definedName>
    <definedName name="TC3C">#REF!</definedName>
    <definedName name="TC7C">#REF!</definedName>
    <definedName name="TC9C">#REF!</definedName>
    <definedName name="TE">#REF!</definedName>
    <definedName name="teri" localSheetId="0" hidden="1">{#N/A,#N/A,TRUE,"Basic";#N/A,#N/A,TRUE,"EXT-TABLE";#N/A,#N/A,TRUE,"STEEL";#N/A,#N/A,TRUE,"INT-Table";#N/A,#N/A,TRUE,"STEEL";#N/A,#N/A,TRUE,"Door"}</definedName>
    <definedName name="teri" hidden="1">{#N/A,#N/A,TRUE,"Basic";#N/A,#N/A,TRUE,"EXT-TABLE";#N/A,#N/A,TRUE,"STEEL";#N/A,#N/A,TRUE,"INT-Table";#N/A,#N/A,TRUE,"STEEL";#N/A,#N/A,TRUE,"Door"}</definedName>
    <definedName name="TEST" localSheetId="0">#REF!</definedName>
    <definedName name="TEST">#REF!</definedName>
    <definedName name="theta">#REF!</definedName>
    <definedName name="TidyUpFrom">#REF!</definedName>
    <definedName name="TidyUpTo">#REF!</definedName>
    <definedName name="TIT">#REF!</definedName>
    <definedName name="TO" localSheetId="0">[34]Main!$C$9</definedName>
    <definedName name="to">[35]Main!$C$9</definedName>
    <definedName name="TO_C" localSheetId="0">[43]MAIN!$E$8</definedName>
    <definedName name="TO_C">[44]MAIN!$E$8</definedName>
    <definedName name="TOT_MATL">[62]Proposal!#REF!</definedName>
    <definedName name="tower11" localSheetId="0">#REF!</definedName>
    <definedName name="tower11">#REF!</definedName>
    <definedName name="tower12" localSheetId="0">#REF!</definedName>
    <definedName name="tower12">#REF!</definedName>
    <definedName name="tower21" localSheetId="0">#REF!</definedName>
    <definedName name="tower21">#REF!</definedName>
    <definedName name="tower22" localSheetId="0">#REF!</definedName>
    <definedName name="tower22">#REF!</definedName>
    <definedName name="tray11" localSheetId="0">#REF!</definedName>
    <definedName name="tray11">#REF!</definedName>
    <definedName name="tray12" localSheetId="0">#REF!</definedName>
    <definedName name="tray12">#REF!</definedName>
    <definedName name="tt">#REF!</definedName>
    <definedName name="TYPE10" localSheetId="0">#REF!</definedName>
    <definedName name="TYPE10">#REF!</definedName>
    <definedName name="typical_schematic_001" localSheetId="0">#REF!</definedName>
    <definedName name="typical_schematic_001">#REF!</definedName>
    <definedName name="UD">#REF!</definedName>
    <definedName name="udt_support_id1_001" localSheetId="0">#REF!</definedName>
    <definedName name="udt_support_id1_001">#REF!</definedName>
    <definedName name="udt_support_id10_001" localSheetId="0">#REF!</definedName>
    <definedName name="udt_support_id10_001">#REF!</definedName>
    <definedName name="udt_support_id11_001" localSheetId="0">#REF!</definedName>
    <definedName name="udt_support_id11_001">#REF!</definedName>
    <definedName name="udt_support_id12_001" localSheetId="0">#REF!</definedName>
    <definedName name="udt_support_id12_001">#REF!</definedName>
    <definedName name="udt_support_id13_001" localSheetId="0">#REF!</definedName>
    <definedName name="udt_support_id13_001">#REF!</definedName>
    <definedName name="udt_support_id14_001" localSheetId="0">#REF!</definedName>
    <definedName name="udt_support_id14_001">#REF!</definedName>
    <definedName name="udt_support_id15_001" localSheetId="0">#REF!</definedName>
    <definedName name="udt_support_id15_001">#REF!</definedName>
    <definedName name="udt_support_id16_001" localSheetId="0">#REF!</definedName>
    <definedName name="udt_support_id16_001">#REF!</definedName>
    <definedName name="udt_support_id2_001" localSheetId="0">#REF!</definedName>
    <definedName name="udt_support_id2_001">#REF!</definedName>
    <definedName name="udt_support_id3_001" localSheetId="0">#REF!</definedName>
    <definedName name="udt_support_id3_001">#REF!</definedName>
    <definedName name="udt_support_id4_001" localSheetId="0">#REF!</definedName>
    <definedName name="udt_support_id4_001">#REF!</definedName>
    <definedName name="udt_support_id5_001" localSheetId="0">#REF!</definedName>
    <definedName name="udt_support_id5_001">#REF!</definedName>
    <definedName name="udt_support_id6_001" localSheetId="0">#REF!</definedName>
    <definedName name="udt_support_id6_001">#REF!</definedName>
    <definedName name="udt_support_id7_001" localSheetId="0">#REF!</definedName>
    <definedName name="udt_support_id7_001">#REF!</definedName>
    <definedName name="udt_support_id8_001" localSheetId="0">#REF!</definedName>
    <definedName name="udt_support_id8_001">#REF!</definedName>
    <definedName name="udt_support_id9_001" localSheetId="0">#REF!</definedName>
    <definedName name="udt_support_id9_001">#REF!</definedName>
    <definedName name="ue____I¨￡">#N/A</definedName>
    <definedName name="ue____Iª">#N/A</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que">#REF!</definedName>
    <definedName name="UniqueFrom">#REF!</definedName>
    <definedName name="UniqueTo">#REF!</definedName>
    <definedName name="UNIT">#N/A</definedName>
    <definedName name="unit_id_001" localSheetId="0">#REF!</definedName>
    <definedName name="unit_id_001">#REF!</definedName>
    <definedName name="Unit_Matl">[62]Proposal!#REF!</definedName>
    <definedName name="Unit_MD">[62]Proposal!#REF!</definedName>
    <definedName name="Unit100">[79]U00!$C$8:$M$107</definedName>
    <definedName name="Unit101">[79]U01!$C$8:$M$107</definedName>
    <definedName name="Unit102">[79]U02!$C$8:$M$107</definedName>
    <definedName name="Unit103">[79]U03!$C$8:$M$107</definedName>
    <definedName name="Unit106">[79]U06!$C$8:$M$107</definedName>
    <definedName name="Unit107">[79]U07!$C$8:$M$107</definedName>
    <definedName name="Unit108">[79]U08!$C$8:$M$107</definedName>
    <definedName name="Unit109">[79]U09!$C$8:$M$107</definedName>
    <definedName name="Unit110">[79]U10!$C$8:$M$107</definedName>
    <definedName name="Unit111">[79]U11!$C$8:$M$107</definedName>
    <definedName name="Unit113">[79]U13!$C$8:$M$107</definedName>
    <definedName name="Unit120" localSheetId="0">#REF!</definedName>
    <definedName name="Unit120">#REF!</definedName>
    <definedName name="Unit121">[79]U21!$C$8:$M$107</definedName>
    <definedName name="Unit125">[79]U25!$C$8:$M$107</definedName>
    <definedName name="Unit126">[79]U26!$C$8:$M$107</definedName>
    <definedName name="Unit129">[79]U29!$C$8:$M$107</definedName>
    <definedName name="Unit130">[79]U30!$C$8:$M$107</definedName>
    <definedName name="Unit131">[79]U31_Base!$C$8:$M$107</definedName>
    <definedName name="Unit140">[79]U40!$C$8:$M$107</definedName>
    <definedName name="Unit142">[79]U42!$C$8:$M$107</definedName>
    <definedName name="Unit143">[79]U43!$C$8:$M$107</definedName>
    <definedName name="Unit145">[79]U45!$C$8:$M$107</definedName>
    <definedName name="Unit147">[79]U47!$C$8:$M$107</definedName>
    <definedName name="Unit148">[79]U48!$C$8:$M$107</definedName>
    <definedName name="Unit160">[79]U60!$C$8:$M$107</definedName>
    <definedName name="UNITNO" localSheetId="0">#REF!</definedName>
    <definedName name="UNITNO">#REF!</definedName>
    <definedName name="Units_Value">[69]Instructions!$AO$18</definedName>
    <definedName name="uom_id_001" localSheetId="0">#REF!</definedName>
    <definedName name="uom_id_001">#REF!</definedName>
    <definedName name="user_name_001" localSheetId="0">#REF!</definedName>
    <definedName name="user_name_001">#REF!</definedName>
    <definedName name="v" localSheetId="0">#REF!</definedName>
    <definedName name="v">#REF!</definedName>
    <definedName name="vffsfs" localSheetId="0" hidden="1">{#N/A,#N/A,TRUE,"Basic";#N/A,#N/A,TRUE,"EXT-TABLE";#N/A,#N/A,TRUE,"STEEL";#N/A,#N/A,TRUE,"INT-Table";#N/A,#N/A,TRUE,"STEEL";#N/A,#N/A,TRUE,"Door"}</definedName>
    <definedName name="vffsfs" hidden="1">{#N/A,#N/A,TRUE,"Basic";#N/A,#N/A,TRUE,"EXT-TABLE";#N/A,#N/A,TRUE,"STEEL";#N/A,#N/A,TRUE,"INT-Table";#N/A,#N/A,TRUE,"STEEL";#N/A,#N/A,TRUE,"Door"}</definedName>
    <definedName name="VS">#REF!</definedName>
    <definedName name="Waste" localSheetId="0" hidden="1">{#N/A,#N/A,TRUE,"Basic";#N/A,#N/A,TRUE,"EXT-TABLE";#N/A,#N/A,TRUE,"STEEL";#N/A,#N/A,TRUE,"INT-Table";#N/A,#N/A,TRUE,"STEEL";#N/A,#N/A,TRUE,"Door"}</definedName>
    <definedName name="Waste" hidden="1">{#N/A,#N/A,TRUE,"Basic";#N/A,#N/A,TRUE,"EXT-TABLE";#N/A,#N/A,TRUE,"STEEL";#N/A,#N/A,TRUE,"INT-Table";#N/A,#N/A,TRUE,"STEEL";#N/A,#N/A,TRUE,"Door"}</definedName>
    <definedName name="WE">#REF!</definedName>
    <definedName name="WEIGHT" localSheetId="0">#REF!</definedName>
    <definedName name="WEIGHT">#REF!</definedName>
    <definedName name="WFC" localSheetId="0" hidden="1">#REF!</definedName>
    <definedName name="WFC" hidden="1">#REF!</definedName>
    <definedName name="wire_group_id_001" localSheetId="0">#REF!</definedName>
    <definedName name="wire_group_id_001">#REF!</definedName>
    <definedName name="WORKSHOP" localSheetId="0" hidden="1">{#N/A,#N/A,TRUE,"Basic";#N/A,#N/A,TRUE,"EXT-TABLE";#N/A,#N/A,TRUE,"STEEL";#N/A,#N/A,TRUE,"INT-Table";#N/A,#N/A,TRUE,"STEEL";#N/A,#N/A,TRUE,"Door"}</definedName>
    <definedName name="WORKSHOP" hidden="1">{#N/A,#N/A,TRUE,"Basic";#N/A,#N/A,TRUE,"EXT-TABLE";#N/A,#N/A,TRUE,"STEEL";#N/A,#N/A,TRUE,"INT-Table";#N/A,#N/A,TRUE,"STEEL";#N/A,#N/A,TRUE,"Door"}</definedName>
    <definedName name="wrn.BM." localSheetId="0" hidden="1">{#N/A,#N/A,TRUE,"Basic";#N/A,#N/A,TRUE,"EXT-TABLE";#N/A,#N/A,TRUE,"STEEL";#N/A,#N/A,TRUE,"INT-Table";#N/A,#N/A,TRUE,"STEEL";#N/A,#N/A,TRUE,"Door"}</definedName>
    <definedName name="wrn.BM." hidden="1">{#N/A,#N/A,TRUE,"Basic";#N/A,#N/A,TRUE,"EXT-TABLE";#N/A,#N/A,TRUE,"STEEL";#N/A,#N/A,TRUE,"INT-Table";#N/A,#N/A,TRUE,"STEEL";#N/A,#N/A,TRUE,"Door"}</definedName>
    <definedName name="wrn.SRU._.CONDENSER." localSheetId="0" hidden="1">{#N/A,#N/A,FALSE,"HXSheet1";#N/A,#N/A,FALSE,"Sheet2";#N/A,#N/A,FALSE,"Sheet3";#N/A,#N/A,FALSE,"Sheet4"}</definedName>
    <definedName name="wrn.SRU._.CONDENSER." hidden="1">{#N/A,#N/A,FALSE,"HXSheet1";#N/A,#N/A,FALSE,"Sheet2";#N/A,#N/A,FALSE,"Sheet3";#N/A,#N/A,FALSE,"Sheet4"}</definedName>
    <definedName name="www" localSheetId="0" hidden="1">{#N/A,#N/A,TRUE,"Basic";#N/A,#N/A,TRUE,"EXT-TABLE";#N/A,#N/A,TRUE,"STEEL";#N/A,#N/A,TRUE,"INT-Table";#N/A,#N/A,TRUE,"STEEL";#N/A,#N/A,TRUE,"Door"}</definedName>
    <definedName name="www" hidden="1">{#N/A,#N/A,TRUE,"Basic";#N/A,#N/A,TRUE,"EXT-TABLE";#N/A,#N/A,TRUE,"STEEL";#N/A,#N/A,TRUE,"INT-Table";#N/A,#N/A,TRUE,"STEEL";#N/A,#N/A,TRUE,"Door"}</definedName>
    <definedName name="X">#REF!</definedName>
    <definedName name="xcoincidencefactor_001" localSheetId="0">#REF!</definedName>
    <definedName name="xcoincidencefactor_001">#REF!</definedName>
    <definedName name="XX" localSheetId="0">BlankMacro1</definedName>
    <definedName name="XX">BlankMacro1</definedName>
    <definedName name="XXX">#REF!</definedName>
    <definedName name="XXXXX">#REF!</definedName>
    <definedName name="ycoincidencefactor_001" localSheetId="0">#REF!</definedName>
    <definedName name="ycoincidencefactor_001">#REF!</definedName>
    <definedName name="YN">#REF!</definedName>
    <definedName name="ynkim" localSheetId="0" hidden="1">{#N/A,#N/A,TRUE,"Basic";#N/A,#N/A,TRUE,"EXT-TABLE";#N/A,#N/A,TRUE,"STEEL";#N/A,#N/A,TRUE,"INT-Table";#N/A,#N/A,TRUE,"STEEL";#N/A,#N/A,TRUE,"Door"}</definedName>
    <definedName name="ynkim" hidden="1">{#N/A,#N/A,TRUE,"Basic";#N/A,#N/A,TRUE,"EXT-TABLE";#N/A,#N/A,TRUE,"STEEL";#N/A,#N/A,TRUE,"INT-Table";#N/A,#N/A,TRUE,"STEEL";#N/A,#N/A,TRUE,"Door"}</definedName>
    <definedName name="YSB">#REF!</definedName>
    <definedName name="Z" localSheetId="0">#REF!</definedName>
    <definedName name="Z">BlankMacro1</definedName>
    <definedName name="Z_0038F670_AB89_11D5_B39B_00D0590671AF_.wvu.PrintArea" localSheetId="0" hidden="1">Cover!$A$1:$T$26</definedName>
    <definedName name="Z_0038F670_AB89_11D5_B39B_00D0590671AF_.wvu.Rows" localSheetId="0" hidden="1">Cover!$11:$11</definedName>
    <definedName name="Z_5CB85862_B86F_4344_B945_AF2C592262DB_.wvu.PrintArea" localSheetId="0" hidden="1">Cover!$A$1:$T$26</definedName>
    <definedName name="Z_5CB85862_B86F_4344_B945_AF2C592262DB_.wvu.Rows" localSheetId="0" hidden="1">Cover!$11:$11</definedName>
    <definedName name="Z_7B58B964_ACE8_11D5_9F66_002035F4328D_.wvu.PrintArea" localSheetId="0" hidden="1">Cover!$A$1:$T$26</definedName>
    <definedName name="Z_7B58B964_ACE8_11D5_9F66_002035F4328D_.wvu.Rows" localSheetId="0" hidden="1">Cover!$11:$11</definedName>
    <definedName name="Z_L_I_T_E_N">#N/A</definedName>
    <definedName name="zcoincidencefactor_001" localSheetId="0">#REF!</definedName>
    <definedName name="zcoincidencefactor_001">#REF!</definedName>
    <definedName name="ZOKI">[1]회사99!#REF!</definedName>
    <definedName name="Zone_impres_MI">#REF!</definedName>
    <definedName name="zz" localSheetId="0">'[83]h-013211-2'!$Q$5</definedName>
    <definedName name="zz">'[19]h-013211-2'!$Q$5</definedName>
    <definedName name="zzcoincidencefactor_001" localSheetId="0">#REF!</definedName>
    <definedName name="zzcoincidencefactor_001">#REF!</definedName>
    <definedName name="zzz" localSheetId="0" hidden="1">{#N/A,#N/A,TRUE,"Basic";#N/A,#N/A,TRUE,"EXT-TABLE";#N/A,#N/A,TRUE,"STEEL";#N/A,#N/A,TRUE,"INT-Table";#N/A,#N/A,TRUE,"STEEL";#N/A,#N/A,TRUE,"Door"}</definedName>
    <definedName name="zzz" hidden="1">{#N/A,#N/A,TRUE,"Basic";#N/A,#N/A,TRUE,"EXT-TABLE";#N/A,#N/A,TRUE,"STEEL";#N/A,#N/A,TRUE,"INT-Table";#N/A,#N/A,TRUE,"STEEL";#N/A,#N/A,TRUE,"Door"}</definedName>
    <definedName name="ZZZZ">#REF!</definedName>
    <definedName name="ZZZZZ">#REF!</definedName>
    <definedName name="ㄱ미" localSheetId="0" hidden="1">{#N/A,#N/A,TRUE,"Basic";#N/A,#N/A,TRUE,"EXT-TABLE";#N/A,#N/A,TRUE,"STEEL";#N/A,#N/A,TRUE,"INT-Table";#N/A,#N/A,TRUE,"STEEL";#N/A,#N/A,TRUE,"Door"}</definedName>
    <definedName name="ㄱ미" hidden="1">{#N/A,#N/A,TRUE,"Basic";#N/A,#N/A,TRUE,"EXT-TABLE";#N/A,#N/A,TRUE,"STEEL";#N/A,#N/A,TRUE,"INT-Table";#N/A,#N/A,TRUE,"STEEL";#N/A,#N/A,TRUE,"Door"}</definedName>
    <definedName name="가" localSheetId="0">#REF!</definedName>
    <definedName name="가">#REF!</definedName>
    <definedName name="갈바후렉스_돌출" localSheetId="0">#REF!</definedName>
    <definedName name="갈바후렉스_돌출">#REF!</definedName>
    <definedName name="갈바후렉스_전면" localSheetId="0">#REF!</definedName>
    <definedName name="갈바후렉스_전면">#REF!</definedName>
    <definedName name="감" localSheetId="0" hidden="1">{#N/A,#N/A,TRUE,"Basic";#N/A,#N/A,TRUE,"EXT-TABLE";#N/A,#N/A,TRUE,"STEEL";#N/A,#N/A,TRUE,"INT-Table";#N/A,#N/A,TRUE,"STEEL";#N/A,#N/A,TRUE,"Door"}</definedName>
    <definedName name="감" hidden="1">{#N/A,#N/A,TRUE,"Basic";#N/A,#N/A,TRUE,"EXT-TABLE";#N/A,#N/A,TRUE,"STEEL";#N/A,#N/A,TRUE,"INT-Table";#N/A,#N/A,TRUE,"STEEL";#N/A,#N/A,TRUE,"Door"}</definedName>
    <definedName name="갑">#REF!</definedName>
    <definedName name="개수" localSheetId="0">#REF!</definedName>
    <definedName name="개수">#REF!</definedName>
    <definedName name="건">#N/A</definedName>
    <definedName name="겉표지" localSheetId="0" hidden="1">{#N/A,#N/A,TRUE,"Basic";#N/A,#N/A,TRUE,"EXT-TABLE";#N/A,#N/A,TRUE,"STEEL";#N/A,#N/A,TRUE,"INT-Table";#N/A,#N/A,TRUE,"STEEL";#N/A,#N/A,TRUE,"Door"}</definedName>
    <definedName name="겉표지" hidden="1">{#N/A,#N/A,TRUE,"Basic";#N/A,#N/A,TRUE,"EXT-TABLE";#N/A,#N/A,TRUE,"STEEL";#N/A,#N/A,TRUE,"INT-Table";#N/A,#N/A,TRUE,"STEEL";#N/A,#N/A,TRUE,"Door"}</definedName>
    <definedName name="견적기준">#REF!</definedName>
    <definedName name="경비조정중기">#REF!</definedName>
    <definedName name="경제" localSheetId="0">[82]세금자료!$A$3:$D$52</definedName>
    <definedName name="경제">[84]세금자료!$A$3:$D$52</definedName>
    <definedName name="공사_NDE" localSheetId="0">[85]공사비_NDE!$A$1:$K$6295</definedName>
    <definedName name="공사_NDE">[86]공사비_NDE!$A$1:$K$6295</definedName>
    <definedName name="공사_PAINT" localSheetId="0">[85]공사비_NDE!$A$1:$K$6295</definedName>
    <definedName name="공사_PAINT">[86]공사비_NDE!$A$1:$K$6295</definedName>
    <definedName name="공사손익.중국">#REF!</definedName>
    <definedName name="공일">#REF!</definedName>
    <definedName name="기설">#REF!</definedName>
    <definedName name="기성" localSheetId="0">#REF!</definedName>
    <definedName name="기성">#REF!</definedName>
    <definedName name="김" localSheetId="0" hidden="1">{#N/A,#N/A,TRUE,"Basic";#N/A,#N/A,TRUE,"EXT-TABLE";#N/A,#N/A,TRUE,"STEEL";#N/A,#N/A,TRUE,"INT-Table";#N/A,#N/A,TRUE,"STEEL";#N/A,#N/A,TRUE,"Door"}</definedName>
    <definedName name="김" hidden="1">{#N/A,#N/A,TRUE,"Basic";#N/A,#N/A,TRUE,"EXT-TABLE";#N/A,#N/A,TRUE,"STEEL";#N/A,#N/A,TRUE,"INT-Table";#N/A,#N/A,TRUE,"STEEL";#N/A,#N/A,TRUE,"Door"}</definedName>
    <definedName name="김1" localSheetId="0" hidden="1">{#N/A,#N/A,TRUE,"Basic";#N/A,#N/A,TRUE,"EXT-TABLE";#N/A,#N/A,TRUE,"STEEL";#N/A,#N/A,TRUE,"INT-Table";#N/A,#N/A,TRUE,"STEEL";#N/A,#N/A,TRUE,"Door"}</definedName>
    <definedName name="김1" hidden="1">{#N/A,#N/A,TRUE,"Basic";#N/A,#N/A,TRUE,"EXT-TABLE";#N/A,#N/A,TRUE,"STEEL";#N/A,#N/A,TRUE,"INT-Table";#N/A,#N/A,TRUE,"STEEL";#N/A,#N/A,TRUE,"Door"}</definedName>
    <definedName name="김3" localSheetId="0" hidden="1">{#N/A,#N/A,TRUE,"Basic";#N/A,#N/A,TRUE,"EXT-TABLE";#N/A,#N/A,TRUE,"STEEL";#N/A,#N/A,TRUE,"INT-Table";#N/A,#N/A,TRUE,"STEEL";#N/A,#N/A,TRUE,"Door"}</definedName>
    <definedName name="김3" hidden="1">{#N/A,#N/A,TRUE,"Basic";#N/A,#N/A,TRUE,"EXT-TABLE";#N/A,#N/A,TRUE,"STEEL";#N/A,#N/A,TRUE,"INT-Table";#N/A,#N/A,TRUE,"STEEL";#N/A,#N/A,TRUE,"Door"}</definedName>
    <definedName name="ㄴ">#REF!</definedName>
    <definedName name="ㄴㄴㄴ">#N/A</definedName>
    <definedName name="ㄴㄴㄴㄴㅇ">#N/A</definedName>
    <definedName name="ㄴㅁㅁㄴㄴㅁ">#N/A</definedName>
    <definedName name="나" localSheetId="0">#REF!</definedName>
    <definedName name="나">#REF!</definedName>
    <definedName name="내선전공" localSheetId="0">#REF!</definedName>
    <definedName name="내선전공">#REF!</definedName>
    <definedName name="네온_갈바_스카시" localSheetId="0">#REF!</definedName>
    <definedName name="네온_갈바_스카시">#REF!</definedName>
    <definedName name="네온_갈바_쟌넬" localSheetId="0">#REF!</definedName>
    <definedName name="네온_갈바_쟌넬">#REF!</definedName>
    <definedName name="네온_포엠_스카시" localSheetId="0">#REF!</definedName>
    <definedName name="네온_포엠_스카시">#REF!</definedName>
    <definedName name="네온_포엠_쟌넬" localSheetId="0">#REF!</definedName>
    <definedName name="네온_포엠_쟌넬">#REF!</definedName>
    <definedName name="ㄷㄷ">#N/A</definedName>
    <definedName name="ㄷㄷㄷ" localSheetId="0">#REF!</definedName>
    <definedName name="ㄷㄷㄷ">#REF!</definedName>
    <definedName name="닥트">#REF!</definedName>
    <definedName name="단가" localSheetId="0">#REF!</definedName>
    <definedName name="단가">#REF!</definedName>
    <definedName name="당초계획" localSheetId="0" hidden="1">#REF!</definedName>
    <definedName name="당초계획" hidden="1">#REF!</definedName>
    <definedName name="대">#REF!</definedName>
    <definedName name="대비">#REF!</definedName>
    <definedName name="대비표">#REF!</definedName>
    <definedName name="대아설계가">#REF!</definedName>
    <definedName name="도장">#REF!</definedName>
    <definedName name="ㄹㄹㄹㄹㅀㅎ">#N/A</definedName>
    <definedName name="ㄹㅇㅁ" localSheetId="0">[87]사업부배부A!#REF!</definedName>
    <definedName name="ㄹㅇㅁ">[85]사업부배부A!#REF!</definedName>
    <definedName name="ㅁ">#N/A</definedName>
    <definedName name="ㅁ1" localSheetId="0">#REF!</definedName>
    <definedName name="ㅁ1">#REF!</definedName>
    <definedName name="ㅁ1180">#REF!</definedName>
    <definedName name="ㅁㄴㅁㅁ">#N/A</definedName>
    <definedName name="ㅁㅁㅁ" localSheetId="0">#REF!</definedName>
    <definedName name="ㅁㅁㅁ">#REF!</definedName>
    <definedName name="먁" localSheetId="0" hidden="1">#REF!</definedName>
    <definedName name="먁" hidden="1">#REF!</definedName>
    <definedName name="목공">#REF!</definedName>
    <definedName name="뭐야">#REF!</definedName>
    <definedName name="ㅂ">#N/A</definedName>
    <definedName name="ㅂㅂㅂ">#N/A</definedName>
    <definedName name="ㅂㅂㅂㅂㅂ">#N/A</definedName>
    <definedName name="바보">#REF!</definedName>
    <definedName name="배관">#REF!</definedName>
    <definedName name="배부기준" localSheetId="0">[88]영업소실적!#REF!</definedName>
    <definedName name="배부기준">[87]영업소실적!#REF!</definedName>
    <definedName name="배부내역" localSheetId="0">[31]주관사업!#REF!</definedName>
    <definedName name="배부내역">[4]주관사업!#REF!</definedName>
    <definedName name="버티">#N/A</definedName>
    <definedName name="보온">#REF!</definedName>
    <definedName name="보인">#REF!</definedName>
    <definedName name="보일">#REF!</definedName>
    <definedName name="복사">#REF!</definedName>
    <definedName name="비계">#REF!</definedName>
    <definedName name="산출" localSheetId="0" hidden="1">#REF!</definedName>
    <definedName name="산출" hidden="1">#REF!</definedName>
    <definedName name="상각비2" localSheetId="0" hidden="1">#REF!</definedName>
    <definedName name="상각비2" hidden="1">#REF!</definedName>
    <definedName name="설계집계">#REF!</definedName>
    <definedName name="수" localSheetId="0" hidden="1">{#N/A,#N/A,TRUE,"Basic";#N/A,#N/A,TRUE,"EXT-TABLE";#N/A,#N/A,TRUE,"STEEL";#N/A,#N/A,TRUE,"INT-Table";#N/A,#N/A,TRUE,"STEEL";#N/A,#N/A,TRUE,"Door"}</definedName>
    <definedName name="수" hidden="1">{#N/A,#N/A,TRUE,"Basic";#N/A,#N/A,TRUE,"EXT-TABLE";#N/A,#N/A,TRUE,"STEEL";#N/A,#N/A,TRUE,"INT-Table";#N/A,#N/A,TRUE,"STEEL";#N/A,#N/A,TRUE,"Door"}</definedName>
    <definedName name="ㅇ">#N/A</definedName>
    <definedName name="ㅇ191">#REF!</definedName>
    <definedName name="ㅇㄴㅁㄴㅁㄴㅇㄴㅇㅁㄴㅇㅁㄴㅇㅁㄴㅇㅇㄴㄴㅇㅇㄴㅁ">#N/A</definedName>
    <definedName name="ㅇㄴㅇ">#N/A</definedName>
    <definedName name="ㅇㄹㄹ">#N/A</definedName>
    <definedName name="ㅇㅇ">#N/A</definedName>
    <definedName name="ㅇㅇㅇ">#N/A</definedName>
    <definedName name="ㅇㅇㅇㅇ">#N/A</definedName>
    <definedName name="알미늄후렉스_돌출" localSheetId="0">#REF!</definedName>
    <definedName name="알미늄후렉스_돌출">#REF!</definedName>
    <definedName name="알미늄후렉스_전면" localSheetId="0">#REF!</definedName>
    <definedName name="알미늄후렉스_전면">#REF!</definedName>
    <definedName name="약수">#N/A</definedName>
    <definedName name="용접">#REF!</definedName>
    <definedName name="원가네온" localSheetId="0">#REF!</definedName>
    <definedName name="원가네온">#REF!</definedName>
    <definedName name="원가쟌넬" localSheetId="0">#REF!</definedName>
    <definedName name="원가쟌넬">#REF!</definedName>
    <definedName name="원가포엠" localSheetId="0">#REF!</definedName>
    <definedName name="원가포엠">#REF!</definedName>
    <definedName name="원가프랑카드" localSheetId="0">#REF!</definedName>
    <definedName name="원가프랑카드">#REF!</definedName>
    <definedName name="원가플랙스" localSheetId="0">#REF!</definedName>
    <definedName name="원가플랙스">#REF!</definedName>
    <definedName name="월별영업">#REF!</definedName>
    <definedName name="위생">#REF!</definedName>
    <definedName name="이태원" localSheetId="0">'[75]IT-BAT'!#REF!</definedName>
    <definedName name="이태원">'[76]IT-BAT'!#REF!</definedName>
    <definedName name="인원2">[89]인원계획!#REF!</definedName>
    <definedName name="ㅈ" localSheetId="0">[29]상반기손익차2총괄!#REF!</definedName>
    <definedName name="ㅈ">[30]상반기손익차2총괄!#REF!</definedName>
    <definedName name="ㅈㄷㅈㄷ">#N/A</definedName>
    <definedName name="ㅈㅈㅈ" localSheetId="0">#REF!</definedName>
    <definedName name="ㅈㅈㅈ">#REF!</definedName>
    <definedName name="잔액" localSheetId="0">#REF!</definedName>
    <definedName name="잔액">#REF!</definedName>
    <definedName name="저사양PC사용자">#REF!</definedName>
    <definedName name="전" localSheetId="0">#N/A</definedName>
    <definedName name="전">#REF!</definedName>
    <definedName name="전기">#REF!</definedName>
    <definedName name="전기내역">#REF!</definedName>
    <definedName name="전기총괄">#REF!</definedName>
    <definedName name="전체sum" localSheetId="0">#REF!</definedName>
    <definedName name="전체sum">#REF!</definedName>
    <definedName name="주택사업본부">#REF!</definedName>
    <definedName name="중경">#REF!</definedName>
    <definedName name="중기">#REF!</definedName>
    <definedName name="중재">#REF!</definedName>
    <definedName name="직종별SORT">#REF!</definedName>
    <definedName name="ㅊ2409" localSheetId="0">#REF!</definedName>
    <definedName name="ㅊ2409">#REF!</definedName>
    <definedName name="철공">#REF!</definedName>
    <definedName name="철구사업본부">#REF!</definedName>
    <definedName name="클_레_임">#N/A</definedName>
    <definedName name="템플리트모듈1" localSheetId="0">BlankMacro1</definedName>
    <definedName name="템플리트모듈1">BlankMacro1</definedName>
    <definedName name="템플리트모듈2" localSheetId="0">BlankMacro1</definedName>
    <definedName name="템플리트모듈2">BlankMacro1</definedName>
    <definedName name="템플리트모듈3" localSheetId="0">BlankMacro1</definedName>
    <definedName name="템플리트모듈3">BlankMacro1</definedName>
    <definedName name="템플리트모듈4" localSheetId="0">BlankMacro1</definedName>
    <definedName name="템플리트모듈4">BlankMacro1</definedName>
    <definedName name="템플리트모듈5" localSheetId="0">BlankMacro1</definedName>
    <definedName name="템플리트모듈5">BlankMacro1</definedName>
    <definedName name="템플리트모듈6" localSheetId="0">BlankMacro1</definedName>
    <definedName name="템플리트모듈6">BlankMacro1</definedName>
    <definedName name="토">#N/A</definedName>
    <definedName name="토목지입재료비">#REF!</definedName>
    <definedName name="특인">#REF!</definedName>
    <definedName name="ㅍㅍㅍ">#N/A</definedName>
    <definedName name="표지" localSheetId="0" hidden="1">{#N/A,#N/A,TRUE,"Basic";#N/A,#N/A,TRUE,"EXT-TABLE";#N/A,#N/A,TRUE,"STEEL";#N/A,#N/A,TRUE,"INT-Table";#N/A,#N/A,TRUE,"STEEL";#N/A,#N/A,TRUE,"Door"}</definedName>
    <definedName name="표지" hidden="1">{#N/A,#N/A,TRUE,"Basic";#N/A,#N/A,TRUE,"EXT-TABLE";#N/A,#N/A,TRUE,"STEEL";#N/A,#N/A,TRUE,"INT-Table";#N/A,#N/A,TRUE,"STEEL";#N/A,#N/A,TRUE,"Door"}</definedName>
    <definedName name="표지2" localSheetId="0" hidden="1">#REF!</definedName>
    <definedName name="표지2" hidden="1">#REF!</definedName>
    <definedName name="표지3">#REF!</definedName>
    <definedName name="플">#N/A</definedName>
    <definedName name="플기">#REF!</definedName>
    <definedName name="플배">#REF!</definedName>
    <definedName name="플용">#REF!</definedName>
    <definedName name="ㅎㅎ">#N/A</definedName>
    <definedName name="한강진">#N/A</definedName>
    <definedName name="함석">#REF!</definedName>
    <definedName name="합계" localSheetId="0">#REF!</definedName>
    <definedName name="합계">#REF!</definedName>
    <definedName name="해외인원추이" localSheetId="0">[46]요약배부!#REF!</definedName>
    <definedName name="해외인원추이">[47]요약배부!#REF!</definedName>
    <definedName name="ㅏㅏㅏㅏㅏ">#N/A</definedName>
    <definedName name="ㅐㅗㅅ" localSheetId="0">#REF!</definedName>
    <definedName name="ㅐㅗㅅ">#REF!</definedName>
    <definedName name="ㅓㅓㅓㅓㅓ">#N/A</definedName>
    <definedName name="ㅓㅓㅗ라ㅓㄴ오라ㅓㅁㄴ오라넘오람ㄴ엄ㄴㅇㅇㄴㅁㅁㄴㅇㅇㄴㄴㅇㅁ">#N/A</definedName>
    <definedName name="ㅗㅗㅗㅗ">#N/A</definedName>
    <definedName name="ㅛㅕㅕㅕ">#N/A</definedName>
    <definedName name="ㅜ" localSheetId="0">'[38]9-1차이내역'!#REF!</definedName>
    <definedName name="ㅜ">'[39]9-1차이내역'!#REF!</definedName>
    <definedName name="ㅜㅜㅜ">#N/A</definedName>
    <definedName name="ㅠ" localSheetId="0">#REF!</definedName>
    <definedName name="ㅠ">#REF!</definedName>
    <definedName name="ㅠㅜㅠㅜㅜㅜ">#N/A</definedName>
    <definedName name="合____計">#N/A</definedName>
    <definedName name="完工工事_計">#N/A</definedName>
    <definedName name="新規工事_計">#N/A</definedName>
    <definedName name="現代綜合商事經由分" localSheetId="0">[23]수입!#REF!</definedName>
    <definedName name="現代綜合商事經由分">[90]수입!#REF!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51" i="6" l="1"/>
  <c r="P149" i="6"/>
  <c r="P148" i="6"/>
  <c r="P145" i="6"/>
  <c r="P144" i="6"/>
  <c r="P143" i="6"/>
  <c r="P142" i="6"/>
  <c r="P141" i="6"/>
  <c r="P135" i="6"/>
  <c r="P134" i="6"/>
  <c r="P133" i="6"/>
  <c r="P132" i="6"/>
  <c r="P126" i="6"/>
  <c r="P125" i="6"/>
  <c r="P122" i="6"/>
  <c r="P121" i="6"/>
  <c r="P120" i="6"/>
  <c r="P119" i="6"/>
  <c r="P118" i="6"/>
  <c r="P112" i="6"/>
  <c r="P111" i="6"/>
  <c r="P110" i="6"/>
  <c r="P109" i="6"/>
  <c r="P108" i="6"/>
  <c r="P107" i="6"/>
  <c r="P101" i="6"/>
  <c r="P100" i="6"/>
  <c r="AA99" i="6"/>
  <c r="X99" i="6"/>
  <c r="W99" i="6"/>
  <c r="P99" i="6"/>
  <c r="P98" i="6"/>
  <c r="P97" i="6"/>
  <c r="P95" i="6"/>
  <c r="P92" i="6"/>
  <c r="P90" i="6"/>
  <c r="P88" i="6"/>
  <c r="P87" i="6"/>
  <c r="P85" i="6"/>
  <c r="P84" i="6"/>
  <c r="P82" i="6"/>
  <c r="P81" i="6"/>
  <c r="P80" i="6"/>
  <c r="P79" i="6"/>
  <c r="P77" i="6"/>
  <c r="P75" i="6"/>
  <c r="P74" i="6"/>
  <c r="P72" i="6"/>
  <c r="P71" i="6"/>
  <c r="P69" i="6"/>
  <c r="P68" i="6"/>
  <c r="P65" i="6"/>
  <c r="P64" i="6"/>
  <c r="P63" i="6"/>
  <c r="P62" i="6"/>
  <c r="P59" i="6"/>
  <c r="P58" i="6"/>
  <c r="P57" i="6"/>
  <c r="P55" i="6"/>
  <c r="P54" i="6"/>
  <c r="P53" i="6"/>
  <c r="P52" i="6"/>
  <c r="P51" i="6"/>
  <c r="P50" i="6"/>
  <c r="P49" i="6"/>
  <c r="P48" i="6"/>
  <c r="P47" i="6"/>
  <c r="P46" i="6"/>
  <c r="P45" i="6"/>
  <c r="P44" i="6"/>
  <c r="P43" i="6"/>
  <c r="P42" i="6"/>
  <c r="P41" i="6"/>
  <c r="P40" i="6"/>
  <c r="P39" i="6"/>
  <c r="P38" i="6"/>
  <c r="P35" i="6"/>
  <c r="P34" i="6"/>
  <c r="P33" i="6"/>
  <c r="P32" i="6"/>
  <c r="P31" i="6"/>
  <c r="P30" i="6"/>
  <c r="P26" i="6"/>
  <c r="P25" i="6"/>
  <c r="P24" i="6"/>
  <c r="P23" i="6"/>
  <c r="P21" i="6"/>
  <c r="P20" i="6"/>
  <c r="P19" i="6"/>
  <c r="P18" i="6"/>
  <c r="P17" i="6"/>
  <c r="P16" i="6"/>
  <c r="P14" i="6"/>
  <c r="P13" i="6"/>
  <c r="P12" i="6"/>
  <c r="P11" i="6"/>
  <c r="P10" i="6"/>
  <c r="P9" i="6"/>
  <c r="P8" i="6"/>
  <c r="N80" i="5"/>
  <c r="N79" i="5"/>
  <c r="N78" i="5"/>
  <c r="N77" i="5"/>
  <c r="N76" i="5"/>
  <c r="N72" i="5"/>
  <c r="N71" i="5"/>
  <c r="N70" i="5"/>
  <c r="N69" i="5"/>
  <c r="N68" i="5"/>
  <c r="N67" i="5"/>
  <c r="N66" i="5"/>
  <c r="N65" i="5"/>
  <c r="N64" i="5"/>
  <c r="N60" i="5"/>
  <c r="N59" i="5"/>
  <c r="N58" i="5"/>
  <c r="N57" i="5"/>
  <c r="N56" i="5"/>
  <c r="N55" i="5"/>
  <c r="N54" i="5"/>
  <c r="N53" i="5"/>
  <c r="N52" i="5"/>
  <c r="N51" i="5"/>
  <c r="N50" i="5"/>
  <c r="N49" i="5"/>
  <c r="N48" i="5"/>
  <c r="N47" i="5"/>
  <c r="N46" i="5"/>
  <c r="N42" i="5"/>
  <c r="N41" i="5"/>
  <c r="N40" i="5"/>
  <c r="N39" i="5"/>
  <c r="N38" i="5"/>
  <c r="N37" i="5"/>
  <c r="N36" i="5"/>
  <c r="N35" i="5"/>
  <c r="N34" i="5"/>
  <c r="N33" i="5"/>
  <c r="N32" i="5"/>
  <c r="N31" i="5"/>
  <c r="N30" i="5"/>
  <c r="N23" i="5"/>
  <c r="N22" i="5"/>
  <c r="N21" i="5"/>
  <c r="N20" i="5"/>
  <c r="N19" i="5"/>
  <c r="N18" i="5"/>
  <c r="N17" i="5"/>
  <c r="N16" i="5"/>
  <c r="N15" i="5"/>
  <c r="N14" i="5"/>
  <c r="R76" i="4"/>
  <c r="O76" i="4"/>
  <c r="R75" i="4"/>
  <c r="O75" i="4"/>
  <c r="R74" i="4"/>
  <c r="O74" i="4"/>
  <c r="R73" i="4"/>
  <c r="O73" i="4"/>
  <c r="O70" i="4"/>
  <c r="O69" i="4"/>
  <c r="O68" i="4"/>
  <c r="O65" i="4"/>
  <c r="O64" i="4"/>
  <c r="O63" i="4"/>
  <c r="O62" i="4"/>
  <c r="O61" i="4"/>
  <c r="O60" i="4"/>
  <c r="O59" i="4"/>
  <c r="O58" i="4"/>
  <c r="O57" i="4"/>
  <c r="O53" i="4"/>
  <c r="O52" i="4"/>
  <c r="O51" i="4"/>
  <c r="O50" i="4"/>
  <c r="R49" i="4"/>
  <c r="O49" i="4"/>
  <c r="O46" i="4"/>
  <c r="O45" i="4"/>
  <c r="O44" i="4"/>
  <c r="O43" i="4"/>
  <c r="O42" i="4"/>
  <c r="O41" i="4"/>
  <c r="Z40" i="4"/>
  <c r="O40" i="4"/>
  <c r="O36" i="4"/>
  <c r="O35" i="4"/>
  <c r="O34" i="4"/>
  <c r="O31" i="4"/>
  <c r="O30" i="4"/>
  <c r="O29" i="4"/>
  <c r="O28" i="4"/>
  <c r="O27" i="4"/>
  <c r="O26" i="4"/>
  <c r="O25" i="4"/>
  <c r="O21" i="4"/>
  <c r="O20" i="4"/>
  <c r="O19" i="4"/>
  <c r="O18" i="4"/>
  <c r="O17" i="4"/>
  <c r="O16" i="4"/>
  <c r="O15" i="4"/>
  <c r="O14" i="4"/>
  <c r="O13" i="4"/>
  <c r="O12" i="4"/>
  <c r="O11" i="4"/>
  <c r="AA179" i="3"/>
  <c r="X179" i="3"/>
  <c r="W179" i="3"/>
  <c r="P179" i="3"/>
  <c r="AA175" i="3"/>
  <c r="X175" i="3"/>
  <c r="W175" i="3"/>
  <c r="P175" i="3"/>
  <c r="P170" i="3"/>
  <c r="P166" i="3"/>
  <c r="P165" i="3"/>
  <c r="P164" i="3"/>
  <c r="P160" i="3"/>
  <c r="P156" i="3"/>
  <c r="P152" i="3"/>
  <c r="P151" i="3"/>
  <c r="P150" i="3"/>
  <c r="P146" i="3"/>
  <c r="P145" i="3"/>
  <c r="P144" i="3"/>
  <c r="P141" i="3"/>
  <c r="P140" i="3"/>
  <c r="P138" i="3"/>
  <c r="P137" i="3"/>
  <c r="P136" i="3"/>
  <c r="P135" i="3"/>
  <c r="P134" i="3"/>
  <c r="P131" i="3"/>
  <c r="P130" i="3"/>
  <c r="P129" i="3"/>
  <c r="P128" i="3"/>
  <c r="AA127" i="3"/>
  <c r="X127" i="3"/>
  <c r="W127" i="3"/>
  <c r="P127" i="3"/>
  <c r="P110" i="3"/>
  <c r="P109" i="3"/>
  <c r="P108" i="3"/>
  <c r="P103" i="3"/>
  <c r="P102" i="3"/>
  <c r="P101" i="3"/>
  <c r="P100" i="3"/>
  <c r="P99" i="3"/>
  <c r="P98" i="3"/>
  <c r="P89" i="3"/>
  <c r="P85" i="3"/>
  <c r="P81" i="3"/>
  <c r="P80" i="3"/>
  <c r="P79" i="3"/>
  <c r="P78" i="3"/>
  <c r="P74" i="3"/>
  <c r="P70" i="3"/>
  <c r="P66" i="3"/>
  <c r="P65" i="3"/>
  <c r="P64" i="3"/>
  <c r="P63" i="3"/>
  <c r="P59" i="3"/>
  <c r="P58" i="3"/>
  <c r="P57" i="3"/>
  <c r="P56" i="3"/>
  <c r="P53" i="3"/>
  <c r="P52" i="3"/>
  <c r="P51" i="3"/>
  <c r="P50" i="3"/>
  <c r="P47" i="3"/>
  <c r="P44" i="3"/>
  <c r="P43" i="3"/>
  <c r="P42" i="3"/>
  <c r="P41" i="3"/>
  <c r="P38" i="3"/>
  <c r="P37" i="3"/>
  <c r="P36" i="3"/>
  <c r="P35" i="3"/>
  <c r="S32" i="3"/>
  <c r="P32" i="3"/>
  <c r="P31" i="3"/>
  <c r="P30" i="3"/>
  <c r="P29" i="3"/>
  <c r="S26" i="3"/>
  <c r="P26" i="3"/>
  <c r="P25" i="3"/>
  <c r="P24" i="3"/>
  <c r="P23" i="3"/>
  <c r="R196" i="2"/>
  <c r="R195" i="2"/>
  <c r="R194" i="2"/>
  <c r="R192" i="2"/>
  <c r="R183" i="2"/>
  <c r="R182" i="2"/>
  <c r="R181" i="2"/>
  <c r="R180" i="2"/>
  <c r="R179" i="2"/>
  <c r="R178" i="2"/>
  <c r="R177" i="2"/>
  <c r="R176" i="2"/>
  <c r="R169" i="2"/>
  <c r="R168" i="2"/>
  <c r="R167" i="2"/>
  <c r="R166" i="2"/>
  <c r="R165" i="2"/>
  <c r="R157" i="2"/>
  <c r="R156" i="2"/>
  <c r="R155" i="2"/>
  <c r="R154" i="2"/>
  <c r="R153" i="2"/>
  <c r="R152" i="2"/>
  <c r="R142" i="2"/>
  <c r="AC141" i="2"/>
  <c r="Z141" i="2"/>
  <c r="Y141" i="2"/>
  <c r="R141" i="2"/>
  <c r="R129" i="2"/>
  <c r="R128" i="2"/>
  <c r="R127" i="2"/>
  <c r="R107" i="2"/>
  <c r="R106" i="2"/>
  <c r="R105" i="2"/>
  <c r="R104" i="2"/>
  <c r="R89" i="2"/>
  <c r="R88" i="2"/>
  <c r="R87" i="2"/>
  <c r="R86" i="2"/>
  <c r="R85" i="2"/>
  <c r="R84" i="2"/>
  <c r="R83" i="2"/>
  <c r="R66" i="2"/>
  <c r="R65" i="2"/>
  <c r="R64" i="2"/>
  <c r="R54" i="2"/>
  <c r="AC53" i="2"/>
  <c r="Z53" i="2"/>
  <c r="Y53" i="2"/>
  <c r="U53" i="2"/>
  <c r="R53" i="2"/>
  <c r="AC52" i="2"/>
  <c r="Z52" i="2"/>
  <c r="Y52" i="2"/>
  <c r="U52" i="2"/>
  <c r="R52" i="2"/>
  <c r="AC41" i="2"/>
  <c r="Z41" i="2"/>
  <c r="Y41" i="2"/>
  <c r="R41" i="2"/>
  <c r="AC40" i="2"/>
  <c r="Z40" i="2"/>
  <c r="Y40" i="2"/>
  <c r="R40" i="2"/>
  <c r="R39" i="2"/>
  <c r="R38" i="2"/>
  <c r="R37" i="2"/>
  <c r="AC36" i="2"/>
  <c r="Z36" i="2"/>
  <c r="Y36" i="2"/>
  <c r="R36" i="2"/>
  <c r="R35" i="2"/>
  <c r="U22" i="2"/>
  <c r="R22" i="2"/>
  <c r="R21" i="2"/>
  <c r="R20" i="2"/>
  <c r="R19" i="2"/>
  <c r="U18" i="2"/>
  <c r="R18" i="2"/>
  <c r="O292" i="7"/>
  <c r="O291" i="7"/>
  <c r="O290" i="7"/>
  <c r="O289" i="7"/>
  <c r="O288" i="7"/>
  <c r="O287" i="7"/>
  <c r="O286" i="7"/>
  <c r="O285" i="7"/>
  <c r="O284" i="7"/>
  <c r="O283" i="7"/>
  <c r="O282" i="7"/>
  <c r="O281" i="7"/>
  <c r="O280" i="7"/>
  <c r="O279" i="7"/>
  <c r="O278" i="7"/>
  <c r="O277" i="7"/>
  <c r="O276" i="7"/>
  <c r="O275" i="7"/>
  <c r="O274" i="7"/>
  <c r="O273" i="7"/>
  <c r="O272" i="7"/>
  <c r="O271" i="7"/>
  <c r="O270" i="7"/>
  <c r="O269" i="7"/>
  <c r="O268" i="7"/>
  <c r="O267" i="7"/>
  <c r="O266" i="7"/>
  <c r="O265" i="7"/>
  <c r="O264" i="7"/>
  <c r="O263" i="7"/>
  <c r="O262" i="7"/>
  <c r="O261" i="7"/>
  <c r="O260" i="7"/>
  <c r="O259" i="7"/>
  <c r="O258" i="7"/>
  <c r="O257" i="7"/>
  <c r="O256" i="7"/>
  <c r="O255" i="7"/>
  <c r="O254" i="7"/>
  <c r="O253" i="7"/>
  <c r="O252" i="7"/>
  <c r="O251" i="7"/>
  <c r="O250" i="7"/>
  <c r="O249" i="7"/>
  <c r="O248" i="7"/>
  <c r="O247" i="7"/>
  <c r="O246" i="7"/>
  <c r="O245" i="7"/>
  <c r="O244" i="7"/>
  <c r="O243" i="7"/>
  <c r="O242" i="7"/>
  <c r="O241" i="7"/>
  <c r="O240" i="7"/>
  <c r="O239" i="7"/>
  <c r="O238" i="7"/>
  <c r="O237" i="7"/>
  <c r="O236" i="7"/>
  <c r="O235" i="7"/>
  <c r="O234" i="7"/>
  <c r="O233" i="7"/>
  <c r="O232" i="7"/>
  <c r="O231" i="7"/>
  <c r="O230" i="7"/>
  <c r="O229" i="7"/>
  <c r="O228" i="7"/>
  <c r="O227" i="7"/>
  <c r="O226" i="7"/>
  <c r="O225" i="7"/>
  <c r="O224" i="7"/>
  <c r="O223" i="7"/>
  <c r="O222" i="7"/>
  <c r="O221" i="7"/>
  <c r="O220" i="7"/>
  <c r="O219" i="7"/>
  <c r="O218" i="7"/>
  <c r="O217" i="7"/>
  <c r="O216" i="7"/>
  <c r="O215" i="7"/>
  <c r="O214" i="7"/>
  <c r="O213" i="7"/>
  <c r="O212" i="7"/>
  <c r="O211" i="7"/>
  <c r="O210" i="7"/>
  <c r="O209" i="7"/>
  <c r="O208" i="7"/>
  <c r="O207" i="7"/>
  <c r="O206" i="7"/>
  <c r="O205" i="7"/>
  <c r="O204" i="7"/>
  <c r="O203" i="7"/>
  <c r="O202" i="7"/>
  <c r="O201" i="7"/>
  <c r="O200" i="7"/>
  <c r="O199" i="7"/>
  <c r="O198" i="7"/>
  <c r="O197" i="7"/>
  <c r="O196" i="7"/>
  <c r="O195" i="7"/>
  <c r="O194" i="7"/>
  <c r="O193" i="7"/>
  <c r="O192" i="7"/>
  <c r="O191" i="7"/>
  <c r="O190" i="7"/>
  <c r="O189" i="7"/>
  <c r="O188" i="7"/>
  <c r="O187" i="7"/>
  <c r="O186" i="7"/>
  <c r="O185" i="7"/>
  <c r="O184" i="7"/>
  <c r="O183" i="7"/>
  <c r="O182" i="7"/>
  <c r="O181" i="7"/>
  <c r="O180" i="7"/>
  <c r="O179" i="7"/>
  <c r="O178" i="7"/>
  <c r="O177" i="7"/>
  <c r="O176" i="7"/>
  <c r="O175" i="7"/>
  <c r="O174" i="7"/>
  <c r="O173" i="7"/>
  <c r="O172" i="7"/>
  <c r="O171" i="7"/>
  <c r="O170" i="7"/>
  <c r="O169" i="7"/>
  <c r="O168" i="7"/>
  <c r="O167" i="7"/>
  <c r="O166" i="7"/>
  <c r="O165" i="7"/>
  <c r="O164" i="7"/>
  <c r="O163" i="7"/>
  <c r="O162" i="7"/>
  <c r="O161" i="7"/>
  <c r="O160" i="7"/>
  <c r="O159" i="7"/>
  <c r="O158" i="7"/>
  <c r="O157" i="7"/>
  <c r="O156" i="7"/>
  <c r="O155" i="7"/>
  <c r="O154" i="7"/>
  <c r="O153" i="7"/>
  <c r="O152" i="7"/>
  <c r="O151" i="7"/>
  <c r="O150" i="7"/>
  <c r="O149" i="7"/>
  <c r="O148" i="7"/>
  <c r="O147" i="7"/>
  <c r="O146" i="7"/>
  <c r="O145" i="7"/>
  <c r="O144" i="7"/>
  <c r="O143" i="7"/>
  <c r="O142" i="7"/>
  <c r="O141" i="7"/>
  <c r="O140" i="7"/>
  <c r="O139" i="7"/>
  <c r="O138" i="7"/>
  <c r="O137" i="7"/>
  <c r="O136" i="7"/>
  <c r="O135" i="7"/>
  <c r="O134" i="7"/>
  <c r="O133" i="7"/>
  <c r="O132" i="7"/>
  <c r="O131" i="7"/>
  <c r="O130" i="7"/>
  <c r="O129" i="7"/>
  <c r="O128" i="7"/>
  <c r="O127" i="7"/>
  <c r="O126" i="7"/>
  <c r="O125" i="7"/>
  <c r="O124" i="7"/>
  <c r="O123" i="7"/>
  <c r="O122" i="7"/>
  <c r="O121" i="7"/>
  <c r="O120" i="7"/>
  <c r="O119" i="7"/>
  <c r="O118" i="7"/>
  <c r="O117" i="7"/>
  <c r="O116" i="7"/>
  <c r="O115" i="7"/>
  <c r="O114" i="7"/>
  <c r="O113" i="7"/>
  <c r="O112" i="7"/>
  <c r="O111" i="7"/>
  <c r="O110" i="7"/>
  <c r="O109" i="7"/>
  <c r="O108" i="7"/>
  <c r="O107" i="7"/>
  <c r="O106" i="7"/>
  <c r="O105" i="7"/>
  <c r="O104" i="7"/>
  <c r="O103" i="7"/>
  <c r="O102" i="7"/>
  <c r="O101" i="7"/>
  <c r="O100" i="7"/>
  <c r="O99" i="7"/>
  <c r="O98" i="7"/>
  <c r="O97" i="7"/>
  <c r="O96" i="7"/>
  <c r="O95" i="7"/>
  <c r="O94" i="7"/>
  <c r="O93" i="7"/>
  <c r="O92" i="7"/>
  <c r="O91" i="7"/>
  <c r="O90" i="7"/>
  <c r="O89" i="7"/>
  <c r="O88" i="7"/>
  <c r="O87" i="7"/>
  <c r="O86" i="7"/>
  <c r="O85" i="7"/>
  <c r="O84" i="7"/>
  <c r="O83" i="7"/>
  <c r="O82" i="7"/>
  <c r="O81" i="7"/>
  <c r="O80" i="7"/>
  <c r="O79" i="7"/>
  <c r="O78" i="7"/>
  <c r="O77" i="7"/>
  <c r="O76" i="7"/>
  <c r="O75" i="7"/>
  <c r="O74" i="7"/>
  <c r="O73" i="7"/>
  <c r="O72" i="7"/>
  <c r="O71" i="7"/>
  <c r="O70" i="7"/>
  <c r="O69" i="7"/>
  <c r="O68" i="7"/>
  <c r="O67" i="7"/>
  <c r="O66" i="7"/>
  <c r="O65" i="7"/>
  <c r="O64" i="7"/>
  <c r="O63" i="7"/>
  <c r="O62" i="7"/>
  <c r="O61" i="7"/>
  <c r="O60" i="7"/>
  <c r="O59" i="7"/>
  <c r="O58" i="7"/>
  <c r="O57" i="7"/>
  <c r="O56" i="7"/>
  <c r="O55" i="7"/>
  <c r="O54" i="7"/>
  <c r="O53" i="7"/>
  <c r="O52" i="7"/>
  <c r="O51" i="7"/>
  <c r="O50" i="7"/>
  <c r="O49" i="7"/>
  <c r="O48" i="7"/>
  <c r="O47" i="7"/>
  <c r="O46" i="7"/>
  <c r="O45" i="7"/>
  <c r="O44" i="7"/>
  <c r="O43" i="7"/>
  <c r="O42" i="7"/>
  <c r="O41" i="7"/>
  <c r="O40" i="7"/>
  <c r="O39" i="7"/>
  <c r="O38" i="7"/>
  <c r="O37" i="7"/>
  <c r="O36" i="7"/>
  <c r="O35" i="7"/>
  <c r="O34" i="7"/>
  <c r="O33" i="7"/>
  <c r="O32" i="7"/>
  <c r="O31" i="7"/>
  <c r="O30" i="7"/>
  <c r="O29" i="7"/>
  <c r="O28" i="7"/>
  <c r="O27" i="7"/>
  <c r="O26" i="7"/>
  <c r="O25" i="7"/>
  <c r="O24" i="7"/>
  <c r="O23" i="7"/>
  <c r="O22" i="7"/>
  <c r="O21" i="7"/>
  <c r="O20" i="7"/>
  <c r="O19" i="7"/>
  <c r="O18" i="7"/>
  <c r="O17" i="7"/>
  <c r="O16" i="7"/>
  <c r="O15" i="7"/>
  <c r="O14" i="7"/>
  <c r="O13" i="7"/>
  <c r="O12" i="7"/>
  <c r="O11" i="7"/>
  <c r="O10" i="7"/>
  <c r="O9" i="7"/>
  <c r="O8" i="7"/>
  <c r="O7" i="7"/>
  <c r="O6" i="7"/>
  <c r="S111" i="3" l="1"/>
  <c r="P111" i="3" s="1"/>
  <c r="S94" i="3"/>
  <c r="P94"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HEC</author>
  </authors>
  <commentList>
    <comment ref="U18" authorId="0" shapeId="0" xr:uid="{00000000-0006-0000-0100-000001000000}">
      <text>
        <r>
          <rPr>
            <sz val="11"/>
            <color theme="1"/>
            <rFont val="Calibri"/>
            <family val="2"/>
            <scheme val="minor"/>
          </rPr>
          <t>HEC:
Assumed Location of UPS PDP at field
- PCCTV
- Industrial Wifi
-  Flashin Beacon</t>
        </r>
      </text>
    </comment>
    <comment ref="U22" authorId="0" shapeId="0" xr:uid="{00000000-0006-0000-0100-000002000000}">
      <text>
        <r>
          <rPr>
            <sz val="11"/>
            <color theme="1"/>
            <rFont val="Calibri"/>
            <family val="2"/>
            <scheme val="minor"/>
          </rPr>
          <t>HEC:
ESS JB Power from PIB</t>
        </r>
      </text>
    </comment>
    <comment ref="Y36" authorId="0" shapeId="0" xr:uid="{00000000-0006-0000-0100-000003000000}">
      <text>
        <r>
          <rPr>
            <sz val="11"/>
            <color theme="1"/>
            <rFont val="Calibri"/>
            <family val="2"/>
            <scheme val="minor"/>
          </rPr>
          <t>HEC:
Power for the SACS Local Controller</t>
        </r>
      </text>
    </comment>
    <comment ref="Z36" authorId="0" shapeId="0" xr:uid="{00000000-0006-0000-0100-000004000000}">
      <text>
        <r>
          <rPr>
            <sz val="11"/>
            <color theme="1"/>
            <rFont val="Calibri"/>
            <family val="2"/>
            <scheme val="minor"/>
          </rPr>
          <t>HEC:
Power for the SACS Local Controller</t>
        </r>
      </text>
    </comment>
    <comment ref="AC36" authorId="0" shapeId="0" xr:uid="{00000000-0006-0000-0100-000005000000}">
      <text>
        <r>
          <rPr>
            <sz val="11"/>
            <color theme="1"/>
            <rFont val="Calibri"/>
            <family val="2"/>
            <scheme val="minor"/>
          </rPr>
          <t>HEC:
Power for the SACS Local Controller</t>
        </r>
      </text>
    </comment>
    <comment ref="Y40" authorId="0" shapeId="0" xr:uid="{00000000-0006-0000-0100-000006000000}">
      <text>
        <r>
          <rPr>
            <sz val="11"/>
            <color theme="1"/>
            <rFont val="Calibri"/>
            <family val="2"/>
            <scheme val="minor"/>
          </rPr>
          <t>HEC:
UPS Powerx 2 for redundancy
- SACS Cabine
- PCCTV Cabinet
- Data Network</t>
        </r>
      </text>
    </comment>
    <comment ref="Z40" authorId="0" shapeId="0" xr:uid="{00000000-0006-0000-0100-000007000000}">
      <text>
        <r>
          <rPr>
            <sz val="11"/>
            <color theme="1"/>
            <rFont val="Calibri"/>
            <family val="2"/>
            <scheme val="minor"/>
          </rPr>
          <t>HEC:
UPS Power 
SACS Cabinet &amp; 
PCCTV Cabinet
&amp; IVPS Cabinet
&amp; 2 x UPS Power for Data Network
&amp;
2 x Emergency Siren System</t>
        </r>
      </text>
    </comment>
    <comment ref="AC40" authorId="0" shapeId="0" xr:uid="{00000000-0006-0000-0100-000008000000}">
      <text>
        <r>
          <rPr>
            <sz val="11"/>
            <color theme="1"/>
            <rFont val="Calibri"/>
            <family val="2"/>
            <scheme val="minor"/>
          </rPr>
          <t>HEC:
UPS Powerx 2 for redundancy
- SACS Cabinet
- PCCTV Cabinet
- Data Network Cabinet</t>
        </r>
      </text>
    </comment>
    <comment ref="Y41" authorId="0" shapeId="0" xr:uid="{00000000-0006-0000-0100-000009000000}">
      <text>
        <r>
          <rPr>
            <sz val="11"/>
            <color theme="1"/>
            <rFont val="Calibri"/>
            <family val="2"/>
            <scheme val="minor"/>
          </rPr>
          <t>HEC:
SACS Local Controller Control Cable</t>
        </r>
      </text>
    </comment>
    <comment ref="Z41" authorId="0" shapeId="0" xr:uid="{00000000-0006-0000-0100-00000A000000}">
      <text>
        <r>
          <rPr>
            <sz val="11"/>
            <color theme="1"/>
            <rFont val="Calibri"/>
            <family val="2"/>
            <scheme val="minor"/>
          </rPr>
          <t>HEC:
SACS Local Controller Control Cable</t>
        </r>
      </text>
    </comment>
    <comment ref="AC41" authorId="0" shapeId="0" xr:uid="{00000000-0006-0000-0100-00000B000000}">
      <text>
        <r>
          <rPr>
            <sz val="11"/>
            <color theme="1"/>
            <rFont val="Calibri"/>
            <family val="2"/>
            <scheme val="minor"/>
          </rPr>
          <t>HEC:
SACS Local Controller Control Cable</t>
        </r>
      </text>
    </comment>
    <comment ref="U52" authorId="0" shapeId="0" xr:uid="{00000000-0006-0000-0100-00000C000000}">
      <text>
        <r>
          <rPr>
            <sz val="11"/>
            <color theme="1"/>
            <rFont val="Calibri"/>
            <family val="2"/>
            <scheme val="minor"/>
          </rPr>
          <t>HEC:
Speaker, PCCTV, Flashing Beacon, ESS Siren JB</t>
        </r>
      </text>
    </comment>
    <comment ref="Y52" authorId="0" shapeId="0" xr:uid="{00000000-0006-0000-0100-00000D000000}">
      <text>
        <r>
          <rPr>
            <sz val="11"/>
            <color theme="1"/>
            <rFont val="Calibri"/>
            <family val="2"/>
            <scheme val="minor"/>
          </rPr>
          <t>HEC:
Speaker, SACS CCTV &amp; PCCTV</t>
        </r>
      </text>
    </comment>
    <comment ref="Z52" authorId="0" shapeId="0" xr:uid="{00000000-0006-0000-0100-00000E000000}">
      <text>
        <r>
          <rPr>
            <sz val="11"/>
            <color theme="1"/>
            <rFont val="Calibri"/>
            <family val="2"/>
            <scheme val="minor"/>
          </rPr>
          <t>HEC:
Speaker, SACS CCTV &amp; PCCTV</t>
        </r>
      </text>
    </comment>
    <comment ref="AC52" authorId="0" shapeId="0" xr:uid="{00000000-0006-0000-0100-00000F000000}">
      <text>
        <r>
          <rPr>
            <sz val="11"/>
            <color theme="1"/>
            <rFont val="Calibri"/>
            <family val="2"/>
            <scheme val="minor"/>
          </rPr>
          <t>HEC:
Speaker, SACS CCTV &amp; PCCTV</t>
        </r>
      </text>
    </comment>
    <comment ref="U53" authorId="0" shapeId="0" xr:uid="{00000000-0006-0000-0100-000010000000}">
      <text>
        <r>
          <rPr>
            <sz val="11"/>
            <color theme="1"/>
            <rFont val="Calibri"/>
            <family val="2"/>
            <scheme val="minor"/>
          </rPr>
          <t>HEC:
Speaker JB, Remote Amplifiers, Call Station &amp; Industrial Wifi</t>
        </r>
      </text>
    </comment>
    <comment ref="Y53" authorId="0" shapeId="0" xr:uid="{00000000-0006-0000-0100-000011000000}">
      <text>
        <r>
          <rPr>
            <sz val="11"/>
            <color theme="1"/>
            <rFont val="Calibri"/>
            <family val="2"/>
            <scheme val="minor"/>
          </rPr>
          <t>HEC:
Remote Amplifier</t>
        </r>
      </text>
    </comment>
    <comment ref="Z53" authorId="0" shapeId="0" xr:uid="{00000000-0006-0000-0100-000012000000}">
      <text>
        <r>
          <rPr>
            <sz val="11"/>
            <color theme="1"/>
            <rFont val="Calibri"/>
            <family val="2"/>
            <scheme val="minor"/>
          </rPr>
          <t>HEC:
Remote Amplifier</t>
        </r>
      </text>
    </comment>
    <comment ref="AC53" authorId="0" shapeId="0" xr:uid="{00000000-0006-0000-0100-000013000000}">
      <text>
        <r>
          <rPr>
            <sz val="11"/>
            <color theme="1"/>
            <rFont val="Calibri"/>
            <family val="2"/>
            <scheme val="minor"/>
          </rPr>
          <t>HEC:
Remote Amplifier</t>
        </r>
      </text>
    </comment>
    <comment ref="S87" authorId="0" shapeId="0" xr:uid="{00000000-0006-0000-0100-000014000000}">
      <text>
        <r>
          <rPr>
            <sz val="11"/>
            <color theme="1"/>
            <rFont val="Calibri"/>
            <family val="2"/>
            <scheme val="minor"/>
          </rPr>
          <t>HEC:
FOC Security, Building to Building (SS071-SS070-PIB080)</t>
        </r>
      </text>
    </comment>
    <comment ref="V87" authorId="0" shapeId="0" xr:uid="{00000000-0006-0000-0100-000015000000}">
      <text>
        <r>
          <rPr>
            <sz val="11"/>
            <color theme="1"/>
            <rFont val="Calibri"/>
            <family val="2"/>
            <scheme val="minor"/>
          </rPr>
          <t>HEC:
FOC Security, Building to Building (SS071-SS070-PIB080)</t>
        </r>
      </text>
    </comment>
    <comment ref="W87" authorId="0" shapeId="0" xr:uid="{00000000-0006-0000-0100-000016000000}">
      <text>
        <r>
          <rPr>
            <sz val="11"/>
            <color theme="1"/>
            <rFont val="Calibri"/>
            <family val="2"/>
            <scheme val="minor"/>
          </rPr>
          <t>HEC:
FOC Security, Building to Building (SS071-SS070-PIB080)</t>
        </r>
      </text>
    </comment>
    <comment ref="X87" authorId="0" shapeId="0" xr:uid="{00000000-0006-0000-0100-000017000000}">
      <text>
        <r>
          <rPr>
            <sz val="11"/>
            <color theme="1"/>
            <rFont val="Calibri"/>
            <family val="2"/>
            <scheme val="minor"/>
          </rPr>
          <t>HEC:
FOC Security, Building to Building (SS071-SS070-PIB080)</t>
        </r>
      </text>
    </comment>
    <comment ref="AA87" authorId="0" shapeId="0" xr:uid="{00000000-0006-0000-0100-000018000000}">
      <text>
        <r>
          <rPr>
            <sz val="11"/>
            <color theme="1"/>
            <rFont val="Calibri"/>
            <family val="2"/>
            <scheme val="minor"/>
          </rPr>
          <t>HEC:
FOC Security, Building to Building (SS071-SS070-PIB080)</t>
        </r>
      </text>
    </comment>
    <comment ref="AB87" authorId="0" shapeId="0" xr:uid="{00000000-0006-0000-0100-000019000000}">
      <text>
        <r>
          <rPr>
            <sz val="11"/>
            <color theme="1"/>
            <rFont val="Calibri"/>
            <family val="2"/>
            <scheme val="minor"/>
          </rPr>
          <t>HEC:
FOC Security, Building to Building (SS071-SS070-PIB080)</t>
        </r>
      </text>
    </comment>
    <comment ref="AD87" authorId="0" shapeId="0" xr:uid="{00000000-0006-0000-0100-00001A000000}">
      <text>
        <r>
          <rPr>
            <sz val="11"/>
            <color theme="1"/>
            <rFont val="Calibri"/>
            <family val="2"/>
            <scheme val="minor"/>
          </rPr>
          <t>HEC:
FOC Security, Building to Building (SS071-SS070-PIB080)</t>
        </r>
      </text>
    </comment>
    <comment ref="AE87" authorId="0" shapeId="0" xr:uid="{00000000-0006-0000-0100-00001B000000}">
      <text>
        <r>
          <rPr>
            <sz val="11"/>
            <color theme="1"/>
            <rFont val="Calibri"/>
            <family val="2"/>
            <scheme val="minor"/>
          </rPr>
          <t>HEC:
FOC Security, Building to Building (SS071-SS070-PIB080)</t>
        </r>
      </text>
    </comment>
    <comment ref="AH87" authorId="0" shapeId="0" xr:uid="{00000000-0006-0000-0100-00001C000000}">
      <text>
        <r>
          <rPr>
            <sz val="11"/>
            <color theme="1"/>
            <rFont val="Calibri"/>
            <family val="2"/>
            <scheme val="minor"/>
          </rPr>
          <t>HEC:
FOC Security, Building to Building (SS071-SS070-PIB080)</t>
        </r>
      </text>
    </comment>
    <comment ref="AK87" authorId="0" shapeId="0" xr:uid="{00000000-0006-0000-0100-00001D000000}">
      <text>
        <r>
          <rPr>
            <sz val="11"/>
            <color theme="1"/>
            <rFont val="Calibri"/>
            <family val="2"/>
            <scheme val="minor"/>
          </rPr>
          <t>HEC:
FOC Security, Building to Building (SS071-SS070-PIB080)</t>
        </r>
      </text>
    </comment>
    <comment ref="AL87" authorId="0" shapeId="0" xr:uid="{00000000-0006-0000-0100-00001E000000}">
      <text>
        <r>
          <rPr>
            <sz val="11"/>
            <color theme="1"/>
            <rFont val="Calibri"/>
            <family val="2"/>
            <scheme val="minor"/>
          </rPr>
          <t>HEC:
FOC Security, Building to Building (SS071-SS070-PIB080)</t>
        </r>
      </text>
    </comment>
    <comment ref="AM87" authorId="0" shapeId="0" xr:uid="{00000000-0006-0000-0100-00001F000000}">
      <text>
        <r>
          <rPr>
            <sz val="11"/>
            <color theme="1"/>
            <rFont val="Calibri"/>
            <family val="2"/>
            <scheme val="minor"/>
          </rPr>
          <t>HEC:
FOC Security, Building to Building (SS071-SS070-PIB080)</t>
        </r>
      </text>
    </comment>
    <comment ref="AN87" authorId="0" shapeId="0" xr:uid="{00000000-0006-0000-0100-000020000000}">
      <text>
        <r>
          <rPr>
            <sz val="11"/>
            <color theme="1"/>
            <rFont val="Calibri"/>
            <family val="2"/>
            <scheme val="minor"/>
          </rPr>
          <t>HEC:
FOC Security, Building to Building (SS071-SS070-PIB080)</t>
        </r>
      </text>
    </comment>
    <comment ref="AO87" authorId="0" shapeId="0" xr:uid="{00000000-0006-0000-0100-000021000000}">
      <text>
        <r>
          <rPr>
            <sz val="11"/>
            <color theme="1"/>
            <rFont val="Calibri"/>
            <family val="2"/>
            <scheme val="minor"/>
          </rPr>
          <t>HEC:
FOC Security, Building to Building (SS071-SS070-PIB080)</t>
        </r>
      </text>
    </comment>
    <comment ref="AP87" authorId="0" shapeId="0" xr:uid="{00000000-0006-0000-0100-000022000000}">
      <text>
        <r>
          <rPr>
            <sz val="11"/>
            <color theme="1"/>
            <rFont val="Calibri"/>
            <family val="2"/>
            <scheme val="minor"/>
          </rPr>
          <t>HEC:
FOC Security, Building to Building (SS071-SS070-PIB080)</t>
        </r>
      </text>
    </comment>
    <comment ref="AQ87" authorId="0" shapeId="0" xr:uid="{00000000-0006-0000-0100-000023000000}">
      <text>
        <r>
          <rPr>
            <sz val="11"/>
            <color theme="1"/>
            <rFont val="Calibri"/>
            <family val="2"/>
            <scheme val="minor"/>
          </rPr>
          <t>HEC:
FOC Security, Building to Building (SS071-SS070-PIB080)</t>
        </r>
      </text>
    </comment>
    <comment ref="AR87" authorId="0" shapeId="0" xr:uid="{00000000-0006-0000-0100-000024000000}">
      <text>
        <r>
          <rPr>
            <sz val="11"/>
            <color theme="1"/>
            <rFont val="Calibri"/>
            <family val="2"/>
            <scheme val="minor"/>
          </rPr>
          <t>HEC:
FOC Security, Building to Building (SS071-SS070-PIB080)</t>
        </r>
      </text>
    </comment>
    <comment ref="Y141" authorId="0" shapeId="0" xr:uid="{00000000-0006-0000-0100-000025000000}">
      <text>
        <r>
          <rPr>
            <sz val="11"/>
            <color theme="1"/>
            <rFont val="Calibri"/>
            <family val="2"/>
            <scheme val="minor"/>
          </rPr>
          <t>HEC:
SCS Data Outlet x 2</t>
        </r>
      </text>
    </comment>
    <comment ref="Z141" authorId="0" shapeId="0" xr:uid="{00000000-0006-0000-0100-000026000000}">
      <text>
        <r>
          <rPr>
            <sz val="11"/>
            <color theme="1"/>
            <rFont val="Calibri"/>
            <family val="2"/>
            <scheme val="minor"/>
          </rPr>
          <t>HEC:
SCS Data Outlet x 2</t>
        </r>
      </text>
    </comment>
    <comment ref="AC141" authorId="0" shapeId="0" xr:uid="{00000000-0006-0000-0100-000027000000}">
      <text>
        <r>
          <rPr>
            <sz val="11"/>
            <color theme="1"/>
            <rFont val="Calibri"/>
            <family val="2"/>
            <scheme val="minor"/>
          </rPr>
          <t>HEC:
SCS Data Outlet x 2 x 90meters max</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HEC</author>
  </authors>
  <commentList>
    <comment ref="S26" authorId="0" shapeId="0" xr:uid="{00000000-0006-0000-0200-000001000000}">
      <text>
        <r>
          <rPr>
            <sz val="11"/>
            <color theme="1"/>
            <rFont val="Calibri"/>
            <family val="2"/>
            <scheme val="minor"/>
          </rPr>
          <t>HEC:
- PCCTV
- WLAN
- IVPS</t>
        </r>
      </text>
    </comment>
    <comment ref="S32" authorId="0" shapeId="0" xr:uid="{00000000-0006-0000-0200-000002000000}">
      <text>
        <r>
          <rPr>
            <sz val="11"/>
            <color theme="1"/>
            <rFont val="Calibri"/>
            <family val="2"/>
            <scheme val="minor"/>
          </rPr>
          <t>HEC:
- PCCTV
- WLAN
- IVPS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HEC</author>
  </authors>
  <commentList>
    <comment ref="W40" authorId="0" shapeId="0" xr:uid="{00000000-0006-0000-0300-000001000000}">
      <text>
        <r>
          <rPr>
            <sz val="11"/>
            <color theme="1"/>
            <rFont val="Calibri"/>
            <family val="2"/>
            <scheme val="minor"/>
          </rPr>
          <t>HEC:
SCS</t>
        </r>
      </text>
    </comment>
    <comment ref="R49" authorId="0" shapeId="0" xr:uid="{00000000-0006-0000-0300-000002000000}">
      <text>
        <r>
          <rPr>
            <sz val="11"/>
            <color theme="1"/>
            <rFont val="Calibri"/>
            <family val="2"/>
            <scheme val="minor"/>
          </rPr>
          <t>HEC:
FO CCTV</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HEC</author>
  </authors>
  <commentList>
    <comment ref="W99" authorId="0" shapeId="0" xr:uid="{00000000-0006-0000-0500-000001000000}">
      <text>
        <r>
          <rPr>
            <sz val="11"/>
            <color theme="1"/>
            <rFont val="Calibri"/>
            <family val="2"/>
            <scheme val="minor"/>
          </rPr>
          <t>HEC:
50 for Data outlet (assumed)
48 for Security (as per IFB drawing)</t>
        </r>
      </text>
    </comment>
    <comment ref="X99" authorId="0" shapeId="0" xr:uid="{00000000-0006-0000-0500-000002000000}">
      <text>
        <r>
          <rPr>
            <sz val="11"/>
            <color theme="1"/>
            <rFont val="Calibri"/>
            <family val="2"/>
            <scheme val="minor"/>
          </rPr>
          <t>HEC:
50 for Data outlet (assumed)
40 for Security (as per IFB drawing)</t>
        </r>
      </text>
    </comment>
    <comment ref="AA99" authorId="0" shapeId="0" xr:uid="{00000000-0006-0000-0500-000003000000}">
      <text>
        <r>
          <rPr>
            <sz val="11"/>
            <color theme="1"/>
            <rFont val="Calibri"/>
            <family val="2"/>
            <scheme val="minor"/>
          </rPr>
          <t>HEC:
50 for Data outlet (assumed)
47 for Security (as per IFB drawing)</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제제헬프랑카(JEZEHEL FRANCA) 책임매니저</author>
  </authors>
  <commentList>
    <comment ref="F239" authorId="0" shapeId="0" xr:uid="{02A384D5-5E12-4697-B1F8-963624348CB6}">
      <text>
        <r>
          <rPr>
            <sz val="11"/>
            <color theme="1"/>
            <rFont val="Calibri"/>
            <family val="2"/>
            <scheme val="minor"/>
          </rPr>
          <t>제제헬프랑카(JEZEHEL FRANCA) 책임매니저:
FSD of PCCTV</t>
        </r>
      </text>
    </comment>
  </commentList>
</comments>
</file>

<file path=xl/sharedStrings.xml><?xml version="1.0" encoding="utf-8"?>
<sst xmlns="http://schemas.openxmlformats.org/spreadsheetml/2006/main" count="6439" uniqueCount="2315">
  <si>
    <t>BOTB (PKG-1) PROJECT</t>
  </si>
  <si>
    <t xml:space="preserve">         </t>
  </si>
  <si>
    <t>July. 01, 2026</t>
  </si>
  <si>
    <t>기안</t>
  </si>
  <si>
    <t>팀장</t>
  </si>
  <si>
    <t>실장</t>
  </si>
  <si>
    <t xml:space="preserve">     본 문서의 내용과 관련된 지적재산권에 대한 소유는 현대엔지니어링에 있으며 본문서의 내용에 대한 무단복제 및 무단도용은 법에 저촉됨을 알려 드립니다.
     Intellectual property right of this document is belongs to Hyundai Engineering.  Any reproduction and copy without permission of Hyundai Engineering will be strongly prohibited.</t>
  </si>
  <si>
    <t>[TE] Data Input/View</t>
  </si>
  <si>
    <t>As of 2026-07-31</t>
  </si>
  <si>
    <t>SN</t>
  </si>
  <si>
    <t>Status</t>
  </si>
  <si>
    <t>Message</t>
  </si>
  <si>
    <t>Item No.</t>
  </si>
  <si>
    <t>MR No.</t>
  </si>
  <si>
    <t>Item</t>
  </si>
  <si>
    <t>Description</t>
  </si>
  <si>
    <t>Additional Spec.</t>
  </si>
  <si>
    <t>Commodity</t>
  </si>
  <si>
    <t>Core/Pair Number</t>
  </si>
  <si>
    <t>Composition</t>
  </si>
  <si>
    <t>Conductor Size</t>
  </si>
  <si>
    <t>Earthing Size</t>
  </si>
  <si>
    <t>Unit of Cable Size</t>
  </si>
  <si>
    <t>Ident</t>
  </si>
  <si>
    <t>Unit</t>
  </si>
  <si>
    <t>Total Q'ty</t>
  </si>
  <si>
    <t>PKG-1</t>
  </si>
  <si>
    <t>PKG-2</t>
  </si>
  <si>
    <t>Remark</t>
  </si>
  <si>
    <t>Specification</t>
  </si>
  <si>
    <t>Size</t>
  </si>
  <si>
    <t>Common-1</t>
  </si>
  <si>
    <t>Common-2</t>
  </si>
  <si>
    <t xml:space="preserve">EB HCKR Train1&amp;2 </t>
  </si>
  <si>
    <t xml:space="preserve">EB Fractionation </t>
  </si>
  <si>
    <t>EB Integrated DHT &amp; Compressors</t>
  </si>
  <si>
    <t xml:space="preserve">EB Catalyst Loading &amp; Common </t>
  </si>
  <si>
    <t>SS-071</t>
  </si>
  <si>
    <t>PIB-080</t>
  </si>
  <si>
    <t>HRU</t>
  </si>
  <si>
    <t>CWS</t>
  </si>
  <si>
    <t>SS-070</t>
  </si>
  <si>
    <t>PKG1 PCS in Existing CCR</t>
  </si>
  <si>
    <t>Green Zone Fence - BOTB Plot</t>
  </si>
  <si>
    <t>SRU</t>
  </si>
  <si>
    <t>ARU</t>
  </si>
  <si>
    <t>SWS</t>
  </si>
  <si>
    <t>SS-072</t>
  </si>
  <si>
    <t>PIB-081</t>
  </si>
  <si>
    <t>Flare System with Existing SS-052 &amp; SS-046 Mod</t>
  </si>
  <si>
    <t>Sales Gas Pipeline</t>
  </si>
  <si>
    <t>Caustic Pump with Existing PIB-02 &amp; SS-013 Mod</t>
  </si>
  <si>
    <t>SW Pump with Existing PIB-13 &amp; SS-026 Mod</t>
  </si>
  <si>
    <t>OSBL Pipe Racks &amp; Interconnect pipe rack</t>
  </si>
  <si>
    <t>Modifications in RAWEC SS-200</t>
  </si>
  <si>
    <t>Modifications in Existing CCR</t>
  </si>
  <si>
    <t>Piping Tie-ins</t>
  </si>
  <si>
    <t>Communications | CCR-1</t>
  </si>
  <si>
    <t>Security | CCR-3</t>
  </si>
  <si>
    <t>Communications | PUCCR</t>
  </si>
  <si>
    <t>Security | SCC</t>
  </si>
  <si>
    <t>Security | ID OFFICE 
BLDG</t>
  </si>
  <si>
    <t>Communications | PIB-027</t>
  </si>
  <si>
    <t>Security | WR-617</t>
  </si>
  <si>
    <t>Security | Sales Gas P/L Scraper Launcher Area</t>
  </si>
  <si>
    <t>CWA-XXXX</t>
  </si>
  <si>
    <t>CWA-0101</t>
  </si>
  <si>
    <t>CWA-0102</t>
  </si>
  <si>
    <t>CWA-0103</t>
  </si>
  <si>
    <t>CWA-0300</t>
  </si>
  <si>
    <t>CWA-0600</t>
  </si>
  <si>
    <t>CWA-1300</t>
  </si>
  <si>
    <t>CWA-1500</t>
  </si>
  <si>
    <t>CWA-2400</t>
  </si>
  <si>
    <t>CWA-0201</t>
  </si>
  <si>
    <t>CWA-0202</t>
  </si>
  <si>
    <t>0203</t>
  </si>
  <si>
    <t>CWA-0204</t>
  </si>
  <si>
    <t>CWA-0205</t>
  </si>
  <si>
    <t>CWA-0700</t>
  </si>
  <si>
    <t>CWA-0900</t>
  </si>
  <si>
    <t>CWA-1000</t>
  </si>
  <si>
    <t>CWA-1100</t>
  </si>
  <si>
    <t>CWA-1200</t>
  </si>
  <si>
    <t>CWA-1400</t>
  </si>
  <si>
    <t>CWA-1600</t>
  </si>
  <si>
    <t>CWA-1800</t>
  </si>
  <si>
    <t>CWA-2100</t>
  </si>
  <si>
    <t>Valid</t>
  </si>
  <si>
    <t>C</t>
  </si>
  <si>
    <t>Cable</t>
  </si>
  <si>
    <t>C.16</t>
  </si>
  <si>
    <t>POWER, FLAME RETARDANT, ARMORED</t>
  </si>
  <si>
    <t>AC POWER CABLE 600/1000V</t>
  </si>
  <si>
    <t>FLAME-RETARDANT as per IEC 60332-3-23 (CAT. B)</t>
  </si>
  <si>
    <t>Steel Wired Armored</t>
  </si>
  <si>
    <t>Primary Insulation Material : Cross Linked  Polyethylene(XLPE) insulated</t>
  </si>
  <si>
    <t>Conductor Color : Black(Live), White(Neutral), Green/Yellow tracer(Ground)</t>
  </si>
  <si>
    <t>Conductor Material : Stranded Plain Copper Conductor</t>
  </si>
  <si>
    <t>Jacket Material and Color : PVC, BLACK</t>
  </si>
  <si>
    <t>Temperature Rating : 90 degC</t>
  </si>
  <si>
    <t>Direct Burial / Oil Resistant / Sun Resistant</t>
  </si>
  <si>
    <t>IEC 60502-1</t>
  </si>
  <si>
    <t>C.16.1</t>
  </si>
  <si>
    <t>3 x C x 12 AWG</t>
  </si>
  <si>
    <t>FL, PW, SWA</t>
  </si>
  <si>
    <t>EC01AC05AK99AF01AA99ZZ99</t>
  </si>
  <si>
    <t>AWG</t>
  </si>
  <si>
    <t>M285711381A</t>
  </si>
  <si>
    <t>M</t>
  </si>
  <si>
    <t>C.16.1.1</t>
  </si>
  <si>
    <t>TE, PW, SWA</t>
  </si>
  <si>
    <t>C.16.2</t>
  </si>
  <si>
    <t>3 x C x 10 AWG</t>
  </si>
  <si>
    <t>M367485413A</t>
  </si>
  <si>
    <t>C.16.3</t>
  </si>
  <si>
    <t>3 x C x 2 AWG</t>
  </si>
  <si>
    <t>C.16.4</t>
  </si>
  <si>
    <t>3 x C x 6 AWG</t>
  </si>
  <si>
    <t>C.16.5</t>
  </si>
  <si>
    <t>2 x C x 14 AWG</t>
  </si>
  <si>
    <t>FL, PW</t>
  </si>
  <si>
    <t>C.17</t>
  </si>
  <si>
    <t>POWER, FLAME RETARDANT, NON-ARMORED</t>
  </si>
  <si>
    <t>Non-Armored</t>
  </si>
  <si>
    <t>C.17.1</t>
  </si>
  <si>
    <t>3 x C x 14 AWG</t>
  </si>
  <si>
    <t>EC01AC05AK99AL01AA99ZZ99</t>
  </si>
  <si>
    <t>M285711330A</t>
  </si>
  <si>
    <t>C.17.2</t>
  </si>
  <si>
    <t>M285711328A</t>
  </si>
  <si>
    <t>C.17.2.1</t>
  </si>
  <si>
    <t>3 X C X 12 AWG</t>
  </si>
  <si>
    <t>FL, PW, TE</t>
  </si>
  <si>
    <t>C.17.3</t>
  </si>
  <si>
    <t>M285711329A</t>
  </si>
  <si>
    <t>C.17.4</t>
  </si>
  <si>
    <t>3 x C x 8 AWG</t>
  </si>
  <si>
    <t>M414586702A</t>
  </si>
  <si>
    <t>C.17.5</t>
  </si>
  <si>
    <t>M414586703A</t>
  </si>
  <si>
    <t>C.17.6</t>
  </si>
  <si>
    <t>M285711331A</t>
  </si>
  <si>
    <t>C.18</t>
  </si>
  <si>
    <t>GROUNDING CABLE, FLAME RETARDANT</t>
  </si>
  <si>
    <t>GROUNDING CABLE 600/1000V</t>
  </si>
  <si>
    <t>PVC insulated</t>
  </si>
  <si>
    <t>Jacket Material and Color : EXTRUDED PVC, COLOR GREEN/YELLOW</t>
  </si>
  <si>
    <t>C.18.1</t>
  </si>
  <si>
    <t>1 x C x 10 AWG</t>
  </si>
  <si>
    <t>FL, GR/YE</t>
  </si>
  <si>
    <t>EC06AC05AK99AL01AA99ZZ99</t>
  </si>
  <si>
    <t>M285711385C</t>
  </si>
  <si>
    <t>C.18.2</t>
  </si>
  <si>
    <t>1 x C x 2 AWG</t>
  </si>
  <si>
    <t>M285711541C</t>
  </si>
  <si>
    <t>C.18.3</t>
  </si>
  <si>
    <t>FL, GR/YE, TE</t>
  </si>
  <si>
    <t>Jacket Material and Color : EXTRUDED PVC, COLOR GREEN</t>
  </si>
  <si>
    <t>C.18.4</t>
  </si>
  <si>
    <t>1 x C x 6 AWG</t>
  </si>
  <si>
    <t>FL, GR</t>
  </si>
  <si>
    <t>M368405088A</t>
  </si>
  <si>
    <t>C.18.5</t>
  </si>
  <si>
    <t>FL, GR, TE</t>
  </si>
  <si>
    <t>C.18.6</t>
  </si>
  <si>
    <t>M285711541D</t>
  </si>
  <si>
    <t>C.19</t>
  </si>
  <si>
    <t>FIBER OPTIC, FLAME RETARDANT, AMOURED, OUTDOOR</t>
  </si>
  <si>
    <t>- Reference Standard :  ITU-T G-652D, 18-SAMSS-625 (If there are conflict among reference standard, Bidder will follow the most severe requiremet)</t>
  </si>
  <si>
    <t>- Mode : Single Mode OS2 (ITU-T G.652D), 9.0/125-micron glass fibre, Zero-Dispersion Low Water Peak,</t>
  </si>
  <si>
    <t>- Fiber stand cont : 12 fibres per tube</t>
  </si>
  <si>
    <t>- Fiber Stand colour Coding : TIA/EIA 598-C</t>
  </si>
  <si>
    <t>Loose-tybe, Gel-Filled Type (SAES-T-928, 5.8)</t>
  </si>
  <si>
    <t>- Wrapping : MICA tape (If Fire resistant)</t>
  </si>
  <si>
    <t>- Armour Type : All-dielectric (non-metallic), Kevlar (SAES-T-624, 5.2.4.8)</t>
  </si>
  <si>
    <t>- Cable Sheath : Polyethylene, Black, minimum 2.35% carbon black concentration, Resistant to Ultra violet light,crude oil, hydrocarbons.</t>
  </si>
  <si>
    <t>Sulphur compounds and salt water, Low Smoke Zero Halogen (LSZH)</t>
  </si>
  <si>
    <t>- Primary coating material : UV curable material</t>
  </si>
  <si>
    <t>- Marking / Printing : Metal marking at one-meter intervals describing type, number of cores, manufacturer, year of manufacture</t>
  </si>
  <si>
    <t>- Temperature Ragne at operating : -20°C to 70°C</t>
  </si>
  <si>
    <t>- Temperature Ragne at storage : -40°C to 70°C</t>
  </si>
  <si>
    <t>- Fire Resistant to BS6387 Cat. C, W, Z</t>
  </si>
  <si>
    <t>C.19.1</t>
  </si>
  <si>
    <t>144 x C</t>
  </si>
  <si>
    <t>FL, FO, OUTDOOR, TE</t>
  </si>
  <si>
    <t>EC04ZZ99ZZ03AE07AA99ZZ99</t>
  </si>
  <si>
    <t>M367577766B</t>
  </si>
  <si>
    <t>C.19.2</t>
  </si>
  <si>
    <t>96 x C</t>
  </si>
  <si>
    <t>M367577767B</t>
  </si>
  <si>
    <t>C.19.3</t>
  </si>
  <si>
    <t>72 x C</t>
  </si>
  <si>
    <t>M368405062B</t>
  </si>
  <si>
    <t>C.19.4</t>
  </si>
  <si>
    <t>48 x C</t>
  </si>
  <si>
    <t>M367577765B</t>
  </si>
  <si>
    <t>C.19.5</t>
  </si>
  <si>
    <t>24 x C</t>
  </si>
  <si>
    <t>M367577764B</t>
  </si>
  <si>
    <t>FOC SACS</t>
  </si>
  <si>
    <t>C.19.6</t>
  </si>
  <si>
    <t>12 x C</t>
  </si>
  <si>
    <t>M367577768B</t>
  </si>
  <si>
    <t>C.19.7</t>
  </si>
  <si>
    <t>4 x C</t>
  </si>
  <si>
    <t>M367577763B</t>
  </si>
  <si>
    <t>C.20</t>
  </si>
  <si>
    <t>FIBER OPTIC, FIRE RESISTANCE, AMOURED, OUTDOOR</t>
  </si>
  <si>
    <t>C.20.1</t>
  </si>
  <si>
    <t>FR FO, OUTDOOR</t>
  </si>
  <si>
    <t>EC04ZZ99ZZ03AE07AD99ZZ99</t>
  </si>
  <si>
    <t>M268623721A</t>
  </si>
  <si>
    <t>C.20.2</t>
  </si>
  <si>
    <t>M268623717A</t>
  </si>
  <si>
    <t>C.20.3</t>
  </si>
  <si>
    <t>M268623718A</t>
  </si>
  <si>
    <t>C.20.4</t>
  </si>
  <si>
    <t>M268623730A</t>
  </si>
  <si>
    <t>C.21</t>
  </si>
  <si>
    <t>FIBER OPTIC, FIRE RESISTANCE, AMOURED, INDOOR</t>
  </si>
  <si>
    <t>&lt;Complied with Cl.4.11 of PP-824554&gt;</t>
  </si>
  <si>
    <t>- Mode : Single Mode OS2 (ITU-T G.652D), 9.0/125-micron glass fibre, Zero-Dispersion Low Water Peak, 1310nm wavelength</t>
  </si>
  <si>
    <t>- Fiber Stand colour Coding : TIA/EIA 598-C
- Housing : Tight Buffer - two(2) layer coating. The first layer shall be a plastic (protective) coating, the second shall be</t>
  </si>
  <si>
    <t>acrylate (to repel moisture)</t>
  </si>
  <si>
    <t>- Armour Type : All-dielectric (non-metallic), Kevlar</t>
  </si>
  <si>
    <t>- Cable Sheath : Polyethylene, Resistant to Ultraviolet light, crude oil, hydrocarbons, Sulphur compounds and salt water,</t>
  </si>
  <si>
    <t>Yellow Outer jacket/LSZH-Low Smoke Zero Halogen Outer jacket</t>
  </si>
  <si>
    <t>Optical Fiber Non-conductive Plenum (OFNP) type with or without non-metallic moisture barrier</t>
  </si>
  <si>
    <t>and shall be listed as being suitable for the purpose, listed as being resistant to spread of fire in accordance with the  NEC Article 770 Section 770-26,</t>
  </si>
  <si>
    <t>installed in accordance with Section 770-110, and marked in accordance with Table 770-179</t>
  </si>
  <si>
    <t>- Fire rated : NFPA 70 (NEC article 770)</t>
  </si>
  <si>
    <t>- All SYSTEM cables shall be "Indoor Fire-resistant cable" type.</t>
  </si>
  <si>
    <t>C.21.1</t>
  </si>
  <si>
    <t>FR FO, INDOOR, TE</t>
  </si>
  <si>
    <t>M268623717C</t>
  </si>
  <si>
    <t>C.21.2</t>
  </si>
  <si>
    <t>M268623718C</t>
  </si>
  <si>
    <t>C.21.3</t>
  </si>
  <si>
    <t>M268623730C</t>
  </si>
  <si>
    <t>C.22</t>
  </si>
  <si>
    <t>ETHERNET CABLE</t>
  </si>
  <si>
    <t>Unsheilded Twisted Pair Cable</t>
  </si>
  <si>
    <t>- Separator Material : Flame Retardant Polyolefin</t>
  </si>
  <si>
    <t>- Number of Pairs : 4</t>
  </si>
  <si>
    <t>- Cable Pair Color Coding : T568A</t>
  </si>
  <si>
    <t>- Conductors : Solid Annealed Copper</t>
  </si>
  <si>
    <t>- Conductor Size : 23 AWG</t>
  </si>
  <si>
    <t xml:space="preserve">- Category 6 </t>
  </si>
  <si>
    <t>- Reference Specification PP-824554, Section 4.3</t>
  </si>
  <si>
    <t>- UL listed</t>
  </si>
  <si>
    <t>C.22.1</t>
  </si>
  <si>
    <t>LS-CMP(Low smoke Plenum) UTP cable</t>
  </si>
  <si>
    <t>4 x P x 23AWG</t>
  </si>
  <si>
    <t>LS-CMP(Low smoke Plenum) UTP, TE</t>
  </si>
  <si>
    <t>EC04ZZ06AF14AL04ZZ99ZZ99</t>
  </si>
  <si>
    <t>P</t>
  </si>
  <si>
    <t>M367577797C</t>
  </si>
  <si>
    <t>C.22.2</t>
  </si>
  <si>
    <t>Gel-Filled UTP Cable (Suitable for Direct Burial and OSP)</t>
  </si>
  <si>
    <t>Gel-Filled UTP, TE</t>
  </si>
  <si>
    <t>M367577797D</t>
  </si>
  <si>
    <t>C.23</t>
  </si>
  <si>
    <t>Twisted Pair Cable for Telecommunication System</t>
  </si>
  <si>
    <t>Twisted Pair, Non Shielded, Armoured, Fire Resistant Cable - TC/600V</t>
  </si>
  <si>
    <t>Without Overall Shield.</t>
  </si>
  <si>
    <t>Steel Wired Armoured</t>
  </si>
  <si>
    <t>Conductor Color : BLACK/WHITE</t>
  </si>
  <si>
    <t>Conductor Material: Stranded, Circular Copper, per ASTM B3, 7 strands minimum; tinned, per ASTM B33</t>
  </si>
  <si>
    <t>Jacket Material and Color : Fire Resistant BS6387 Cat. C,W,Z  , BLACK, Temperature Rating : 90 degC</t>
  </si>
  <si>
    <t>Direct Burial / Oil Resistant / Sun Resistant / Gas Blocking</t>
  </si>
  <si>
    <t>C.23.1</t>
  </si>
  <si>
    <t>1 x P x 12 AWG</t>
  </si>
  <si>
    <t>TE, SWA</t>
  </si>
  <si>
    <t>EC04AA03AL99AF01BA01ZZ99</t>
  </si>
  <si>
    <t>M368405073A</t>
  </si>
  <si>
    <t>C.23.1.1</t>
  </si>
  <si>
    <t>TE, NON ARMROED</t>
  </si>
  <si>
    <t>C.23.2</t>
  </si>
  <si>
    <t>2 x P x 12 AWG</t>
  </si>
  <si>
    <t>M368405074A</t>
  </si>
  <si>
    <t>C.23.3</t>
  </si>
  <si>
    <t>6 x P x 12 AWG</t>
  </si>
  <si>
    <t>M368405075A</t>
  </si>
  <si>
    <t>C.23.4</t>
  </si>
  <si>
    <t>8 x P x 12 AWG</t>
  </si>
  <si>
    <t>M368405089A</t>
  </si>
  <si>
    <t>C.23.5</t>
  </si>
  <si>
    <t>10 x P x 12 AWG</t>
  </si>
  <si>
    <t>M368405076A</t>
  </si>
  <si>
    <t>Twisted Pair, Shielded, Armoured, Fire Resistant Cable - TC/600V</t>
  </si>
  <si>
    <t>Overall Shield, Steel Wired Armoured</t>
  </si>
  <si>
    <t>C.23.6</t>
  </si>
  <si>
    <t>2 x P x 16 AWG</t>
  </si>
  <si>
    <t>EC04AA03AL99AF01BA01AB99</t>
  </si>
  <si>
    <t>M368405063A</t>
  </si>
  <si>
    <t>C.23.7</t>
  </si>
  <si>
    <t>4 x P x 16 AWG</t>
  </si>
  <si>
    <t>M368405064A</t>
  </si>
  <si>
    <t>C.23.8</t>
  </si>
  <si>
    <t>10 x P x 16 AWG</t>
  </si>
  <si>
    <t>M368405065A</t>
  </si>
  <si>
    <t>C.23.9</t>
  </si>
  <si>
    <t>2 x P x 18 AWG</t>
  </si>
  <si>
    <t>M368405066A</t>
  </si>
  <si>
    <t>C.23.10</t>
  </si>
  <si>
    <t>4 x P x 18 AWG</t>
  </si>
  <si>
    <t>M368405067A</t>
  </si>
  <si>
    <t>Twisted Pair, Shielded, Fire Resistant Cable - TC/600V</t>
  </si>
  <si>
    <t>Overall Shield</t>
  </si>
  <si>
    <t>C.23.11</t>
  </si>
  <si>
    <t>TE</t>
  </si>
  <si>
    <t>EC04AA03AL99AL01BA01AB99</t>
  </si>
  <si>
    <t>M368405077A</t>
  </si>
  <si>
    <t>C.23.12</t>
  </si>
  <si>
    <t>M368405078A</t>
  </si>
  <si>
    <t>C.23.13</t>
  </si>
  <si>
    <t>M368405079A</t>
  </si>
  <si>
    <t>C.23.14</t>
  </si>
  <si>
    <t>M368405080A</t>
  </si>
  <si>
    <t>C.23.15</t>
  </si>
  <si>
    <t>6 x P x 16 AWG</t>
  </si>
  <si>
    <t>M368405081A</t>
  </si>
  <si>
    <t>C.23.16</t>
  </si>
  <si>
    <t>1 x P x 18 AWG</t>
  </si>
  <si>
    <t>M368405090A</t>
  </si>
  <si>
    <t>C.23.17</t>
  </si>
  <si>
    <t>M368405082A</t>
  </si>
  <si>
    <t>C.23.18</t>
  </si>
  <si>
    <t>M368405083A</t>
  </si>
  <si>
    <t>C.24</t>
  </si>
  <si>
    <t>Telephone Cable for Telecommunication System</t>
  </si>
  <si>
    <t xml:space="preserve">- Jelly Filled </t>
  </si>
  <si>
    <t>- Single Shielded (Corrugated Aluminum Tape)</t>
  </si>
  <si>
    <t>- Core Wapping Tape</t>
  </si>
  <si>
    <t>- LDPE outer sheath</t>
  </si>
  <si>
    <t>- Steel Tape Armored.</t>
  </si>
  <si>
    <t>- For Underground Installation</t>
  </si>
  <si>
    <t>- Fire rated : N/A</t>
  </si>
  <si>
    <t>C.24.1</t>
  </si>
  <si>
    <t>100 x P x 22 AWG</t>
  </si>
  <si>
    <t>EC04ZZ99ZZ99AH99ZZ99ZZ99</t>
  </si>
  <si>
    <t>M367577788A</t>
  </si>
  <si>
    <t>C.25</t>
  </si>
  <si>
    <t>RS-485 Cable</t>
  </si>
  <si>
    <t>C.25.1</t>
  </si>
  <si>
    <t>C.25.2</t>
  </si>
  <si>
    <t>2 x P x 22 AWG</t>
  </si>
  <si>
    <t>C.25.3</t>
  </si>
  <si>
    <t>Cable Tray Width</t>
  </si>
  <si>
    <t>Cable Tray Height</t>
  </si>
  <si>
    <t>Thickness</t>
  </si>
  <si>
    <t>D</t>
  </si>
  <si>
    <t>LADDER CABLE TRAY</t>
  </si>
  <si>
    <t>LADDER CABLE TRAY - OUTDOOR</t>
  </si>
  <si>
    <t>CABLE TRAY SHALL BE DESIGNED, MANUFACTURED, RATED, TESTED AND MARKED</t>
  </si>
  <si>
    <t>IN ACCORDANCE WITH NEMA VE 1 (REFERENCES : SAES-J-902 &amp; SAES-P-104)</t>
  </si>
  <si>
    <t>- MATERIAL : COPPER-FREE ALUMINIUM (MAXIMUM OF 0.4% COPPER)</t>
  </si>
  <si>
    <t>- MATERIAL FOR FASTENERS(BOLT, NUT &amp; WASHER &amp; ETC) : 316SS</t>
  </si>
  <si>
    <t>- DISTANCE OF CONSECUTIVE RUNGS : 229MM(9") MAXIMUM</t>
  </si>
  <si>
    <t>- RUNG LOAD CAPACITY : 90KG MINIMUM</t>
  </si>
  <si>
    <t>- ALLOWABLE DEFLECTION : L/100(L=SPAN LENGTH) MAXIMUM</t>
  </si>
  <si>
    <t>- VENTILATED TYPE FLANGED COVER : MINIMUM 1.0 MM THICKNESS</t>
  </si>
  <si>
    <t>- TRAY THICKNESS : MANUFACTURE STANDARD (MIN. 3.2mm)</t>
  </si>
  <si>
    <t>- LOAD / SPAN CLASSS : 20C AS PER NEMA VE1</t>
  </si>
  <si>
    <t>- OUTSIDE FLANGE</t>
  </si>
  <si>
    <t>- SPAN : STANDARD SPAN LENGTH 6M</t>
  </si>
  <si>
    <t>- FITTINGS  RADIUS : 600mm (OUTDOOR)</t>
  </si>
  <si>
    <t>D.1</t>
  </si>
  <si>
    <t>STRAIGHT TRAY</t>
  </si>
  <si>
    <t>STRAIGHT CABLE TRAY</t>
  </si>
  <si>
    <t>- BODY LENGTH : 6.0M</t>
  </si>
  <si>
    <t>D.1.1</t>
  </si>
  <si>
    <t>LADDER TRAY STRAIGHT</t>
  </si>
  <si>
    <t>152 mm(6") (W) x 152 mm(6") (H) x 3.0 mm(T)</t>
  </si>
  <si>
    <t>OUTDOOR</t>
  </si>
  <si>
    <t>ET04AB99AL99ZZ99ZZ</t>
  </si>
  <si>
    <t>3.0</t>
  </si>
  <si>
    <t>M414586722A</t>
  </si>
  <si>
    <t>D.1.2</t>
  </si>
  <si>
    <t>305 mm(12") (W) x 152 mm(6") (H) x 3.0 mm(T)</t>
  </si>
  <si>
    <t>M414586723A</t>
  </si>
  <si>
    <t>D.1.3</t>
  </si>
  <si>
    <t>610 mm(24") (W) x 152 mm(6") (H) x 3.0 mm(T)</t>
  </si>
  <si>
    <t>M414586724A</t>
  </si>
  <si>
    <t>D.1.4</t>
  </si>
  <si>
    <t>915 mm(36") (W) x 152 mm(6") (H) x 3.0 mm(T)</t>
  </si>
  <si>
    <t>M414586725A</t>
  </si>
  <si>
    <t>CCTV Power &amp; FOC, Security &amp; Paging</t>
  </si>
  <si>
    <t>D.2</t>
  </si>
  <si>
    <t>STRAIGHT CABLE TRAY COVER</t>
  </si>
  <si>
    <t>- COVER LENGTH : 3.0M</t>
  </si>
  <si>
    <t>D.2.1</t>
  </si>
  <si>
    <t>LADDER TRAY STRAIGHT COVER</t>
  </si>
  <si>
    <t>152mm (6") (W) x 1.0 mm(T)</t>
  </si>
  <si>
    <t>ET02AB99AL99ZZ99ZZ</t>
  </si>
  <si>
    <t>1</t>
  </si>
  <si>
    <t>M349322046A</t>
  </si>
  <si>
    <t>D.2.2</t>
  </si>
  <si>
    <t>305 mm(12") (W) x 1.0 mm(T)</t>
  </si>
  <si>
    <t>M349322047A</t>
  </si>
  <si>
    <t>D.2.3</t>
  </si>
  <si>
    <t>610 mm(24") (W) x 1.0 mm(T)</t>
  </si>
  <si>
    <t>M349322048A</t>
  </si>
  <si>
    <t>D.2.4</t>
  </si>
  <si>
    <t>915 mm(36") (W)) x 1.0 mm(T)</t>
  </si>
  <si>
    <t>M349322049A</t>
  </si>
  <si>
    <t>D.3</t>
  </si>
  <si>
    <t>HORIZONTAL ELBOW</t>
  </si>
  <si>
    <t>HORIZONTAL ELBOW (90DEG) WITH COVERS</t>
  </si>
  <si>
    <t>- RADIUS : 600mm</t>
  </si>
  <si>
    <t>D.3.1</t>
  </si>
  <si>
    <t>LADDER TRAY HORIZONTAL ELBOW (90DEG) WITH COVERS</t>
  </si>
  <si>
    <t>150 mm x 150 mm x 2 mm</t>
  </si>
  <si>
    <t>ET04AB99AE03ZZ04ZZ</t>
  </si>
  <si>
    <t>2.0</t>
  </si>
  <si>
    <t>M414586726A</t>
  </si>
  <si>
    <t>EA</t>
  </si>
  <si>
    <t>D.3.2</t>
  </si>
  <si>
    <t>300 mm x 150 mm x 2 mm</t>
  </si>
  <si>
    <t>M414586727A</t>
  </si>
  <si>
    <t>D.3.3</t>
  </si>
  <si>
    <t>600 mm x 150 mm x 2 mm</t>
  </si>
  <si>
    <t>M414586728A</t>
  </si>
  <si>
    <t>D.3.4</t>
  </si>
  <si>
    <t>900 mm x 150 mm x 2 mm</t>
  </si>
  <si>
    <t>M414586729A</t>
  </si>
  <si>
    <t>D.4</t>
  </si>
  <si>
    <t>HORIZONTAL TEE</t>
  </si>
  <si>
    <t>HORIZONTAL TEE WITH COVERS</t>
  </si>
  <si>
    <t>D.4.1</t>
  </si>
  <si>
    <t>LADDER TRAY HORIZONTAL TEE WITH COVERS</t>
  </si>
  <si>
    <t>ET04AB99AN03ZZ04ZZ</t>
  </si>
  <si>
    <t>M414586730A</t>
  </si>
  <si>
    <t>D.4.2</t>
  </si>
  <si>
    <t>M414586731A</t>
  </si>
  <si>
    <t>D.4.3</t>
  </si>
  <si>
    <t>M414586732A</t>
  </si>
  <si>
    <t>D.4.4</t>
  </si>
  <si>
    <t>M414586733A</t>
  </si>
  <si>
    <t>D.5</t>
  </si>
  <si>
    <t>HORIZONTAL CROSS</t>
  </si>
  <si>
    <t>HORIZONTAL CROSS WITH COVERS</t>
  </si>
  <si>
    <t>D.5.1</t>
  </si>
  <si>
    <t>LADDER TRAY HORIZONTAL CROSS WITH COVERS</t>
  </si>
  <si>
    <t>ET04AB99AA03ZZ99ZZ</t>
  </si>
  <si>
    <t>M414586734A</t>
  </si>
  <si>
    <t>D.6</t>
  </si>
  <si>
    <t>VERTICAL ELBOW INSIDE</t>
  </si>
  <si>
    <t>VERTICAL ELBOW (90DEG) INSIDE WITH COVERS</t>
  </si>
  <si>
    <t>D.6.1</t>
  </si>
  <si>
    <t>LADDER TRAY VERTICAL ELBOW (90DEG) INSIDE WITH COVERS</t>
  </si>
  <si>
    <t>ET04AB99AE01ZZ04ZZ</t>
  </si>
  <si>
    <t>M414586735A</t>
  </si>
  <si>
    <t>D.6.2</t>
  </si>
  <si>
    <t>M414586736A</t>
  </si>
  <si>
    <t>D.6.3</t>
  </si>
  <si>
    <t>M414586737A</t>
  </si>
  <si>
    <t>D.6.4</t>
  </si>
  <si>
    <t>M414586738A</t>
  </si>
  <si>
    <t>D.7</t>
  </si>
  <si>
    <t>VERTICAL ELBOW OUTSIDE</t>
  </si>
  <si>
    <t>VERTICAL ELBOW (90DEG) OUTSIDE WITH COVERS</t>
  </si>
  <si>
    <t>D.7.1</t>
  </si>
  <si>
    <t>LADDER TRAY VERTICAL ELBOW (90DEG) OUTSIDE WITH COVERS</t>
  </si>
  <si>
    <t>ET04AB99AE02ZZ04ZZ</t>
  </si>
  <si>
    <t>M414586739A</t>
  </si>
  <si>
    <t>D.7.2</t>
  </si>
  <si>
    <t>M414586740A</t>
  </si>
  <si>
    <t>D.7.3</t>
  </si>
  <si>
    <t>M414586741A</t>
  </si>
  <si>
    <t>D.7.4</t>
  </si>
  <si>
    <t>M414586742A</t>
  </si>
  <si>
    <t>D.8</t>
  </si>
  <si>
    <t xml:space="preserve">REDUCING SPLICE PLATE </t>
  </si>
  <si>
    <t>REDUCING SPLICE PLATE  (HEIGHT 140)</t>
  </si>
  <si>
    <t>- MATERIAL : COPPER-FREE ALUMINUM (MAX. 0.4% COPPER)</t>
  </si>
  <si>
    <t>- ACCESSORIES : BOLT &amp; NUT (316SS)</t>
  </si>
  <si>
    <t>D.8.1</t>
  </si>
  <si>
    <t xml:space="preserve">LADDER TRAY REDUCING SPLICE PLATE </t>
  </si>
  <si>
    <t>ET01AB99ZZ99ZZ99ZZ</t>
  </si>
  <si>
    <t>M414586743A</t>
  </si>
  <si>
    <t>D.8.2</t>
  </si>
  <si>
    <t>OUTDOOR TYPE 1</t>
  </si>
  <si>
    <t>M414586744A</t>
  </si>
  <si>
    <t>D.8.3</t>
  </si>
  <si>
    <t>OUTDOOR TYPE 2</t>
  </si>
  <si>
    <t>M414586745A</t>
  </si>
  <si>
    <t>D.8.4</t>
  </si>
  <si>
    <t>750 mm x 150 mm x 2.6 mm</t>
  </si>
  <si>
    <t>OUTDOOR TYPE 3</t>
  </si>
  <si>
    <t>2.6</t>
  </si>
  <si>
    <t>M421387043A</t>
  </si>
  <si>
    <t>D.9</t>
  </si>
  <si>
    <t>ADJUSTABLE HORIZONTAL CONNECTOR</t>
  </si>
  <si>
    <t>D.9.1</t>
  </si>
  <si>
    <t>LADDER TRAY ADJUSTABLE HORIZONTAL CONNECTOR (2 PIECE / EA)</t>
  </si>
  <si>
    <t>150 mm x 3 mm</t>
  </si>
  <si>
    <t>ET01AB99ZZ99ZZ11ZZ</t>
  </si>
  <si>
    <t>M349322058C</t>
  </si>
  <si>
    <t>D.10</t>
  </si>
  <si>
    <t>ADJUSTABLE VERTICAL CONNECTOR</t>
  </si>
  <si>
    <t>D.10.1</t>
  </si>
  <si>
    <t>LADDER TRAY ADJUSTABLE VERTICAL CONNECTOR (2 PIECE / EA)</t>
  </si>
  <si>
    <t>M349322058D</t>
  </si>
  <si>
    <t>D.11</t>
  </si>
  <si>
    <t>BLIND END PLATE</t>
  </si>
  <si>
    <t>D.11.1</t>
  </si>
  <si>
    <t>LADDER TRAY BLIND END PLATE</t>
  </si>
  <si>
    <t>ET01AB99ZZ99ZZ07ZZ</t>
  </si>
  <si>
    <t>M393921564B</t>
  </si>
  <si>
    <t>D.11.2</t>
  </si>
  <si>
    <t>M393921565C</t>
  </si>
  <si>
    <t>D.11.3</t>
  </si>
  <si>
    <t>M393921566B</t>
  </si>
  <si>
    <t>D.11.4</t>
  </si>
  <si>
    <t>M393921567B</t>
  </si>
  <si>
    <t>D.12</t>
  </si>
  <si>
    <t>SPLICE PLATE</t>
  </si>
  <si>
    <t>HEAVY DUTY SPLICE PLATE (HEIGHT 140)</t>
  </si>
  <si>
    <t>D.12.1</t>
  </si>
  <si>
    <t>LADDER TRAY SPLICE PLATE</t>
  </si>
  <si>
    <t>140 mm x 3 mm</t>
  </si>
  <si>
    <t>ET01AB99ZZ99ZZ14ZZ</t>
  </si>
  <si>
    <t>M365749320A</t>
  </si>
  <si>
    <t>D.13</t>
  </si>
  <si>
    <t>HEAVY DUTY EXPANSION SPLICE PLATE</t>
  </si>
  <si>
    <t>HEAVY DUTY EXPANSION SPLICE PLATE (HEIGHT 140)</t>
  </si>
  <si>
    <t>D.13.1</t>
  </si>
  <si>
    <t>LADDER TRAY HEAVY DUTY EXPANSION SPLICE PLATE</t>
  </si>
  <si>
    <t>ET01AB99ZZ99ZZ08ZZ</t>
  </si>
  <si>
    <t>M414586751A</t>
  </si>
  <si>
    <t>D.14</t>
  </si>
  <si>
    <t>GROUND BONDING JUMPER</t>
  </si>
  <si>
    <t>- MATERIAL : INSULATED COPPER WIRED GROUND CABLE (GREEN &amp;YELLOW TRACER)</t>
  </si>
  <si>
    <t>- 35 SQMM x 400 MM LENGTH W/TERMINAL LUG (TINNED COPPER)</t>
  </si>
  <si>
    <t>- ACCESSORIES : 316SS SHANK BOLTS &amp; NUTS, WASHER</t>
  </si>
  <si>
    <t>D.14.1</t>
  </si>
  <si>
    <t>LADDER TRAY GROUND BONDING JUMPER</t>
  </si>
  <si>
    <t>None</t>
  </si>
  <si>
    <t>ET01AD99ZZ99ZZ01ZZ</t>
  </si>
  <si>
    <t>0</t>
  </si>
  <si>
    <t>M214244783F</t>
  </si>
  <si>
    <t>D.15</t>
  </si>
  <si>
    <t>HOLD DOWN CLAMP</t>
  </si>
  <si>
    <t>- MATERIAL : STAINLESS STEEL(316SS)</t>
  </si>
  <si>
    <t>- ACCESSORIES :  316SS BOLT &amp; NUT, WASHER</t>
  </si>
  <si>
    <t>D.15.1</t>
  </si>
  <si>
    <t>BEAM CLAMP TYPE FOR HORIZONTAL LADDER CABLE TRAY</t>
  </si>
  <si>
    <t>ET01AI99ZZ99ZZ19ZZ</t>
  </si>
  <si>
    <t>M286458936B</t>
  </si>
  <si>
    <t>D.15.2</t>
  </si>
  <si>
    <t>BEAM GUIDE TYPE FOR HORIZONTAL LADDER CABLE TRAY</t>
  </si>
  <si>
    <t>ET01AI99ZZ99ZZ99ZZ</t>
  </si>
  <si>
    <t>M272892167M</t>
  </si>
  <si>
    <t>D.15.3</t>
  </si>
  <si>
    <t>HOLD DOWN BRACKET 2 HOLE (FOR VERTICAL PARTS)</t>
  </si>
  <si>
    <t>ET01AI99ZZ99ZZ13ZZ</t>
  </si>
  <si>
    <t>M349322296B</t>
  </si>
  <si>
    <t>D.15.4</t>
  </si>
  <si>
    <t>HOLD DOWN CLAMP WITH SPRING NUT (For U-Channel)</t>
  </si>
  <si>
    <t>M272892167N</t>
  </si>
  <si>
    <t>D.15.5</t>
  </si>
  <si>
    <t>GUIDE TYPE CLAMP WITH SPRING NUT (For U-Channel)</t>
  </si>
  <si>
    <t>M272892167O</t>
  </si>
  <si>
    <t>D.15.6</t>
  </si>
  <si>
    <t>HOLD DOWN BRACKET 4 HOLE (FOR VERTICAL PARTS)</t>
  </si>
  <si>
    <t>M272892167B</t>
  </si>
  <si>
    <t>D.16</t>
  </si>
  <si>
    <t>HEAVY DUTY CABLE TRAY COVER CLAMP</t>
  </si>
  <si>
    <t>- COMPLETE WITH BOLT &amp; NUTS &amp; WWASHER : 316SS</t>
  </si>
  <si>
    <t>- COMPLETE WITH NON-METALIC WASHER(GASKET) SUCH AS TEFLON OR NITRILE RUBBER TO WITHSTAND CORROSION</t>
  </si>
  <si>
    <t>D.16.1</t>
  </si>
  <si>
    <t>ET01AB99ZZ99ZZ03ZZ</t>
  </si>
  <si>
    <t>M414586746A</t>
  </si>
  <si>
    <t>D.16.2</t>
  </si>
  <si>
    <t>M414586747A</t>
  </si>
  <si>
    <t>D.16.3</t>
  </si>
  <si>
    <t>M414586748A</t>
  </si>
  <si>
    <t>D.16.4</t>
  </si>
  <si>
    <t>M414586749A</t>
  </si>
  <si>
    <t>LADDER CABLE TRAY - INDOOR</t>
  </si>
  <si>
    <t>- FITTINGS  RADIUS : 300mm (INDOOR)</t>
  </si>
  <si>
    <t>D.17</t>
  </si>
  <si>
    <t>D.17.1</t>
  </si>
  <si>
    <t>INDOOR</t>
  </si>
  <si>
    <t>M414586722B</t>
  </si>
  <si>
    <t>SACS UPS Power &amp; Controller</t>
  </si>
  <si>
    <t>D.17.2</t>
  </si>
  <si>
    <t>M414586723B</t>
  </si>
  <si>
    <t>D.17.3</t>
  </si>
  <si>
    <t>457 mm(18") (W) x 152 mm(6") (H) x 3.0 mm(T)</t>
  </si>
  <si>
    <t>M414586750A</t>
  </si>
  <si>
    <t>D.17.4</t>
  </si>
  <si>
    <t>M414586724B</t>
  </si>
  <si>
    <t>D.17.5</t>
  </si>
  <si>
    <t>M414586725B</t>
  </si>
  <si>
    <t>D.18</t>
  </si>
  <si>
    <t>HORIZONTAL ELBOW (90DEG) WITHOUT COVERS</t>
  </si>
  <si>
    <t>D.18.1</t>
  </si>
  <si>
    <t>LADDER TRAY HORIZONTAL ELBOW (90DEG) WITHOUT COVERS</t>
  </si>
  <si>
    <t>M414586726B</t>
  </si>
  <si>
    <t>D.18.2</t>
  </si>
  <si>
    <t>M414586727B</t>
  </si>
  <si>
    <t>D.18.3</t>
  </si>
  <si>
    <t>M414586728B</t>
  </si>
  <si>
    <t>D.18.4</t>
  </si>
  <si>
    <t>M414586729B</t>
  </si>
  <si>
    <t>D.18.5</t>
  </si>
  <si>
    <t>450 mm x 150 mm x 2 mm</t>
  </si>
  <si>
    <t>2</t>
  </si>
  <si>
    <t>M421387044A</t>
  </si>
  <si>
    <t>- RADIUS : 300mm</t>
  </si>
  <si>
    <t>D.18.6</t>
  </si>
  <si>
    <t>ET04AB99AE03ZZ02ZZ</t>
  </si>
  <si>
    <t>M421387045A</t>
  </si>
  <si>
    <t>D.18.7</t>
  </si>
  <si>
    <t>M421387046A</t>
  </si>
  <si>
    <t>D.19</t>
  </si>
  <si>
    <t>HORIZONTAL TEE WITHOUT COVERS</t>
  </si>
  <si>
    <t>D.19.1</t>
  </si>
  <si>
    <t>LADDER TRAY HORIZONTAL TEE WITHOUT COVERS</t>
  </si>
  <si>
    <t>M414586731B</t>
  </si>
  <si>
    <t>D.19.2</t>
  </si>
  <si>
    <t>M414586732B</t>
  </si>
  <si>
    <t>D.19.3</t>
  </si>
  <si>
    <t>M414586733B</t>
  </si>
  <si>
    <t>D.20</t>
  </si>
  <si>
    <t>D.20.1</t>
  </si>
  <si>
    <t>M414586745B</t>
  </si>
  <si>
    <t>D.20.2</t>
  </si>
  <si>
    <t>M414586744B</t>
  </si>
  <si>
    <t>D.20.3</t>
  </si>
  <si>
    <t>M421387047A</t>
  </si>
  <si>
    <t>D.21</t>
  </si>
  <si>
    <t>- MATERIAL : COPPER-FREE ALUMINIUM(MAXIMUM OF 0.4% COPPER)</t>
  </si>
  <si>
    <t>D.21.1</t>
  </si>
  <si>
    <t>ADJUSTABLE HORIZONTAL CONNECTOR (2 PIECE / EA)</t>
  </si>
  <si>
    <t>ET01AI99ZZ99ZZ11ZZ</t>
  </si>
  <si>
    <t>M367485430A</t>
  </si>
  <si>
    <t>D.22</t>
  </si>
  <si>
    <t>ADJUSTABLE VERTICAL RISER CONNECTOR</t>
  </si>
  <si>
    <t>D.22.1</t>
  </si>
  <si>
    <t>ADJUSTABLE VERTICAL RISER CONNECTOR (2 PIECE / EA)</t>
  </si>
  <si>
    <t>ET01AI99ZZ99ZZ12ZZ</t>
  </si>
  <si>
    <t>M367485431A</t>
  </si>
  <si>
    <t>D.23</t>
  </si>
  <si>
    <t>D.23.1</t>
  </si>
  <si>
    <t>M393921565D</t>
  </si>
  <si>
    <t>D.23.2</t>
  </si>
  <si>
    <t>M393921566C</t>
  </si>
  <si>
    <t>D.23.3</t>
  </si>
  <si>
    <t>M393921567C</t>
  </si>
  <si>
    <t>D.24</t>
  </si>
  <si>
    <t>D.24.1</t>
  </si>
  <si>
    <t>M365749320B</t>
  </si>
  <si>
    <t>D.25</t>
  </si>
  <si>
    <t>- 35 SQMM x 400 MM LENGTH W/TERMINAL LUG</t>
  </si>
  <si>
    <t>D.25.1</t>
  </si>
  <si>
    <t>M214244783G</t>
  </si>
  <si>
    <t>D.26</t>
  </si>
  <si>
    <t>- MATERIAL : 316SS</t>
  </si>
  <si>
    <t>D.26.1</t>
  </si>
  <si>
    <t>ET01AI99ZZ99ZZ10ZZ</t>
  </si>
  <si>
    <t>M286458938N</t>
  </si>
  <si>
    <t>177667</t>
  </si>
  <si>
    <t>149709</t>
  </si>
  <si>
    <t>Conduit Size</t>
  </si>
  <si>
    <t>Unit of Conduit Size</t>
  </si>
  <si>
    <t>G</t>
  </si>
  <si>
    <t>CONDUIT</t>
  </si>
  <si>
    <t>G.1</t>
  </si>
  <si>
    <t>RIGID STEEL GALVANIZED CONDUIT (RSGC)</t>
  </si>
  <si>
    <t>- ANSI C80.1 RIGID GALVANIZED STEEL WITH PVC COATED</t>
  </si>
  <si>
    <t>(MIN. TKS OF PVC : 40 MILS (1MM) PER NEMA RN1.)</t>
  </si>
  <si>
    <t>- BOTH ENDS NPT THREADED WITH COUPLING SCREWED ON ONE ENDS.</t>
  </si>
  <si>
    <t>G.1.1</t>
  </si>
  <si>
    <t>LENGTH : 3M</t>
  </si>
  <si>
    <t>1"</t>
  </si>
  <si>
    <t>For Instrument</t>
  </si>
  <si>
    <t>EU04AI02AC07</t>
  </si>
  <si>
    <t>inch</t>
  </si>
  <si>
    <t>M220652764C</t>
  </si>
  <si>
    <t>G.1.2</t>
  </si>
  <si>
    <t>1-1/4"</t>
  </si>
  <si>
    <t>1.25</t>
  </si>
  <si>
    <t>M220652765A</t>
  </si>
  <si>
    <t>G.1.3</t>
  </si>
  <si>
    <t>1-1/2"</t>
  </si>
  <si>
    <t>1.5</t>
  </si>
  <si>
    <t>M220652766B</t>
  </si>
  <si>
    <t>G.1.4</t>
  </si>
  <si>
    <t>2"</t>
  </si>
  <si>
    <t>M220652767B</t>
  </si>
  <si>
    <t>G.1.5</t>
  </si>
  <si>
    <t>4"</t>
  </si>
  <si>
    <t>4</t>
  </si>
  <si>
    <t>M347616303A</t>
  </si>
  <si>
    <t>G.1.6</t>
  </si>
  <si>
    <t>3/4"</t>
  </si>
  <si>
    <t>For Telecom</t>
  </si>
  <si>
    <t>0.75</t>
  </si>
  <si>
    <t>M220652763A</t>
  </si>
  <si>
    <t>G.1.7</t>
  </si>
  <si>
    <t>M220652764B</t>
  </si>
  <si>
    <t>for branching out from main tray</t>
  </si>
  <si>
    <t>G.1.8</t>
  </si>
  <si>
    <t>M220652766A</t>
  </si>
  <si>
    <t>G.1.9</t>
  </si>
  <si>
    <t>2-1/2"</t>
  </si>
  <si>
    <t>2.5</t>
  </si>
  <si>
    <t>M414586752A</t>
  </si>
  <si>
    <t>G.1.10</t>
  </si>
  <si>
    <t>M220652765B</t>
  </si>
  <si>
    <t>G.1.12</t>
  </si>
  <si>
    <t>M347616303B</t>
  </si>
  <si>
    <t>G.2</t>
  </si>
  <si>
    <t>PVC PIPE CONDUIT</t>
  </si>
  <si>
    <t>- DB-120 As per NEMA TC 6 &amp; 8</t>
  </si>
  <si>
    <t>- Colored Gray, With One Coupling</t>
  </si>
  <si>
    <t>G.2.1</t>
  </si>
  <si>
    <t>LENGTH : 6M</t>
  </si>
  <si>
    <t>EU03AB99ZZ99</t>
  </si>
  <si>
    <t>M191110753D</t>
  </si>
  <si>
    <t>outdoor lateral runs connecting outdoor cameras, paging intercoms , and outdoor WAP enclosures to nearest routing points</t>
  </si>
  <si>
    <t>G.2.2</t>
  </si>
  <si>
    <t>M220652663B</t>
  </si>
  <si>
    <t>G.2.3</t>
  </si>
  <si>
    <t>M190965498H</t>
  </si>
  <si>
    <t>G.2.4</t>
  </si>
  <si>
    <t>M190965501F</t>
  </si>
  <si>
    <t>G.2.5</t>
  </si>
  <si>
    <t>6"</t>
  </si>
  <si>
    <t>6</t>
  </si>
  <si>
    <t>M347616320D</t>
  </si>
  <si>
    <t>G.2.5.1</t>
  </si>
  <si>
    <t>M190965497A</t>
  </si>
  <si>
    <t>G.2.5.2</t>
  </si>
  <si>
    <t>M190965501I</t>
  </si>
  <si>
    <t>- TYPE EB-20, NEMA TC 6 &amp; 8</t>
  </si>
  <si>
    <t>- Colored Gray, Without Coupling</t>
  </si>
  <si>
    <t>G.2.6</t>
  </si>
  <si>
    <t>FOR WALL OPENING</t>
  </si>
  <si>
    <t>M190965498G</t>
  </si>
  <si>
    <t>G.2.7</t>
  </si>
  <si>
    <t>3"</t>
  </si>
  <si>
    <t>3</t>
  </si>
  <si>
    <t>M190965500D</t>
  </si>
  <si>
    <t>G.2.8</t>
  </si>
  <si>
    <t>M191110753E</t>
  </si>
  <si>
    <t>G.3</t>
  </si>
  <si>
    <t>EMT CONDUIT</t>
  </si>
  <si>
    <t>- ANSI C80.3, UL797</t>
  </si>
  <si>
    <t>- WITH ONE END COUPLING</t>
  </si>
  <si>
    <t>G.3.1</t>
  </si>
  <si>
    <t>EU04AM05AB99</t>
  </si>
  <si>
    <t>M367575811B</t>
  </si>
  <si>
    <t>G.3.2</t>
  </si>
  <si>
    <t>M367575812B</t>
  </si>
  <si>
    <t>G.3.3</t>
  </si>
  <si>
    <t>M368407344A</t>
  </si>
  <si>
    <t>G.3.4</t>
  </si>
  <si>
    <t>M368407345A</t>
  </si>
  <si>
    <t>G.3.5</t>
  </si>
  <si>
    <t>M390258549A</t>
  </si>
  <si>
    <t>G.3.6</t>
  </si>
  <si>
    <t>1/2"</t>
  </si>
  <si>
    <t>0.5</t>
  </si>
  <si>
    <t>M414586753A</t>
  </si>
  <si>
    <t>G.3.7</t>
  </si>
  <si>
    <t>M414586754A</t>
  </si>
  <si>
    <t>G.4</t>
  </si>
  <si>
    <t>Corrugated Optical Duct (C.O.D)</t>
  </si>
  <si>
    <t>- HDPE corrugated pipe with 110mm (4") outer diameter, orange color</t>
  </si>
  <si>
    <t>G.4.1</t>
  </si>
  <si>
    <t>C.O.D with 5-1" Sub-ducts with pulling rope, 5 sub-duct color code : Blue/Orange/Green/White/Black</t>
  </si>
  <si>
    <t>C.O.D with 5-1" Sub-ducts</t>
  </si>
  <si>
    <t>EU02AG05AB99</t>
  </si>
  <si>
    <t>M367575826A</t>
  </si>
  <si>
    <t>FO CCTV</t>
  </si>
  <si>
    <t>G.4.2</t>
  </si>
  <si>
    <t>C.O.D with 4-1 1/4" Sub-ducts with pulling rope, 4 sub-duct color code : Blue/Orange/Green/White</t>
  </si>
  <si>
    <t>C.O.D with 4-1 1/4" Sub-ducts</t>
  </si>
  <si>
    <t>M367575826B</t>
  </si>
  <si>
    <t>G.4.3</t>
  </si>
  <si>
    <t>C.O.D with 3-1 1/2" Sub-ducts with pulling rope, 3 sub-duct color code : Orange/Green/White</t>
  </si>
  <si>
    <t>C.O.D with 3-1 1/2" Sub-ducts</t>
  </si>
  <si>
    <t>M367575826C</t>
  </si>
  <si>
    <t>G.4.4</t>
  </si>
  <si>
    <t>C.O.D without Sub-duct</t>
  </si>
  <si>
    <t>M367575826D</t>
  </si>
  <si>
    <t>G.4.5</t>
  </si>
  <si>
    <t>150 mm</t>
  </si>
  <si>
    <t>150</t>
  </si>
  <si>
    <t>mm</t>
  </si>
  <si>
    <t>M414586757A</t>
  </si>
  <si>
    <t>G.5</t>
  </si>
  <si>
    <t>Flexible Conduit</t>
  </si>
  <si>
    <t>- UL LIQUIDTIGHT FLEXIBLE METAL CONDUIT (FOR CLASS 1, ZONE 2) WITH PVC COATED</t>
  </si>
  <si>
    <t>- TEMPERATURE RATING ≥ 80℃</t>
  </si>
  <si>
    <t>G.5.1</t>
  </si>
  <si>
    <t>NPT(M) x NPT(F) (for Instrument)</t>
  </si>
  <si>
    <t>EU02AE02ZZ07</t>
  </si>
  <si>
    <t>M368429397D</t>
  </si>
  <si>
    <t>G.5.2</t>
  </si>
  <si>
    <t>M368429398D</t>
  </si>
  <si>
    <t>G.5.3</t>
  </si>
  <si>
    <t>M368429399B</t>
  </si>
  <si>
    <t>G.5.4</t>
  </si>
  <si>
    <t>M368429400C</t>
  </si>
  <si>
    <t>G.5.5</t>
  </si>
  <si>
    <t>NPT(M) x NPT(F)  (for Telecom)</t>
  </si>
  <si>
    <t>M368429397B</t>
  </si>
  <si>
    <t>G.5.6</t>
  </si>
  <si>
    <t>.75</t>
  </si>
  <si>
    <t>M390284338A</t>
  </si>
  <si>
    <t>G.5.7</t>
  </si>
  <si>
    <t>M421387002A</t>
  </si>
  <si>
    <t>G.5.8</t>
  </si>
  <si>
    <t>M421387003A</t>
  </si>
  <si>
    <t>G.5.9</t>
  </si>
  <si>
    <t>M368429398E</t>
  </si>
  <si>
    <t>G.6</t>
  </si>
  <si>
    <t>FLEXIBLE METALLIC CONDUIT</t>
  </si>
  <si>
    <t>UL listed, Gavanized Steel Type FMC</t>
  </si>
  <si>
    <t>G.6.1</t>
  </si>
  <si>
    <t>3/4'', for Telecom</t>
  </si>
  <si>
    <t>M390284338B</t>
  </si>
  <si>
    <t>G.6.2</t>
  </si>
  <si>
    <t>1", for Telecom</t>
  </si>
  <si>
    <t>M368429397C</t>
  </si>
  <si>
    <t>G.6.3</t>
  </si>
  <si>
    <t>1-1/2", for Telecom</t>
  </si>
  <si>
    <t>M368429398B</t>
  </si>
  <si>
    <t>G.7</t>
  </si>
  <si>
    <t>HDPE Sub-duct</t>
  </si>
  <si>
    <t>G.7.1</t>
  </si>
  <si>
    <t>Green, for Telecom</t>
  </si>
  <si>
    <t>EU02AG02ZZ99</t>
  </si>
  <si>
    <t>M421387016A</t>
  </si>
  <si>
    <t>G.7.2</t>
  </si>
  <si>
    <t>Blue, for Telecom</t>
  </si>
  <si>
    <t>M421387016B</t>
  </si>
  <si>
    <t>G.7.3</t>
  </si>
  <si>
    <t>White, for Telecom</t>
  </si>
  <si>
    <t>M421387016C</t>
  </si>
  <si>
    <t>G.7.4</t>
  </si>
  <si>
    <t>Orange, for Telecom</t>
  </si>
  <si>
    <t>M421387016D</t>
  </si>
  <si>
    <t>Gland Size</t>
  </si>
  <si>
    <t>I</t>
  </si>
  <si>
    <t>CABLE GLAND</t>
  </si>
  <si>
    <t>I.1</t>
  </si>
  <si>
    <t>ARMORED CABLE GLAND</t>
  </si>
  <si>
    <t>- Certified flameproof (type 'd', EEx d), IP66</t>
  </si>
  <si>
    <t>- Seal ring and compound barrier seal</t>
  </si>
  <si>
    <t>- Sealing ring kit, PCV shroud, Locknut, Earth Tag, Washer</t>
  </si>
  <si>
    <t>- Material including metal fastener : 316SS</t>
  </si>
  <si>
    <t>- Shall be designed to bond the armor ( listed as suitable for grounding )</t>
  </si>
  <si>
    <t>and bond the armored to the gland</t>
  </si>
  <si>
    <t>I.1.1</t>
  </si>
  <si>
    <t>M20</t>
  </si>
  <si>
    <t>M20.M, SEALING RANGE : 3</t>
  </si>
  <si>
    <t>ED01AI99AE01ZZ10AD99ZZ</t>
  </si>
  <si>
    <t>20</t>
  </si>
  <si>
    <t>M388017318D</t>
  </si>
  <si>
    <t>I.1.2</t>
  </si>
  <si>
    <t>M25</t>
  </si>
  <si>
    <t>M25.M, SEALING RANGE : 3</t>
  </si>
  <si>
    <t>25</t>
  </si>
  <si>
    <t>M388017319C</t>
  </si>
  <si>
    <t>I.1.3</t>
  </si>
  <si>
    <t>M32</t>
  </si>
  <si>
    <t>M32.M, SEALING RANGE : 3</t>
  </si>
  <si>
    <t>32</t>
  </si>
  <si>
    <t>M388017320C</t>
  </si>
  <si>
    <t>I.1.4</t>
  </si>
  <si>
    <t>M40</t>
  </si>
  <si>
    <t>M40.M, SEALING RANGE : 3</t>
  </si>
  <si>
    <t>40</t>
  </si>
  <si>
    <t>M388017321C</t>
  </si>
  <si>
    <t>I.1.5</t>
  </si>
  <si>
    <t>M20.M, FOR TELECOM</t>
  </si>
  <si>
    <t>M388017318C</t>
  </si>
  <si>
    <t>I.1.6</t>
  </si>
  <si>
    <t>M25.M, FOR TELECOM</t>
  </si>
  <si>
    <t>M388017319B</t>
  </si>
  <si>
    <t>I.1.7</t>
  </si>
  <si>
    <t>M32.M, FOR TELECOM</t>
  </si>
  <si>
    <t>M388017320B</t>
  </si>
  <si>
    <t>I.1.8</t>
  </si>
  <si>
    <t>M40.M, FOR TELECOM</t>
  </si>
  <si>
    <t>M388017321B</t>
  </si>
  <si>
    <t>I.1.9</t>
  </si>
  <si>
    <t>M50</t>
  </si>
  <si>
    <t>M50.M, FOR TELECOM</t>
  </si>
  <si>
    <t>50</t>
  </si>
  <si>
    <t>M421387008A</t>
  </si>
  <si>
    <t>I.1.10</t>
  </si>
  <si>
    <t>M20.M, SEALING RANGE : 2</t>
  </si>
  <si>
    <t>M388017318E</t>
  </si>
  <si>
    <t>I.2</t>
  </si>
  <si>
    <t>NON-ARMORED CABLE GLAND</t>
  </si>
  <si>
    <t>- METRIC.M X METRIC.F for Flexible Conduit Connection</t>
  </si>
  <si>
    <t>I.2.1</t>
  </si>
  <si>
    <t>M20.M, NON-ARMORED, SEALING RANGE : 3</t>
  </si>
  <si>
    <t>ED03AI99AE01ZZ10AD99ZZ</t>
  </si>
  <si>
    <t>M388017322E</t>
  </si>
  <si>
    <t>I.2.2</t>
  </si>
  <si>
    <t>M25.M, NON-ARMORED, SEALING RANGE : 3</t>
  </si>
  <si>
    <t>M388017323F</t>
  </si>
  <si>
    <t>I.2.3</t>
  </si>
  <si>
    <t>M32.M, NON-ARMORED, SEALING RANGE : 3</t>
  </si>
  <si>
    <t>M388017324G</t>
  </si>
  <si>
    <t>I.2.4</t>
  </si>
  <si>
    <t>M40.M, NON-ARMORED, SEALING RANGE : 3</t>
  </si>
  <si>
    <t>M388017325G</t>
  </si>
  <si>
    <t>I.2.5</t>
  </si>
  <si>
    <t>M50.M, NON-ARMORED, SEALING RANGE : 3</t>
  </si>
  <si>
    <t>M388017326F</t>
  </si>
  <si>
    <t>I.2.6</t>
  </si>
  <si>
    <t>M63</t>
  </si>
  <si>
    <t>M63.M, NON-ARMORED, SEALING RANGE : 3</t>
  </si>
  <si>
    <t>63</t>
  </si>
  <si>
    <t>M388017333D</t>
  </si>
  <si>
    <t>I.2.7</t>
  </si>
  <si>
    <t>M40.M X M40.F, SEALING RANGE : 2</t>
  </si>
  <si>
    <t>M388017325H</t>
  </si>
  <si>
    <t>I.2.8</t>
  </si>
  <si>
    <t>M50.M X M50.F, SEALING RANGE : 2</t>
  </si>
  <si>
    <t>M388017326G</t>
  </si>
  <si>
    <t>I.2.9</t>
  </si>
  <si>
    <t>M63.M X M63.F, SEALING RANGE : 2,</t>
  </si>
  <si>
    <t>M388017333E</t>
  </si>
  <si>
    <t>I.2.10</t>
  </si>
  <si>
    <t>1/2"NPT.M X M20.F, SEALING RANGE : 3</t>
  </si>
  <si>
    <t>.5</t>
  </si>
  <si>
    <t>M421387011A</t>
  </si>
  <si>
    <t>I.2.11</t>
  </si>
  <si>
    <t>3/4"NPT.M X M25.F, SEALING RANGE : 2</t>
  </si>
  <si>
    <t>M421387013A</t>
  </si>
  <si>
    <t>I.2.12</t>
  </si>
  <si>
    <t>M20.M, NON-ARMORED, FOR TELECOM</t>
  </si>
  <si>
    <t>M388017322F</t>
  </si>
  <si>
    <t>I.2.13</t>
  </si>
  <si>
    <t>M25.M, NON-ARMORED, FOR TELECOM</t>
  </si>
  <si>
    <t>M388017323G</t>
  </si>
  <si>
    <t>I.3</t>
  </si>
  <si>
    <t>ADAPTOR</t>
  </si>
  <si>
    <t>- 316SS, METRIC threaded, 'O' Ring (Male x Female)</t>
  </si>
  <si>
    <t>I.3.1</t>
  </si>
  <si>
    <t>M20. M x M25. F</t>
  </si>
  <si>
    <t>M388017323B</t>
  </si>
  <si>
    <t>I.3.2</t>
  </si>
  <si>
    <t>M20. M x M32. F</t>
  </si>
  <si>
    <t>M388017324B</t>
  </si>
  <si>
    <t>I.3.3</t>
  </si>
  <si>
    <t>M25. M x M32. F</t>
  </si>
  <si>
    <t>M388017324C</t>
  </si>
  <si>
    <t>I.3.4</t>
  </si>
  <si>
    <t>M25. M x M40. F</t>
  </si>
  <si>
    <t>M388017325B</t>
  </si>
  <si>
    <t>I.3.5</t>
  </si>
  <si>
    <t>M32. M x M40. F</t>
  </si>
  <si>
    <t>M388017325C</t>
  </si>
  <si>
    <t>I.3.6</t>
  </si>
  <si>
    <t>M32. M x M50. F</t>
  </si>
  <si>
    <t>M388017326B</t>
  </si>
  <si>
    <t>I.3.7</t>
  </si>
  <si>
    <t>M40. M x M50. F</t>
  </si>
  <si>
    <t>M388017326C</t>
  </si>
  <si>
    <t>I.3.8</t>
  </si>
  <si>
    <t>M40. M x M63. F</t>
  </si>
  <si>
    <t>M388017333A</t>
  </si>
  <si>
    <t>I.3.9</t>
  </si>
  <si>
    <t>M50. M x M63. F</t>
  </si>
  <si>
    <t>M388017333B</t>
  </si>
  <si>
    <t>I.3.9.1</t>
  </si>
  <si>
    <t>1/2"NPT(M) x M20(F)</t>
  </si>
  <si>
    <t>M421387011B</t>
  </si>
  <si>
    <t>I.3.9.2</t>
  </si>
  <si>
    <t>3/4"NPT(M) x M25(F)</t>
  </si>
  <si>
    <t>M421387013B</t>
  </si>
  <si>
    <t>I.3.9.3</t>
  </si>
  <si>
    <t>1"NPT(M) x M32(F)</t>
  </si>
  <si>
    <t>M421387009A</t>
  </si>
  <si>
    <t>I.3.9.4</t>
  </si>
  <si>
    <t>1-1/2"NPT(M) x M50(F)</t>
  </si>
  <si>
    <t>M421387014A</t>
  </si>
  <si>
    <t>I.3.9.5</t>
  </si>
  <si>
    <t>M388017322G</t>
  </si>
  <si>
    <t>I.3.9.6</t>
  </si>
  <si>
    <t>M63. M x M50. F</t>
  </si>
  <si>
    <t>M388017333F</t>
  </si>
  <si>
    <t>I.4</t>
  </si>
  <si>
    <t>REDUCER</t>
  </si>
  <si>
    <t>I.4.1</t>
  </si>
  <si>
    <t>M25. M x M20. F</t>
  </si>
  <si>
    <t>M388017322B</t>
  </si>
  <si>
    <t>I.4.2</t>
  </si>
  <si>
    <t>M32. M x M20. F</t>
  </si>
  <si>
    <t>M388017322C</t>
  </si>
  <si>
    <t>I.4.3</t>
  </si>
  <si>
    <t>M32. M x M25. F</t>
  </si>
  <si>
    <t>M388017323C</t>
  </si>
  <si>
    <t>I.4.4</t>
  </si>
  <si>
    <t>M40. M x M25. F</t>
  </si>
  <si>
    <t>M388017323D</t>
  </si>
  <si>
    <t>I.4.5</t>
  </si>
  <si>
    <t>M40. M x M32. F</t>
  </si>
  <si>
    <t>M388017324D</t>
  </si>
  <si>
    <t>I.4.6</t>
  </si>
  <si>
    <t>M50. M x M32. F</t>
  </si>
  <si>
    <t>M388017324E</t>
  </si>
  <si>
    <t>I.4.7</t>
  </si>
  <si>
    <t>M50. M x M40. F</t>
  </si>
  <si>
    <t>M388017325D</t>
  </si>
  <si>
    <t>I.4.8</t>
  </si>
  <si>
    <t>M63. M x M40. F</t>
  </si>
  <si>
    <t>M388017325E</t>
  </si>
  <si>
    <t>I.4.9</t>
  </si>
  <si>
    <t>M388017326D</t>
  </si>
  <si>
    <t>I.5</t>
  </si>
  <si>
    <t>PLUG</t>
  </si>
  <si>
    <t>- 316SS, METRIC threaded</t>
  </si>
  <si>
    <t>I.5.1</t>
  </si>
  <si>
    <t>M20.M, PLUG</t>
  </si>
  <si>
    <t>M388017322D</t>
  </si>
  <si>
    <t>I.5.2</t>
  </si>
  <si>
    <t>M25.M, PLUG</t>
  </si>
  <si>
    <t>M388017323E</t>
  </si>
  <si>
    <t>I.5.3</t>
  </si>
  <si>
    <t>M32.M, PLUG</t>
  </si>
  <si>
    <t>M388017324F</t>
  </si>
  <si>
    <t>I.5.4</t>
  </si>
  <si>
    <t>M40.M, PLUG</t>
  </si>
  <si>
    <t>M388017325F</t>
  </si>
  <si>
    <t>I.5.5</t>
  </si>
  <si>
    <t>M50.M, PLUG</t>
  </si>
  <si>
    <t>M388017326E</t>
  </si>
  <si>
    <t>Support Width</t>
  </si>
  <si>
    <t>Support Height</t>
  </si>
  <si>
    <t>Support Thickness</t>
  </si>
  <si>
    <t>Q</t>
  </si>
  <si>
    <t>SUPPORT</t>
  </si>
  <si>
    <t>Q.1</t>
  </si>
  <si>
    <t>"U" CHANNEL (UNISTRUT CHANNEL)</t>
  </si>
  <si>
    <t>Q.1.1</t>
  </si>
  <si>
    <t>MATERIAL : HOT DIP GALVANIZED STEEL with APCS-26 Coating</t>
  </si>
  <si>
    <t>41 x 41 x 2.5t</t>
  </si>
  <si>
    <t>with APCS-26 Coating, For Instrument</t>
  </si>
  <si>
    <t>IM23AA</t>
  </si>
  <si>
    <t>M220652813G</t>
  </si>
  <si>
    <t>Q.1.2</t>
  </si>
  <si>
    <t>MATERIAL : HOT DIP GALVANIZED STEEL</t>
  </si>
  <si>
    <t>M220652813</t>
  </si>
  <si>
    <t>Q.1.3</t>
  </si>
  <si>
    <t>MATERIAL : HOT DIP GALVANIZED STEEL (Double Type)</t>
  </si>
  <si>
    <t>(Double Type, For Instrument</t>
  </si>
  <si>
    <t>M220652813H</t>
  </si>
  <si>
    <t>Q.1.4</t>
  </si>
  <si>
    <t>with APCS-26 Coating, For Telecom</t>
  </si>
  <si>
    <t>M220652813E</t>
  </si>
  <si>
    <t>Q.1.5</t>
  </si>
  <si>
    <t>M220652813F</t>
  </si>
  <si>
    <t>Q.1.6</t>
  </si>
  <si>
    <t>82 x 82 x 2.5t</t>
  </si>
  <si>
    <t>M421387020A</t>
  </si>
  <si>
    <t>Q.1.7</t>
  </si>
  <si>
    <t>MATERIAL : HOT DIP GALVANIZED STEEL with PVC Coating</t>
  </si>
  <si>
    <t>with PVC Coating, For Telecom</t>
  </si>
  <si>
    <t>M220652813I</t>
  </si>
  <si>
    <t>Q.2</t>
  </si>
  <si>
    <t>"C" CHANNEL</t>
  </si>
  <si>
    <t>Q.2.1</t>
  </si>
  <si>
    <t>100 x 50 x 5t</t>
  </si>
  <si>
    <t>APCS-26 Coating, For Instrument</t>
  </si>
  <si>
    <t>IM22ZZ</t>
  </si>
  <si>
    <t>M206428743L</t>
  </si>
  <si>
    <t>Q.2.2</t>
  </si>
  <si>
    <t>M206428743M</t>
  </si>
  <si>
    <t>Q.2.3</t>
  </si>
  <si>
    <t>150 x 75 x 6.5t</t>
  </si>
  <si>
    <t>M222716891C</t>
  </si>
  <si>
    <t>Q.2.4</t>
  </si>
  <si>
    <t>APCS-26 Coating, For Telecom</t>
  </si>
  <si>
    <t>M206428743G</t>
  </si>
  <si>
    <t>Q.2.5</t>
  </si>
  <si>
    <t>75 x 75 x 5t</t>
  </si>
  <si>
    <t>APCS-26 Coating , For Telecom</t>
  </si>
  <si>
    <t>M206428767A</t>
  </si>
  <si>
    <t>Q.2.6</t>
  </si>
  <si>
    <t>125 x 65 x 5t</t>
  </si>
  <si>
    <t>M414586711C</t>
  </si>
  <si>
    <t>Q.3</t>
  </si>
  <si>
    <t>ANGLE</t>
  </si>
  <si>
    <t>Q.3.1</t>
  </si>
  <si>
    <t>50 x 50 x 6t</t>
  </si>
  <si>
    <t>IM21ZZ</t>
  </si>
  <si>
    <t>M209850335I</t>
  </si>
  <si>
    <t>Q.3.2</t>
  </si>
  <si>
    <t>M209850335J</t>
  </si>
  <si>
    <t>Q.3.3</t>
  </si>
  <si>
    <t>M209850335E</t>
  </si>
  <si>
    <t>Q.3.4</t>
  </si>
  <si>
    <t>75 x 75 x 6t</t>
  </si>
  <si>
    <t>APCS-26 Coating  (for Telecom)</t>
  </si>
  <si>
    <t>M206428742A</t>
  </si>
  <si>
    <t>Q.4</t>
  </si>
  <si>
    <t>STANCHION PIPE</t>
  </si>
  <si>
    <t>MATERIAL : HOT DIP GALVANIZED STEEL, 40 SCH WITH BASE PLATE, BLIND PLATE,</t>
  </si>
  <si>
    <t>NAMEPLATE BASE, EARTHING BOSS &amp; GUSSET PLATE with APCS-26 coating</t>
  </si>
  <si>
    <t>Q.4.1</t>
  </si>
  <si>
    <t>Single pole Type</t>
  </si>
  <si>
    <t>2"x1600mm</t>
  </si>
  <si>
    <t>IM13ZZ</t>
  </si>
  <si>
    <t>M206428747AY</t>
  </si>
  <si>
    <t>Q.4.2</t>
  </si>
  <si>
    <t>2"x700mm</t>
  </si>
  <si>
    <t>M206428747O</t>
  </si>
  <si>
    <t>Q.4.3</t>
  </si>
  <si>
    <t>2"x2500mm</t>
  </si>
  <si>
    <t>M206428747AZ</t>
  </si>
  <si>
    <t>Q.4.4</t>
  </si>
  <si>
    <t>Double pole Type</t>
  </si>
  <si>
    <t>2"x1600mm Double</t>
  </si>
  <si>
    <t>M206428747BC</t>
  </si>
  <si>
    <t>Q.4.5</t>
  </si>
  <si>
    <t>Triple pole Type</t>
  </si>
  <si>
    <t>2"x1600mm Triple</t>
  </si>
  <si>
    <t>M206428747BD</t>
  </si>
  <si>
    <t>Q.4.6</t>
  </si>
  <si>
    <t>Multi Pole Type</t>
  </si>
  <si>
    <t>2"x1600mm, TT Rack</t>
  </si>
  <si>
    <t>M206428747BK</t>
  </si>
  <si>
    <t>Q.5</t>
  </si>
  <si>
    <t>STEEL PLATE</t>
  </si>
  <si>
    <t>Q.5.1</t>
  </si>
  <si>
    <t>12mmф x 4 Holes with APCS-26 Coating</t>
  </si>
  <si>
    <t>250 x 250 x 8t</t>
  </si>
  <si>
    <t>IM24ZZ</t>
  </si>
  <si>
    <t>M280954899C</t>
  </si>
  <si>
    <t>Q.5.2</t>
  </si>
  <si>
    <t>12mmф x 2 Holes</t>
  </si>
  <si>
    <t>M280954899D</t>
  </si>
  <si>
    <t>Q.5.3</t>
  </si>
  <si>
    <t>10mmф x 2 Holes (pre Fabricated) with APCS-26 Coating</t>
  </si>
  <si>
    <t>150 x 70 x 5t</t>
  </si>
  <si>
    <t>150 x 70 x 5t(base plate) + 250mm(Angle)
plate) + 250mm(Angle), 10mmф x 2 Holes (pre Fabricated) with APCS-26 Coating</t>
  </si>
  <si>
    <t>M349321990D</t>
  </si>
  <si>
    <t>Q.5.4</t>
  </si>
  <si>
    <t>10mmф x 4 Holes with APCS-26 Coating</t>
  </si>
  <si>
    <t>100 x 100 x 5t</t>
  </si>
  <si>
    <t>M280954901D</t>
  </si>
  <si>
    <t>Q.5.5</t>
  </si>
  <si>
    <t>(TOE Plate) with APCS-26 Coating</t>
  </si>
  <si>
    <t>125 x 2000 x 6t</t>
  </si>
  <si>
    <t>M349321991B</t>
  </si>
  <si>
    <t>Q.5.6</t>
  </si>
  <si>
    <t>(Gusset Plate) with APCS-26 Coating</t>
  </si>
  <si>
    <t>130 x 80 x 5t</t>
  </si>
  <si>
    <t>M365749317B</t>
  </si>
  <si>
    <t>Q.5.7</t>
  </si>
  <si>
    <t>(Name Plate Base) with APCS-26 Coating</t>
  </si>
  <si>
    <t>85 x 50 x 3t</t>
  </si>
  <si>
    <t>M365749318B</t>
  </si>
  <si>
    <t>Q.5.8</t>
  </si>
  <si>
    <t>400 x 210 x 6t</t>
  </si>
  <si>
    <t>M367575867A</t>
  </si>
  <si>
    <t>Q.5.9</t>
  </si>
  <si>
    <t>12mmф x 4 Holes with APCS-26 Coating  (for Telecom)</t>
  </si>
  <si>
    <t>M280954899E</t>
  </si>
  <si>
    <t>Q.5.10</t>
  </si>
  <si>
    <t>10mmф x 4 Holes with APCS-26 Coating  (for Telecom)</t>
  </si>
  <si>
    <t>M280954901E</t>
  </si>
  <si>
    <t>Q.5.11</t>
  </si>
  <si>
    <t>350 x 350 x 10t</t>
  </si>
  <si>
    <t>M206428755A</t>
  </si>
  <si>
    <t>Q.5.12</t>
  </si>
  <si>
    <t>12mmф x 2 Holes with APCS-26 Coating</t>
  </si>
  <si>
    <t>250 x 125 x 8t</t>
  </si>
  <si>
    <t>M365749316B</t>
  </si>
  <si>
    <t>Q.5.13</t>
  </si>
  <si>
    <t>250 x 70 x 8t</t>
  </si>
  <si>
    <t>M414586712A</t>
  </si>
  <si>
    <t>Q.5.14</t>
  </si>
  <si>
    <t>200 x 70 x 8t</t>
  </si>
  <si>
    <t>M414586713A</t>
  </si>
  <si>
    <t>Q.5.15</t>
  </si>
  <si>
    <t>(TOE PLATE) with APCS-26 Coating</t>
  </si>
  <si>
    <t>350 x 125 x 6t</t>
  </si>
  <si>
    <t>M414586721A</t>
  </si>
  <si>
    <t>Q.5.16</t>
  </si>
  <si>
    <t>(POST PLATE) 14 mmф x 2 Holes with APCS-26 Coationg</t>
  </si>
  <si>
    <t>100 x 200 x 6t x 82 x 90 x 6</t>
  </si>
  <si>
    <t>(POST PLATE) with APCS-26 Coating</t>
  </si>
  <si>
    <t>M421387021A</t>
  </si>
  <si>
    <t>Q.5.17</t>
  </si>
  <si>
    <t>(TOE Plate) with APCS-26 Coating (for Telecom)</t>
  </si>
  <si>
    <t>M349321991C</t>
  </si>
  <si>
    <t>Q.5.18</t>
  </si>
  <si>
    <t>12mmф x 2 Holes with APCS-26 Coating for Telecom</t>
  </si>
  <si>
    <t>M365749316C</t>
  </si>
  <si>
    <t>Q.6</t>
  </si>
  <si>
    <t>SUNSHADE</t>
  </si>
  <si>
    <t>Q.6.1</t>
  </si>
  <si>
    <t>GRP, Bracket w/ 2" U-Bolt &amp; Nuts, washer</t>
  </si>
  <si>
    <t>NONE</t>
  </si>
  <si>
    <t>GRP, Bracket w/ 2" U-Bolt &amp; Nuts, washer, by Vendor</t>
  </si>
  <si>
    <t>IM12ED</t>
  </si>
  <si>
    <t>M349321992G</t>
  </si>
  <si>
    <t>Q.6.2</t>
  </si>
  <si>
    <t>GRP, (for Multi Transmitter Rack) with Bolting type</t>
  </si>
  <si>
    <t>GRP, (for Multi Transmitter Rack) with Bolting type, by Vendor</t>
  </si>
  <si>
    <t>M349321992H</t>
  </si>
  <si>
    <t>Q.6.3</t>
  </si>
  <si>
    <t>316SS, Bracket w/ 2" U-Bolt &amp; Nuts, washer</t>
  </si>
  <si>
    <t>316SS, Bracket w/ 2" U-Bolt &amp; Nuts, washer, by Vendor</t>
  </si>
  <si>
    <t>M349321992I</t>
  </si>
  <si>
    <t>Q.7</t>
  </si>
  <si>
    <t>NAME PLATE</t>
  </si>
  <si>
    <t>PHENOLIC / BAKELITE-LAMINATED PLASTIC WITH SCREWS (316SS)</t>
  </si>
  <si>
    <t>Q.7.1</t>
  </si>
  <si>
    <t>- BLACK TEXT WITH WHITE BACKGROUND FOR DCS</t>
  </si>
  <si>
    <t>IM62ZZ</t>
  </si>
  <si>
    <t>M220651966E</t>
  </si>
  <si>
    <t>Q.7.2</t>
  </si>
  <si>
    <t>- WHITE TEXT WITH RED BACKGROUND FOR ESD &amp; FGS</t>
  </si>
  <si>
    <t>M220651966F</t>
  </si>
  <si>
    <t>Q.7.3</t>
  </si>
  <si>
    <t>STAINLESS STEEL NAMEPLATE WITH BLACK TEXT FOR TAPPING POINT</t>
  </si>
  <si>
    <t>M220651966G</t>
  </si>
  <si>
    <t>Q.7.4</t>
  </si>
  <si>
    <t>TWISTED STAINLESS STEEL WIRE</t>
  </si>
  <si>
    <t>M220651966H</t>
  </si>
  <si>
    <t>Q.8</t>
  </si>
  <si>
    <t>THREADED ROD</t>
  </si>
  <si>
    <t>MATERIAL : 316SS</t>
  </si>
  <si>
    <t>Q.8.1</t>
  </si>
  <si>
    <t>- 2 HEX HEAD 2 NUT &amp; WASHER</t>
  </si>
  <si>
    <t>IM99EB</t>
  </si>
  <si>
    <t>M349322107C</t>
  </si>
  <si>
    <t>Q.8.2</t>
  </si>
  <si>
    <t>- 2 HEX HEAD 2 NUT &amp; WASHER  (for Telecom)</t>
  </si>
  <si>
    <t>M349322107E</t>
  </si>
  <si>
    <t>Q.9</t>
  </si>
  <si>
    <t>THREADED ROD COUPLING</t>
  </si>
  <si>
    <t>Q.9.1</t>
  </si>
  <si>
    <t>M349322107D</t>
  </si>
  <si>
    <t>Q.9.2</t>
  </si>
  <si>
    <t>MATERIAL : 316SS (for Telecom)</t>
  </si>
  <si>
    <t>M349322107F</t>
  </si>
  <si>
    <t>Q.10</t>
  </si>
  <si>
    <t>HILTI FASTNER W/NUTS</t>
  </si>
  <si>
    <t>Q.10.1</t>
  </si>
  <si>
    <t>316SS, X-BT-R</t>
  </si>
  <si>
    <t>IM41EA</t>
  </si>
  <si>
    <t>M206340618GI</t>
  </si>
  <si>
    <t>SET</t>
  </si>
  <si>
    <t>Q.10.2</t>
  </si>
  <si>
    <t>316SS, X-BT-R (for Telecom)</t>
  </si>
  <si>
    <t>M206340618TC</t>
  </si>
  <si>
    <t>Q.11</t>
  </si>
  <si>
    <t>HILTI EXTEND ADAPTOR</t>
  </si>
  <si>
    <t>Q.11.1</t>
  </si>
  <si>
    <t>Item no. 387224</t>
  </si>
  <si>
    <t>M206340618GJ</t>
  </si>
  <si>
    <t>Q.12</t>
  </si>
  <si>
    <t>SPACER for DUCT BANK</t>
  </si>
  <si>
    <t>Q.12.1</t>
  </si>
  <si>
    <t>CONDUIT 150mm BASE SPACERS</t>
  </si>
  <si>
    <t>6" BASE</t>
  </si>
  <si>
    <t>IM99ZZ</t>
  </si>
  <si>
    <t>M206396958HG</t>
  </si>
  <si>
    <t>Q.12.2</t>
  </si>
  <si>
    <t>CONDUIT 150mm INTERMEDIATE SPACERS</t>
  </si>
  <si>
    <t>6" INTERMEDIATE</t>
  </si>
  <si>
    <t>M206396958HH</t>
  </si>
  <si>
    <t>Q.12.3</t>
  </si>
  <si>
    <t>CONDUIT 100mm BASE SPACERS</t>
  </si>
  <si>
    <t>4" BASE (forTelecom)</t>
  </si>
  <si>
    <t>M206396958KX</t>
  </si>
  <si>
    <t>Q.12.4</t>
  </si>
  <si>
    <t>CONDUIT 100mm INTERMEDIATE SPACERS</t>
  </si>
  <si>
    <t>4" INTERMEDIATE  (for Telecom)</t>
  </si>
  <si>
    <t>M206396958KY</t>
  </si>
  <si>
    <t>Q.13</t>
  </si>
  <si>
    <t>END BELL (BELLMOUSE)</t>
  </si>
  <si>
    <t>Q.13.1</t>
  </si>
  <si>
    <t>Fitting for NEMA TC8 TYPE PVC conduit shall be in accordance with NEMA TC9, Color Grey</t>
  </si>
  <si>
    <t>M206396958FN</t>
  </si>
  <si>
    <t>Q.13.2</t>
  </si>
  <si>
    <t>Fitting for NEMA TC2 Type PVC conduit shall be in accordance with NEMA TC3, Color Grey</t>
  </si>
  <si>
    <t>M206396958FM</t>
  </si>
  <si>
    <t>Q.14</t>
  </si>
  <si>
    <t>End PLUG for PVC Conduit (Rubber PLUG for PVC Conduit) (FOR TELECOM DUCT BANK)</t>
  </si>
  <si>
    <t>Q.14.1</t>
  </si>
  <si>
    <t>END PLUG FOR 4" for Telecom</t>
  </si>
  <si>
    <t>IM15ZZ</t>
  </si>
  <si>
    <t>M206327315D</t>
  </si>
  <si>
    <t>Q.14.2</t>
  </si>
  <si>
    <t>END PLUG FOR 6"</t>
  </si>
  <si>
    <t>M206327315C</t>
  </si>
  <si>
    <t>Q.15</t>
  </si>
  <si>
    <t>Quadplex Duct Plug for Sub-duct (FOR TELECOM DUCT BANK)</t>
  </si>
  <si>
    <t>Q.15.1</t>
  </si>
  <si>
    <t>Duct plug for 4"</t>
  </si>
  <si>
    <t>M206396958HJ</t>
  </si>
  <si>
    <t>Q.16</t>
  </si>
  <si>
    <t>Simplex Sub Duct Plug (FOR TELECOM DUCT BANK)</t>
  </si>
  <si>
    <t>Q.16.1</t>
  </si>
  <si>
    <t>Duct plug for 1"  (for Telecom)</t>
  </si>
  <si>
    <t>M206396958KZ</t>
  </si>
  <si>
    <t>Q.17</t>
  </si>
  <si>
    <t>EARTH BOSS</t>
  </si>
  <si>
    <t>HOT DIP GALVANIZED STEEL, APCS-26 Coating</t>
  </si>
  <si>
    <t>Q.17.1</t>
  </si>
  <si>
    <t>(pre-welded at Stanchion pipe and else to be supplied separately for site installation.)</t>
  </si>
  <si>
    <t>30mmф x 30mm(L) x M12</t>
  </si>
  <si>
    <t>M206396958FU</t>
  </si>
  <si>
    <t>Q.18</t>
  </si>
  <si>
    <t>PULL BOX FOR TELECOM</t>
  </si>
  <si>
    <t>Q.18.1</t>
  </si>
  <si>
    <t>HOT DIP GALVANIZED CARBON STEEL</t>
  </si>
  <si>
    <t>-</t>
  </si>
  <si>
    <t>100mmx405mmx75mm</t>
  </si>
  <si>
    <t>EJ02ZZ99AA01AA99AG99</t>
  </si>
  <si>
    <t>M367577789A</t>
  </si>
  <si>
    <t>Q.18.2</t>
  </si>
  <si>
    <t>150mmx510mmx75mm</t>
  </si>
  <si>
    <t>M367577789B</t>
  </si>
  <si>
    <t>Q.18.3</t>
  </si>
  <si>
    <t>102mmx102mmx54mm</t>
  </si>
  <si>
    <t>M367577789C</t>
  </si>
  <si>
    <t>Q.18.4</t>
  </si>
  <si>
    <t>200mm x 686 mm x 75 mm</t>
  </si>
  <si>
    <t>M367577789D</t>
  </si>
  <si>
    <t>Q.18.5</t>
  </si>
  <si>
    <t>250mm x 686 mm x 75 mm</t>
  </si>
  <si>
    <t>M367577789E</t>
  </si>
  <si>
    <t>Q.19</t>
  </si>
  <si>
    <t>CABLE MARKER POST (FOR TELECOM CABLE)</t>
  </si>
  <si>
    <t>- COMPLY WITH STANDARD DRAWING AB-036897-001</t>
  </si>
  <si>
    <t>- FIBER GLASS, ORANGE COLOR</t>
  </si>
  <si>
    <t>- INCLUDING SIGN PLATES (ENGRACED, SOLID BLACK ON YELLOW BLACK-GROUND)</t>
  </si>
  <si>
    <t>- 120mm x 100mm x 1400mm</t>
  </si>
  <si>
    <t>Q.19.1</t>
  </si>
  <si>
    <t>TE, POST, SIGN TYPE "A"</t>
  </si>
  <si>
    <t>IM35ZZ</t>
  </si>
  <si>
    <t>M201587186X</t>
  </si>
  <si>
    <t>Q.19.2</t>
  </si>
  <si>
    <t>TE, POST, SIGN TYPE "B"</t>
  </si>
  <si>
    <t>M201587186Y</t>
  </si>
  <si>
    <t>Q.19.3</t>
  </si>
  <si>
    <t>TE, POST, SIGN TYPE "C"</t>
  </si>
  <si>
    <t>M201587186Z</t>
  </si>
  <si>
    <t>Q.19.4</t>
  </si>
  <si>
    <t>TE, POST, SIGN TYPE "D"</t>
  </si>
  <si>
    <t>M201587186AA</t>
  </si>
  <si>
    <t>Q.19.5</t>
  </si>
  <si>
    <t>TE, POST, SIGN TYPE "E"</t>
  </si>
  <si>
    <t>M201587186AB</t>
  </si>
  <si>
    <t>Q.19.6</t>
  </si>
  <si>
    <t>MARKER POST</t>
  </si>
  <si>
    <t>M201587186AT</t>
  </si>
  <si>
    <t>Q.20</t>
  </si>
  <si>
    <t>SURFACE MARKER (FOR TELECOM CABLE)</t>
  </si>
  <si>
    <t>- COMPLY WITH STANDARD DRAWING AB-036273-001</t>
  </si>
  <si>
    <t>- CONCRETE SLAB</t>
  </si>
  <si>
    <t>- 305mm x 305mm x 76mm</t>
  </si>
  <si>
    <t>Q.20.1</t>
  </si>
  <si>
    <t>TE, MARKER, SIGN TYPE "A"</t>
  </si>
  <si>
    <t>M201587186AC</t>
  </si>
  <si>
    <t>Q.20.2</t>
  </si>
  <si>
    <t>TE, MARKER, SIGN TYPE "B"</t>
  </si>
  <si>
    <t>M201587186AD</t>
  </si>
  <si>
    <t>Q.20.3</t>
  </si>
  <si>
    <t>TE, MARKER, SIGN TYPE "C"</t>
  </si>
  <si>
    <t>M201587186AE</t>
  </si>
  <si>
    <t>Q.20.4</t>
  </si>
  <si>
    <t>TE, MARKER, SIGN TYPE "D"</t>
  </si>
  <si>
    <t>M201587186AF</t>
  </si>
  <si>
    <t>Q.20.5</t>
  </si>
  <si>
    <t>CONCRETE SLAB</t>
  </si>
  <si>
    <t>M201587186N</t>
  </si>
  <si>
    <t>Q.21</t>
  </si>
  <si>
    <t>WARNING TAPE  (FOR TELECOM CABLE)</t>
  </si>
  <si>
    <t>- ORANGE COLOR</t>
  </si>
  <si>
    <t>Q.21.1</t>
  </si>
  <si>
    <t>DETECTABLE MARKER TAPE</t>
  </si>
  <si>
    <t>TE, DETECTABLE MARKER TAPE</t>
  </si>
  <si>
    <t>M201587186AG</t>
  </si>
  <si>
    <t>m</t>
  </si>
  <si>
    <t>Q.21.2</t>
  </si>
  <si>
    <t>NON-DETECTABLE MARKER TAPE</t>
  </si>
  <si>
    <t>TE, NON-DETECTABLE MARKER TAPE</t>
  </si>
  <si>
    <t>M201587186AH</t>
  </si>
  <si>
    <t>Q.22</t>
  </si>
  <si>
    <t>CABLE MARKER POST (FOR INSTRUMENT CABLE)</t>
  </si>
  <si>
    <t>- COMPLY WITH STANDARD DRAWING AB-036326-001</t>
  </si>
  <si>
    <t>- RED WOOD</t>
  </si>
  <si>
    <t>- 100mm x 100mm x 1370mm</t>
  </si>
  <si>
    <t>Q.22.1</t>
  </si>
  <si>
    <t>CI, POST, SIGN TYPE "A"</t>
  </si>
  <si>
    <t>M201587186AI</t>
  </si>
  <si>
    <t>Q.22.2</t>
  </si>
  <si>
    <t>CI, POST, SIGN TYPE "B"</t>
  </si>
  <si>
    <t>M201587186AJ</t>
  </si>
  <si>
    <t>Q.22.3</t>
  </si>
  <si>
    <t>CI, POST, SIGN TYPE "C"</t>
  </si>
  <si>
    <t>M201587186AK</t>
  </si>
  <si>
    <t>Q.22.4</t>
  </si>
  <si>
    <t>SIGN-POST</t>
  </si>
  <si>
    <t>M201587186BN</t>
  </si>
  <si>
    <t>Q.23</t>
  </si>
  <si>
    <t>SURFACE MARKER (FOR INSTRUMENT CABLE)</t>
  </si>
  <si>
    <t>Q.23.1</t>
  </si>
  <si>
    <t>CI, MARKER, SIGN TYPE "A"</t>
  </si>
  <si>
    <t>M201587186AL</t>
  </si>
  <si>
    <t>Q.23.2</t>
  </si>
  <si>
    <t>CI, MARKER, SIGN TYPE "B"</t>
  </si>
  <si>
    <t>M201587186AM</t>
  </si>
  <si>
    <t>Q.23.3</t>
  </si>
  <si>
    <t>CI, MARKER, SIGN TYPE "C"</t>
  </si>
  <si>
    <t>M201587186AN</t>
  </si>
  <si>
    <t>Q.23.4</t>
  </si>
  <si>
    <t>CI, MARKER, SIGN TYPE "D"</t>
  </si>
  <si>
    <t>M201587186AO</t>
  </si>
  <si>
    <t>Q.23.5</t>
  </si>
  <si>
    <t>CABLE MARKER(PLAQUE)</t>
  </si>
  <si>
    <t>M201587186BO</t>
  </si>
  <si>
    <t>Q.24</t>
  </si>
  <si>
    <t>WARNING TAPE (FOR INSTRUMENT CABLE)</t>
  </si>
  <si>
    <t>- YELLOW COLOR</t>
  </si>
  <si>
    <t>Q.24.1</t>
  </si>
  <si>
    <t>CI, DETECTABLE MARKER TAPE</t>
  </si>
  <si>
    <t>M201587186AP</t>
  </si>
  <si>
    <t>Q.24.2</t>
  </si>
  <si>
    <t>CI, NON-DETECTABLE MARKER TAPE</t>
  </si>
  <si>
    <t>M201587186AQ</t>
  </si>
  <si>
    <t>Q.25</t>
  </si>
  <si>
    <t>ELECTRONINC MARKER SYSTEM (FOR TELECOM CABLE)</t>
  </si>
  <si>
    <t>Q.25.1</t>
  </si>
  <si>
    <t>ELECTRONINC MARKER SYSTEM</t>
  </si>
  <si>
    <t xml:space="preserve"> (for Telecom)</t>
  </si>
  <si>
    <t>M201587186AS</t>
  </si>
  <si>
    <t>Tag No</t>
  </si>
  <si>
    <t>Material Master</t>
  </si>
  <si>
    <t>Height</t>
  </si>
  <si>
    <t>S</t>
  </si>
  <si>
    <t>Telecommunication and Security</t>
  </si>
  <si>
    <t>S.1</t>
  </si>
  <si>
    <t>TELECOM SYSTMEM (IT)</t>
  </si>
  <si>
    <t>S.1.1</t>
  </si>
  <si>
    <t xml:space="preserve">Data Network System </t>
  </si>
  <si>
    <t>S.1.1.1</t>
  </si>
  <si>
    <t>Data Network System Rack</t>
  </si>
  <si>
    <t>S.1.1.1.1</t>
  </si>
  <si>
    <t>Data Network System Oepn Rack</t>
  </si>
  <si>
    <t>19" Open Frame Rack (42U)</t>
  </si>
  <si>
    <t>FI31CC00ZZ-0000001</t>
  </si>
  <si>
    <t>BOTB-PKG2-MR-TE-0001</t>
  </si>
  <si>
    <t>SETS</t>
  </si>
  <si>
    <t>S.1.1.1.2</t>
  </si>
  <si>
    <t>Data Network System Wall Mount Rack</t>
  </si>
  <si>
    <t>19" Swing Gate Wall Mount Rack (14U): CUBE-IT</t>
  </si>
  <si>
    <t>FI31CB00ZZ-0000001</t>
  </si>
  <si>
    <t>S.1.1.1.3</t>
  </si>
  <si>
    <t>Data Network System Ethernet Switch</t>
  </si>
  <si>
    <t>Layer 2 (Layer 3 compatible) LAN Access Switches (with PoE+ capability)</t>
  </si>
  <si>
    <t>S.1.1.1.3.1</t>
  </si>
  <si>
    <t>Data Network System 24 port Ethernet Switch</t>
  </si>
  <si>
    <t>24 port Ethernet Switch</t>
  </si>
  <si>
    <t>FI31CE03ZZ-0000001</t>
  </si>
  <si>
    <t>S.1.1.1.3.2</t>
  </si>
  <si>
    <t>Data Network System 48 port Modular type Ethernet Switch</t>
  </si>
  <si>
    <t>48 port Modular type Ethernet Switch</t>
  </si>
  <si>
    <t>S.1.1.1.3.3</t>
  </si>
  <si>
    <t>Data Network System 48 port Ethernet Switch</t>
  </si>
  <si>
    <t>48 port Ethernet Switch</t>
  </si>
  <si>
    <t>S.1.1.1.3.4</t>
  </si>
  <si>
    <t>Data Network System 72 port Modular Ethernet Switch</t>
  </si>
  <si>
    <t>72 port Modular Ethernet Switch</t>
  </si>
  <si>
    <t>S.1.1.1.3.5</t>
  </si>
  <si>
    <t xml:space="preserve">Data Network System 144 port Modular type Ethernet switch </t>
  </si>
  <si>
    <t xml:space="preserve">108 port Modular type Ethernet switch </t>
  </si>
  <si>
    <t>S.1.1.1.4</t>
  </si>
  <si>
    <t>Data Network System SFP Transceiver for switch</t>
  </si>
  <si>
    <t>1G SFP LC LX SMF transciever for Aruba switch</t>
  </si>
  <si>
    <t>FI37HI00ZZ-0000001</t>
  </si>
  <si>
    <t>S.1.1.1.5</t>
  </si>
  <si>
    <t>Data Network System SFP+ Transceiver for switch</t>
  </si>
  <si>
    <t>10G SFP+ LC LR SMF transciever for Aruba switch</t>
  </si>
  <si>
    <t>S.1.1.1.6</t>
  </si>
  <si>
    <t>Data Network System SFP Transceiver for router</t>
  </si>
  <si>
    <t>1G SFP LC LX SMF transciever for Juniper PE router</t>
  </si>
  <si>
    <t>S.1.1.1.7</t>
  </si>
  <si>
    <t>Data Network System SFP+ Transceiver for router</t>
  </si>
  <si>
    <t>10G SFP+ LC LR SMF transciever for Juniper PE router</t>
  </si>
  <si>
    <t>S.1.1.1.8</t>
  </si>
  <si>
    <t>Data Network System Power Receptacles</t>
  </si>
  <si>
    <t>230VAC, 20A, duplex</t>
  </si>
  <si>
    <t>S.1.1.1.9</t>
  </si>
  <si>
    <t>Data Network System Fiber Optic Patch Panel</t>
  </si>
  <si>
    <t>S.1.1.1.9.1</t>
  </si>
  <si>
    <t>Data Network System 24 Port Fiber Optic Patch Panel</t>
  </si>
  <si>
    <t>24 Port Fiber Optic Patch Panel</t>
  </si>
  <si>
    <t>FI37HB02ZZ-0000001</t>
  </si>
  <si>
    <t>S.1.1.1.9.2</t>
  </si>
  <si>
    <t>Data Network System 48 Port Fiber Optic Patch Panel</t>
  </si>
  <si>
    <t>48 Port Fiber Optic Patch Panel</t>
  </si>
  <si>
    <t>S.1.1.1.9.3</t>
  </si>
  <si>
    <t>Data Network System 144 Port Fiber Optic Patch Panel</t>
  </si>
  <si>
    <t>144 Port Fiber Optic Patch Panel</t>
  </si>
  <si>
    <t>S.1.1.1.9.4</t>
  </si>
  <si>
    <t>Data Network System 12 Port Fiber Optic Patch Panel</t>
  </si>
  <si>
    <t>12 Port Fiber Optic Patch Panel</t>
  </si>
  <si>
    <t>S.1.1.1.9.5</t>
  </si>
  <si>
    <t>Data Network System 6 Port Fiber Optic Patch Panel</t>
  </si>
  <si>
    <t>6 Port Fiber Optic Patch Panel</t>
  </si>
  <si>
    <t>S.1.1.1.9.6</t>
  </si>
  <si>
    <t>Data Network System 96 Port Fiber Optic Patch Panel</t>
  </si>
  <si>
    <t>96 Port Fiber Optic Patch Panel</t>
  </si>
  <si>
    <t>S.1.1.1.10</t>
  </si>
  <si>
    <t>Data Network System UTP Patch Panel</t>
  </si>
  <si>
    <t>including Front RJ45 'Snap-in' type connectors with clear plastic indetification labels</t>
  </si>
  <si>
    <t>S.1.1.1.10.1</t>
  </si>
  <si>
    <t>Data Network System 24 Port UTP Patch panel</t>
  </si>
  <si>
    <t>24 Port UTP Patch panel, Cat6A</t>
  </si>
  <si>
    <t>S.1.1.1.10.2</t>
  </si>
  <si>
    <t>Data Network System 48 Port UTP Patch panel</t>
  </si>
  <si>
    <t>48 Port UTP Patch panel, Cat6A</t>
  </si>
  <si>
    <t>S.1.1.1.10.3</t>
  </si>
  <si>
    <t>Data Network System 72 Port UTP Patch panel</t>
  </si>
  <si>
    <t>72 Port UTP Patch panel, Cat6A</t>
  </si>
  <si>
    <t>S.1.1.2</t>
  </si>
  <si>
    <t>Data Network System Uninterruptible Power Supply(UPS)</t>
  </si>
  <si>
    <t>Rack mountable type with a minimum of 2 hours UPS autonomy</t>
  </si>
  <si>
    <t>S.1.1.2.1</t>
  </si>
  <si>
    <t>Data Network System Rack mountable ATS (Auotomatic Tranfer Switch)</t>
  </si>
  <si>
    <t>ATS</t>
  </si>
  <si>
    <t>FU81ZZ00ZZ-0000001</t>
  </si>
  <si>
    <t>S.1.1.2.2</t>
  </si>
  <si>
    <t>Data Network System 3kVA UPS</t>
  </si>
  <si>
    <t>3kVA UPS</t>
  </si>
  <si>
    <t>S.1.1.2.3</t>
  </si>
  <si>
    <t>Data Network System 5kVA UPS</t>
  </si>
  <si>
    <r>
      <rPr>
        <b/>
        <sz val="9"/>
        <color rgb="FFFF0000"/>
        <rFont val="맑은 고딕"/>
      </rPr>
      <t>3.5kVA</t>
    </r>
    <r>
      <rPr>
        <sz val="9"/>
        <color rgb="FF000000"/>
        <rFont val="맑은 고딕"/>
      </rPr>
      <t xml:space="preserve"> UPS</t>
    </r>
  </si>
  <si>
    <t>S.1.1.2.4</t>
  </si>
  <si>
    <t>Data Network System 8kVA UPS</t>
  </si>
  <si>
    <t>8kVA UPS</t>
  </si>
  <si>
    <t>S.1.1.2.5</t>
  </si>
  <si>
    <t>Data Network System 10kVA UPS</t>
  </si>
  <si>
    <t>10kVA UPS</t>
  </si>
  <si>
    <t>S.1.1.2.6</t>
  </si>
  <si>
    <t>Data Network System Battery Packs</t>
  </si>
  <si>
    <t>Battery Pack for 3kVA UPS</t>
  </si>
  <si>
    <t>S.1.1.2.7</t>
  </si>
  <si>
    <r>
      <rPr>
        <sz val="9"/>
        <color rgb="FF000000"/>
        <rFont val="맑은 고딕"/>
      </rPr>
      <t xml:space="preserve">Battery Pack for </t>
    </r>
    <r>
      <rPr>
        <b/>
        <sz val="9"/>
        <color rgb="FFFF0000"/>
        <rFont val="맑은 고딕"/>
      </rPr>
      <t>3.5kVA</t>
    </r>
    <r>
      <rPr>
        <sz val="9"/>
        <color rgb="FF000000"/>
        <rFont val="맑은 고딕"/>
      </rPr>
      <t xml:space="preserve"> UPS</t>
    </r>
  </si>
  <si>
    <t>S.1.1.2.8</t>
  </si>
  <si>
    <t>Battery Pack for 10kVA UPS</t>
  </si>
  <si>
    <t>S.1.1.3</t>
  </si>
  <si>
    <t>Data Network System Patch Cords</t>
  </si>
  <si>
    <t>S.1.1.3.1</t>
  </si>
  <si>
    <t>Data Network System UTP Patch cord (1.5m)</t>
  </si>
  <si>
    <t>UTP Patch cord (1.5m), Cat.6A</t>
  </si>
  <si>
    <t>FI37HC02ZZ-0000001</t>
  </si>
  <si>
    <t>S.1.1.3.2</t>
  </si>
  <si>
    <t>Data Network System Fiber Optic Patch cord (1.5m)</t>
  </si>
  <si>
    <t>Fiber Optic Patch cord (1.5m)</t>
  </si>
  <si>
    <t>FI37HC01ZZ-0000001</t>
  </si>
  <si>
    <t>S.1.1.3.3</t>
  </si>
  <si>
    <t>Data Network System Fiber Optic Patch cord (15m)</t>
  </si>
  <si>
    <t>Fiber Optic Patch cord (15m)</t>
  </si>
  <si>
    <t>S.1.1.4</t>
  </si>
  <si>
    <t xml:space="preserve">Data Network System Telecom enclosure with switch </t>
  </si>
  <si>
    <t>for PSA FOC Splice</t>
  </si>
  <si>
    <t>S.1.1.4.1</t>
  </si>
  <si>
    <t xml:space="preserve">Data Network System Ethernet switch </t>
  </si>
  <si>
    <t>Ethernet Switch (24 port) if any</t>
  </si>
  <si>
    <t>FI31CE01ZZ-0000001</t>
  </si>
  <si>
    <t>S.1.1.4.2</t>
  </si>
  <si>
    <t>Data Network System SFP Transceiver</t>
  </si>
  <si>
    <t>S.1.1.4.3</t>
  </si>
  <si>
    <t>Data Network System Fiber Optic Patch Panel (DIN, 4port)</t>
  </si>
  <si>
    <t>Fiber Optic Patch Panel (Rac Mount, 12port)</t>
  </si>
  <si>
    <t>S.1.1.4.4</t>
  </si>
  <si>
    <t>Fiber Optic Patch Panel (Rac Mount, 24port)</t>
  </si>
  <si>
    <t>S.1.1.4.5</t>
  </si>
  <si>
    <t>Data Network System Telecom enclosure</t>
  </si>
  <si>
    <t>Telecom enclosure Size: 1525h x 575w x 300d</t>
  </si>
  <si>
    <t>FI37HD00AB-0000001</t>
  </si>
  <si>
    <t>S.1.1.4.6</t>
  </si>
  <si>
    <t>Data Network System Cat.6 Surge Protector</t>
  </si>
  <si>
    <t>Cat.6 Surge Protecto (8port, DIN)</t>
  </si>
  <si>
    <t>S.1.1.4.7</t>
  </si>
  <si>
    <t>Thin Cabinet for Telecom</t>
  </si>
  <si>
    <t>S.1.2</t>
  </si>
  <si>
    <t>Telephone System</t>
  </si>
  <si>
    <t>S.1.2.1</t>
  </si>
  <si>
    <t>Telephone System Basic VOIP Telephone Handset</t>
  </si>
  <si>
    <t>Basic VOIP Telephone Handset</t>
  </si>
  <si>
    <t>FI33EF11ZZ-0000001</t>
  </si>
  <si>
    <t>S.1.2.2</t>
  </si>
  <si>
    <t>Telephone System Manager VOIP Telephone Handset</t>
  </si>
  <si>
    <t>Manager VOIP Telephone Handset</t>
  </si>
  <si>
    <t>FI33EF12ZZ-0000001</t>
  </si>
  <si>
    <t>S.1.2.3</t>
  </si>
  <si>
    <t>Telephone System Secretary IP Telephone handset</t>
  </si>
  <si>
    <t>Secretary IP Telephone handset</t>
  </si>
  <si>
    <t>S.1.2.4</t>
  </si>
  <si>
    <t>Telephone System Meeting Room IP Conference Telephone handsets</t>
  </si>
  <si>
    <t>Meeting Room IP Conference Telephone handsets</t>
  </si>
  <si>
    <t>FI33EF13ZZ-0000001</t>
  </si>
  <si>
    <t>S.1.2.5</t>
  </si>
  <si>
    <t>Telephone System VOIP Gateway</t>
  </si>
  <si>
    <t>For Analoge Telephone to IP</t>
  </si>
  <si>
    <t>FI33EI00AD-0000001</t>
  </si>
  <si>
    <t>S.1.2.6</t>
  </si>
  <si>
    <t>Telephone System Basic Wall Mount IP Telephone</t>
  </si>
  <si>
    <t>Weatherproof Type</t>
  </si>
  <si>
    <t>S.1.3</t>
  </si>
  <si>
    <t>pLTE Radio System</t>
  </si>
  <si>
    <t>S.1.3.1</t>
  </si>
  <si>
    <t>Indoor Radio Repeating System</t>
  </si>
  <si>
    <t>S.1.3.1.1</t>
  </si>
  <si>
    <t xml:space="preserve">Indoor Radio Repeating System Indoor Radio Repearter </t>
  </si>
  <si>
    <t>Small Cell / eNodeB</t>
  </si>
  <si>
    <t>FI36GG00ZZ-0000001</t>
  </si>
  <si>
    <t>S.1.3.1.2</t>
  </si>
  <si>
    <t>Indoor Radio Repeating System LTE Indoor antenna</t>
  </si>
  <si>
    <t>Repeating Antenna</t>
  </si>
  <si>
    <t>FI36GE11ZZ-0000001</t>
  </si>
  <si>
    <t>S.1.3.1.3</t>
  </si>
  <si>
    <t xml:space="preserve">Indoor Radio Repeating System Coaxial 2 Way Splitter </t>
  </si>
  <si>
    <t xml:space="preserve">Coaxial 2 Way Splitter </t>
  </si>
  <si>
    <t>S.1.3.1.4</t>
  </si>
  <si>
    <t>Indoor Radio Repeating System Coaxial Cable 1/2"</t>
  </si>
  <si>
    <t>Coaxial Cable 1/2"</t>
  </si>
  <si>
    <t>FI37HF00ZZ-0000001</t>
  </si>
  <si>
    <t>S.1.3.1.5</t>
  </si>
  <si>
    <t>Indoor Radio Repeating System Fiber Optic patch cord(15m)</t>
  </si>
  <si>
    <t>Fiber Optic Patch cord (SC/APC, 15m)</t>
  </si>
  <si>
    <t>S.1.3.1.6</t>
  </si>
  <si>
    <t>Indoor Radio Repeating System Fiber Optic patch cord(10m)</t>
  </si>
  <si>
    <t>Fiber Optic Patch cord (SC/APC, 10m)</t>
  </si>
  <si>
    <t>S.1.3.1.7</t>
  </si>
  <si>
    <t>Indoor Radio Repeating System Power cord(10m)</t>
  </si>
  <si>
    <t>Power cord (10m)</t>
  </si>
  <si>
    <t>FI37HG02ZZ-0000001</t>
  </si>
  <si>
    <t>S.1.3.1.8</t>
  </si>
  <si>
    <t>Indoor Radio Repeating System DC Block</t>
  </si>
  <si>
    <t>DC Block</t>
  </si>
  <si>
    <t>S.1.3.1.9</t>
  </si>
  <si>
    <t>Indoor Radio Repeating System Attenuator</t>
  </si>
  <si>
    <t>10dB Attenuator</t>
  </si>
  <si>
    <t>S.1.3.1.9.2</t>
  </si>
  <si>
    <t>3dB Attenuator</t>
  </si>
  <si>
    <t>S.1.3.1.9.3</t>
  </si>
  <si>
    <t>6dB Attenuator</t>
  </si>
  <si>
    <t>S.1.3.1.10</t>
  </si>
  <si>
    <t xml:space="preserve">Indoor Radio Repeating System SFP Transceiver </t>
  </si>
  <si>
    <t xml:space="preserve">SFP Transceiver </t>
  </si>
  <si>
    <t>S.1.3.1.11</t>
  </si>
  <si>
    <t>12 SC/APC Simpled Splicing Casette</t>
  </si>
  <si>
    <t>S.1.3.1.12</t>
  </si>
  <si>
    <t>Accessorfies for Indoor Repater System</t>
  </si>
  <si>
    <t>272 NM, 42 NF, 21 DM Connectors and 72 Mounting Plates</t>
  </si>
  <si>
    <t>Lot</t>
  </si>
  <si>
    <t>S.1.3.1.13</t>
  </si>
  <si>
    <t>Indoor Radio Repeating System 6dB Tapper</t>
  </si>
  <si>
    <t>6dB Tapper</t>
  </si>
  <si>
    <t>S.1.3.1.14</t>
  </si>
  <si>
    <t>Indoor Radio Repeating System 8dB Tapper</t>
  </si>
  <si>
    <t>8dB Tapper</t>
  </si>
  <si>
    <t>S.1.3.1.15</t>
  </si>
  <si>
    <t>Indoor Radio Repeating System 10dB Tapper</t>
  </si>
  <si>
    <t>10dB Tapper</t>
  </si>
  <si>
    <t>S.1.3.1.16</t>
  </si>
  <si>
    <t>Indoor Radio Repeating System 15dB Tapper</t>
  </si>
  <si>
    <t>15dB Tapper</t>
  </si>
  <si>
    <t>S.1.3.2</t>
  </si>
  <si>
    <t>Portable Radio System</t>
  </si>
  <si>
    <t>S.1.3.2.1</t>
  </si>
  <si>
    <t>Portable Radio System Handheld Portable Radio</t>
  </si>
  <si>
    <t>Handheld Portable Radio</t>
  </si>
  <si>
    <t>FI36GH00ZZ-0000001</t>
  </si>
  <si>
    <t>S.1.3.2.2</t>
  </si>
  <si>
    <t>Portable Radio System Vehicle Mounted Radio</t>
  </si>
  <si>
    <t>Vehicle Mounted Radio</t>
  </si>
  <si>
    <t>S.1.3.3</t>
  </si>
  <si>
    <t>Fixed Radio System</t>
  </si>
  <si>
    <t>S.1.3.3.1</t>
  </si>
  <si>
    <t xml:space="preserve">Fixed Radio System LTE Desk-top Terminal </t>
  </si>
  <si>
    <t>MCPTT-enabled</t>
  </si>
  <si>
    <t>FI36GM00ZZ-0000001</t>
  </si>
  <si>
    <t>S.1.3.3.2</t>
  </si>
  <si>
    <t>Fixed Radio System Radio Interface Unit</t>
  </si>
  <si>
    <t>MCPTT Client Software</t>
  </si>
  <si>
    <t>S.1.3.3.3</t>
  </si>
  <si>
    <t>Fixed Radio System RRU(Remote Radio Unit)</t>
  </si>
  <si>
    <t>Audio Interface Unit / USB Controller / Dispatch Console</t>
  </si>
  <si>
    <t>S.1.3.3.4</t>
  </si>
  <si>
    <t xml:space="preserve">Fixed Radio System Outdoor Antenna </t>
  </si>
  <si>
    <t>LTE Outdoor MIMO Antenna (2x2 / 4x4)</t>
  </si>
  <si>
    <t>S.1.3.3.5</t>
  </si>
  <si>
    <t xml:space="preserve">Fixed Radio System Pole for Outdoor Antenna </t>
  </si>
  <si>
    <t xml:space="preserve">Pole for Outdoor Antenna </t>
  </si>
  <si>
    <t>FI33EQ00ZZ-0000001</t>
  </si>
  <si>
    <t>S.1.3.3.6</t>
  </si>
  <si>
    <t>Fixed Radio System Surge Protector for Antenna</t>
  </si>
  <si>
    <t>Surge Protector for Antenna</t>
  </si>
  <si>
    <t>S.1.3.3.7</t>
  </si>
  <si>
    <t>Fixed Radio System 19" Open Frame Rack</t>
  </si>
  <si>
    <t>19" Open Frame Rack (if any)</t>
  </si>
  <si>
    <t>FI36GA00ZZ-0000001</t>
  </si>
  <si>
    <t>S.1.3.3.8</t>
  </si>
  <si>
    <t>Fixed Radio System Coaxial Cable 1/2"</t>
  </si>
  <si>
    <t>LMR400 / 1/2”</t>
  </si>
  <si>
    <t>S.1.3.3.9</t>
  </si>
  <si>
    <t>Fixed Radio System Surge Protector Grounding Bracket</t>
  </si>
  <si>
    <t>Grounding Kit (RF + Network)</t>
  </si>
  <si>
    <t>S.1.3.3.10</t>
  </si>
  <si>
    <t>Fixed Radio System Structured Cabling</t>
  </si>
  <si>
    <t>Cat6A UTP</t>
  </si>
  <si>
    <t>S.1.3.3.11</t>
  </si>
  <si>
    <t>Fixed Radio System 24port Ethernet switch</t>
  </si>
  <si>
    <t>L2/L3 Managed Switch (PoE optional)</t>
  </si>
  <si>
    <t>S.1.3.3.12</t>
  </si>
  <si>
    <t>Fixed Radio System Programming Kit</t>
  </si>
  <si>
    <t>Device Management SW / SIM Provisioning Tool</t>
  </si>
  <si>
    <t>S.1.4</t>
  </si>
  <si>
    <t xml:space="preserve">Wireless LAN(WLAN) System </t>
  </si>
  <si>
    <t>S.1.4.1</t>
  </si>
  <si>
    <t>Wireless LAN System Wireless Access Points</t>
  </si>
  <si>
    <t>Wireless Access Points</t>
  </si>
  <si>
    <t>FI33EE00ZZ-0000001</t>
  </si>
  <si>
    <t>S.1.4.2</t>
  </si>
  <si>
    <t>Wireless LAN System Explosion Proof Wireless Access Points</t>
  </si>
  <si>
    <t>Explosion Proof Wireless Access Points</t>
  </si>
  <si>
    <t>S.1.4.3</t>
  </si>
  <si>
    <t>Wireless LAN System Hi-POE Injector</t>
  </si>
  <si>
    <t>For explosion proof WLAN access points</t>
  </si>
  <si>
    <t>S.1.5</t>
  </si>
  <si>
    <t>Industrial Wi-Fi SYSTEM</t>
  </si>
  <si>
    <t>Wi-Fi 6 or above</t>
  </si>
  <si>
    <t>S.1.5.1</t>
  </si>
  <si>
    <t>Industrial Wi-Fi SYSTEM Industrial Wi-Fi access points</t>
  </si>
  <si>
    <t>Industrial Wi-Fi access points</t>
  </si>
  <si>
    <t>S.1.5.2</t>
  </si>
  <si>
    <t>Industrial Wi-Fi SYSTEM Explosion proof Industrial Wi-Fi access point</t>
  </si>
  <si>
    <t>Explosion proof Industrial Wi-Fi access point</t>
  </si>
  <si>
    <t>S.1.5.3</t>
  </si>
  <si>
    <t>Industrial Wi-Fi SYSTEM External Antenna for WIFI access point</t>
  </si>
  <si>
    <t>External Antenna for WIFI access point</t>
  </si>
  <si>
    <t>S.1.5.4</t>
  </si>
  <si>
    <t>Industrial Wi-Fi SYSTEM WIFI antenna extension cable</t>
  </si>
  <si>
    <t>WIFI antenna extension cable</t>
  </si>
  <si>
    <t>FI37HG01ZZ-0000001</t>
  </si>
  <si>
    <t>S.1.5.5</t>
  </si>
  <si>
    <t>Industrial Wi-Fi SYSTEM 2m Pole for Antenna for WIFI</t>
  </si>
  <si>
    <t>2m Pole for Antenna for WIFI</t>
  </si>
  <si>
    <t>S.1.5.6</t>
  </si>
  <si>
    <t>Industrial Wi-Fi SYSTEM 7m Pole for Antenna for WIFI</t>
  </si>
  <si>
    <t>6m Pole for Antenna for WIFI, ASCE-7-05, 155km/h</t>
  </si>
  <si>
    <t>S.1.5.6.1</t>
  </si>
  <si>
    <t>Industrial Wi-Fi SYSTEM 6m Pole for Explosion Antenna for WIFI</t>
  </si>
  <si>
    <t>S.1.5.7</t>
  </si>
  <si>
    <t>Industrial Wi-Fi SYSTEM Cat.6A surge protector</t>
  </si>
  <si>
    <t>Cat.6A surge protector</t>
  </si>
  <si>
    <t>S.1.5.8</t>
  </si>
  <si>
    <t>Industrial Wi-Fi SYSTEM Enclousure for Industrial Ethernet Switch</t>
  </si>
  <si>
    <t>S.1.5.8.1</t>
  </si>
  <si>
    <t>Industrial Wi-Fi SYSTEM Industrial Ethernet Switch (4 port)</t>
  </si>
  <si>
    <t>POE Injector (Normal Installation)</t>
  </si>
  <si>
    <t>S.1.5.8.2</t>
  </si>
  <si>
    <t>Industrial Wi-Fi SYSTEM Explosion proof Industrial Ethernet Switch (4 port)</t>
  </si>
  <si>
    <t>POE Injector (Hazard Area Installation)</t>
  </si>
  <si>
    <t>S.1.5.8.3</t>
  </si>
  <si>
    <t xml:space="preserve">Industrial Wi-Fi SYSTEM Enclousure </t>
  </si>
  <si>
    <t>Enclousure (400 x 400 x 100)</t>
  </si>
  <si>
    <t>S.1.5.8.4</t>
  </si>
  <si>
    <t xml:space="preserve">Industrial Wi-Fi SYSTEM Explosion proof Enclousure </t>
  </si>
  <si>
    <t>Explosion proof Enclousure (400 x 400 x 100)</t>
  </si>
  <si>
    <t>S.1.5.8.5</t>
  </si>
  <si>
    <t>Industrial Wi-Fi SYSTEM SFP Transceiver for switch</t>
  </si>
  <si>
    <t>S.1.5.8.6</t>
  </si>
  <si>
    <t>Industrial Wi-Fi SYSTEM Explosion proof SFP Transceiver for switch</t>
  </si>
  <si>
    <t>1G SFP LC LX SMF transciever for WIFI AP</t>
  </si>
  <si>
    <t>S.1.5.8.7</t>
  </si>
  <si>
    <t>Outdoor Rated FO Patch cord(5m)</t>
  </si>
  <si>
    <t>S.1.5.8.8</t>
  </si>
  <si>
    <t>Outdoor Rated UTP Patch cord(5m)</t>
  </si>
  <si>
    <t>S.1.6</t>
  </si>
  <si>
    <t>Structural Cabling System</t>
  </si>
  <si>
    <t>BOTB-PKG1-MR-TE-0001</t>
  </si>
  <si>
    <t>S.1.6.1</t>
  </si>
  <si>
    <t xml:space="preserve">Structural Cabling System LAN outlet </t>
  </si>
  <si>
    <t>S.1.6.1.1</t>
  </si>
  <si>
    <t>Structural Cabling System Three(3) port Cat.6A LAN outlet / Wall mount</t>
  </si>
  <si>
    <t>Three(3) port Cat.6A LAN outlet / Wall mount</t>
  </si>
  <si>
    <t>FI31CD02ZZ-0000001</t>
  </si>
  <si>
    <t>S.1.6.1.2</t>
  </si>
  <si>
    <t>Structural Cabling System Two(2) port Cat.6A LAN outlet / Wall mount</t>
  </si>
  <si>
    <t>Two(2) port Cat.6A LAN outlet / Wall mount</t>
  </si>
  <si>
    <t>FI31CD01ZZ-0000001</t>
  </si>
  <si>
    <t>S.1.6.1.3</t>
  </si>
  <si>
    <t xml:space="preserve">Structural Cabling System Floor Box with Two(2) port Cat.6A LAN outlet </t>
  </si>
  <si>
    <t xml:space="preserve">Floor Box with Two(2) port Cat.6A LAN outlet </t>
  </si>
  <si>
    <t>S.1.6.1.4</t>
  </si>
  <si>
    <t>Structural Cabling System Two(2) port Cat.6A LAN outlet / Ceiling mount</t>
  </si>
  <si>
    <t>Two(2) port Cat.6A LAN outlet / Ceiling mount</t>
  </si>
  <si>
    <t>S.1.6.1.5</t>
  </si>
  <si>
    <t>Structural Cabling System, Floor box with 2 receptacles</t>
  </si>
  <si>
    <t>with Floor Box</t>
  </si>
  <si>
    <t>TELECOM SYSTMEM (NON-IT)</t>
  </si>
  <si>
    <t>S.2</t>
  </si>
  <si>
    <t>In-Plant Voice Paging System (IVPS)</t>
  </si>
  <si>
    <t>S.2.1</t>
  </si>
  <si>
    <t>Paging System Main Cabinet</t>
  </si>
  <si>
    <t>Main Cabinet</t>
  </si>
  <si>
    <t>FI32DA00ZZ-0000001</t>
  </si>
  <si>
    <t>S.2.2</t>
  </si>
  <si>
    <t>Paging System Local Cabinet</t>
  </si>
  <si>
    <t>Local Cabinet</t>
  </si>
  <si>
    <t>FI32DB00ZZ-0000001</t>
  </si>
  <si>
    <t>S.2.3</t>
  </si>
  <si>
    <t>Paging System PAGA Workstation with accessories</t>
  </si>
  <si>
    <t>PAGA Workstation with accessories</t>
  </si>
  <si>
    <t>FI32DC00ZZ-0000001</t>
  </si>
  <si>
    <t>S.2.4</t>
  </si>
  <si>
    <t>Paging System Operator Access Panel</t>
  </si>
  <si>
    <t>Access Control Panel</t>
  </si>
  <si>
    <t>FI32DD00ZZ-0000001</t>
  </si>
  <si>
    <t>S.2.5</t>
  </si>
  <si>
    <t>Paging System Indoor Ceiling Speaker with Junction Box</t>
  </si>
  <si>
    <t>Indoor Ceiling Speaker</t>
  </si>
  <si>
    <t>FI32DE00ZZ-0000001</t>
  </si>
  <si>
    <t>S.2.6</t>
  </si>
  <si>
    <t>Paging System LoudSpeaker (Box type) with Junction Box</t>
  </si>
  <si>
    <t>LoudSpeaker (Box type)</t>
  </si>
  <si>
    <t>FI32DF00ZZ-0000001</t>
  </si>
  <si>
    <t>S.2.7</t>
  </si>
  <si>
    <t>Paging System Loudspeaker(Horn Type) with Junction Box</t>
  </si>
  <si>
    <t>General Purpose</t>
  </si>
  <si>
    <t>FI32DG00AA-0000001</t>
  </si>
  <si>
    <t>S.2.8</t>
  </si>
  <si>
    <t>Weather proof</t>
  </si>
  <si>
    <t>FI32DG00AB-0000001</t>
  </si>
  <si>
    <t>S.2.9</t>
  </si>
  <si>
    <t>Explosion Proof</t>
  </si>
  <si>
    <t>FI32DG00AD-0000001</t>
  </si>
  <si>
    <t>S.2.10</t>
  </si>
  <si>
    <t>Paging System Distribution Junction Box</t>
  </si>
  <si>
    <t>FI32DJ00AA-0000001</t>
  </si>
  <si>
    <t>S.2.11</t>
  </si>
  <si>
    <t>Weather proof ( Multi JB )</t>
  </si>
  <si>
    <t>FI32DJ00AB-0000001</t>
  </si>
  <si>
    <t>S.2.12</t>
  </si>
  <si>
    <t>Explosion Proof ( Multi JB )</t>
  </si>
  <si>
    <t>FI32DJ00AD-0000001</t>
  </si>
  <si>
    <t>S.2.14</t>
  </si>
  <si>
    <t>Paging System Intercom Station With Acoustic Booth</t>
  </si>
  <si>
    <t>Intercom Station With Acoustic Booth</t>
  </si>
  <si>
    <t>FI32DM00ZZ-0000001</t>
  </si>
  <si>
    <t>Intercom Station With Acoustic Booth (WP)</t>
  </si>
  <si>
    <t>S.2.15</t>
  </si>
  <si>
    <t>Paging System Flash Beacon</t>
  </si>
  <si>
    <t>FI32DN00AA-0000001</t>
  </si>
  <si>
    <t>S.2.13</t>
  </si>
  <si>
    <t>Paging System Intercom Station with Junction Box</t>
  </si>
  <si>
    <t>Intercom Station with amplifier</t>
  </si>
  <si>
    <t>FI32DL00ZZ-0000001</t>
  </si>
  <si>
    <t>S.2.16</t>
  </si>
  <si>
    <t>FI32DN00AB-0000001</t>
  </si>
  <si>
    <t>S.2.17</t>
  </si>
  <si>
    <t>Paging System Flash Beacon with Junction Box</t>
  </si>
  <si>
    <t>FI32DN00AD-0000001</t>
  </si>
  <si>
    <t>S.2.18</t>
  </si>
  <si>
    <t>Paging System Speaker Pole</t>
  </si>
  <si>
    <t>Speaker Pole up to 3m</t>
  </si>
  <si>
    <t>FI32DO00ZZ-0000001</t>
  </si>
  <si>
    <t>S.2.19</t>
  </si>
  <si>
    <r>
      <rPr>
        <sz val="9"/>
        <color rgb="FF000000"/>
        <rFont val="맑은 고딕"/>
      </rPr>
      <t xml:space="preserve">Speaker Pole 3m - 8m
</t>
    </r>
    <r>
      <rPr>
        <b/>
        <sz val="9"/>
        <color rgb="FFFF0000"/>
        <rFont val="맑은 고딕"/>
      </rPr>
      <t>Painting, and coating requirements:  12-SAMSS-007, SAES-H-001, and H-101V</t>
    </r>
  </si>
  <si>
    <t>S.2.20</t>
  </si>
  <si>
    <t>Speaker Pole 8m - 15m</t>
  </si>
  <si>
    <t>S.2.21</t>
  </si>
  <si>
    <t>Paging System Existing Interface software/license</t>
  </si>
  <si>
    <t>Existing Interface software/license</t>
  </si>
  <si>
    <t>FI32DP00ZZ-0000001</t>
  </si>
  <si>
    <t>S.2.22</t>
  </si>
  <si>
    <t>Paging Remote Amplifiers</t>
  </si>
  <si>
    <t>20W, 8ohms/16ohms Indoor</t>
  </si>
  <si>
    <t>S.2.23</t>
  </si>
  <si>
    <t>20W, 8ohms/16ohms Outdoor</t>
  </si>
  <si>
    <t>Paging Remote Amplifiers (Explosion proof)</t>
  </si>
  <si>
    <t>S.2.24</t>
  </si>
  <si>
    <t>Paging System Cables</t>
  </si>
  <si>
    <t>2C Unarmoured</t>
  </si>
  <si>
    <t>S.2.25</t>
  </si>
  <si>
    <t>16C Unarmoured</t>
  </si>
  <si>
    <t>S.2.26</t>
  </si>
  <si>
    <t>2C Armoured</t>
  </si>
  <si>
    <t>FI32DP00ZZ-0000002</t>
  </si>
  <si>
    <t>S.2.27</t>
  </si>
  <si>
    <t>16C Armoured</t>
  </si>
  <si>
    <t>FI32DP00ZZ-0000003</t>
  </si>
  <si>
    <t>S.3</t>
  </si>
  <si>
    <t>Emergency Siren System</t>
  </si>
  <si>
    <t>FZ75ZZ00ZZ-0000001</t>
  </si>
  <si>
    <t>S.3.1</t>
  </si>
  <si>
    <t>Siren System Cabinet</t>
  </si>
  <si>
    <t>19" Cabinet</t>
  </si>
  <si>
    <t>FZ76ZZ00ZZ-0000001</t>
  </si>
  <si>
    <t>S.3.2</t>
  </si>
  <si>
    <t>Siren System Operator Access Panel</t>
  </si>
  <si>
    <t>Operator Access Panel</t>
  </si>
  <si>
    <t>FZ77ZZ00ZZ-0000001</t>
  </si>
  <si>
    <t>S.3.3</t>
  </si>
  <si>
    <t>Omni-directional modularot high powered speaker array</t>
  </si>
  <si>
    <t>8 x 400W (3200W) Active Modules / 30 meters Siren Cable / Pole mount</t>
  </si>
  <si>
    <t>S.3.4</t>
  </si>
  <si>
    <t>Electronic Siren Controller Enclosure</t>
  </si>
  <si>
    <t>Stainless steel , NEMA 4X</t>
  </si>
  <si>
    <t>S.3.5</t>
  </si>
  <si>
    <t>Charger, Batteries and Battery Enclosure</t>
  </si>
  <si>
    <r>
      <rPr>
        <sz val="9"/>
        <color rgb="FF000000"/>
        <rFont val="맑은 고딕"/>
      </rPr>
      <t xml:space="preserve">Stainless steel , NEMA 4X
</t>
    </r>
    <r>
      <rPr>
        <b/>
        <sz val="9"/>
        <color rgb="FFFF0000"/>
        <rFont val="맑은 고딕"/>
      </rPr>
      <t>Battery &amp; Battery Enclsure meets: SAES-T-151, SAES-P-103, 17-SAMSS-511, and IOGP S-740</t>
    </r>
  </si>
  <si>
    <t>S.3.6</t>
  </si>
  <si>
    <t>Flahing Beacon</t>
  </si>
  <si>
    <t>Orange color</t>
  </si>
  <si>
    <t>S.3.7</t>
  </si>
  <si>
    <t>Green color</t>
  </si>
  <si>
    <t>S.3.8</t>
  </si>
  <si>
    <t>Siren Tower</t>
  </si>
  <si>
    <r>
      <rPr>
        <sz val="9"/>
        <color rgb="FF000000"/>
        <rFont val="맑은 고딕"/>
      </rPr>
      <t xml:space="preserve">Height : 20M / Self-supporting, Ligtning protection, Maintenace Platform with ladders, Earthing and bonding
</t>
    </r>
    <r>
      <rPr>
        <b/>
        <sz val="9"/>
        <color rgb="FFFF0000"/>
        <rFont val="맑은 고딕"/>
      </rPr>
      <t>Painting, and coating requirements:  12-SAMSS-007, SAES-H-001, and H-101V</t>
    </r>
  </si>
  <si>
    <t>S.3.9</t>
  </si>
  <si>
    <t>Siren System Pole</t>
  </si>
  <si>
    <t>Pole</t>
  </si>
  <si>
    <t>FZ78ZZ00ZZ-0000001</t>
  </si>
  <si>
    <t>S.3.10</t>
  </si>
  <si>
    <t>Workstation w/monitor</t>
  </si>
  <si>
    <t>S.5</t>
  </si>
  <si>
    <t>Communication System Others Telecom &amp; Security System</t>
  </si>
  <si>
    <t>S.5.1</t>
  </si>
  <si>
    <t>Communication System Others Telecom &amp; Security System UPS - Cabinet Type</t>
  </si>
  <si>
    <t>Telecom &amp; Security System UPS - Cabinet Type</t>
  </si>
  <si>
    <t>FI37HA00ZZ-0000001</t>
  </si>
  <si>
    <t>S.5.2</t>
  </si>
  <si>
    <t>Communication System Others Patch panel</t>
  </si>
  <si>
    <t>Patch panel for FIBER OPTIC</t>
  </si>
  <si>
    <t>FI37HB01ZZ-0000001</t>
  </si>
  <si>
    <t>S.5.3</t>
  </si>
  <si>
    <t>Patch panel for UTP</t>
  </si>
  <si>
    <t>S.5.4</t>
  </si>
  <si>
    <t>Communication System Others Patch cord</t>
  </si>
  <si>
    <t>Patch cord for Fiber OPTIC</t>
  </si>
  <si>
    <t>S.5.5</t>
  </si>
  <si>
    <t>Patch cord FOR UTP</t>
  </si>
  <si>
    <t>S.5.6</t>
  </si>
  <si>
    <t>Communication System Others Junction Box</t>
  </si>
  <si>
    <t>Junction Box</t>
  </si>
  <si>
    <t>FI37HD00AA-0000001</t>
  </si>
  <si>
    <t>S.5.7</t>
  </si>
  <si>
    <t>Junction Box (400 x 400 x 100 )</t>
  </si>
  <si>
    <t>S.5.8</t>
  </si>
  <si>
    <t>Communication System Others Explosion proof junction Box</t>
  </si>
  <si>
    <t>Explosion proof junction Box</t>
  </si>
  <si>
    <t>FI37HD00AD-0000001</t>
  </si>
  <si>
    <t>S.5.9</t>
  </si>
  <si>
    <t>Communication System Others Printer</t>
  </si>
  <si>
    <t>FAX</t>
  </si>
  <si>
    <t>FI37HE00ZZ-0000001</t>
  </si>
  <si>
    <t>S.5.10</t>
  </si>
  <si>
    <t>Printer</t>
  </si>
  <si>
    <t>S.5.11</t>
  </si>
  <si>
    <t>Communication System Others Coax Cable</t>
  </si>
  <si>
    <t>Coax Cable 1/2"</t>
  </si>
  <si>
    <t>S.5.12</t>
  </si>
  <si>
    <t>Coax Cable 7/8"</t>
  </si>
  <si>
    <t>S.5.13</t>
  </si>
  <si>
    <t>Communication System Others Special Cable (Vendor Supply)</t>
  </si>
  <si>
    <t>Special Cable, Wifi Antenna extension (Vendor Supply)</t>
  </si>
  <si>
    <t>S.5.14</t>
  </si>
  <si>
    <t>Special Cable, Pwer Cord (Vendor Supply)</t>
  </si>
  <si>
    <t>S.5.15</t>
  </si>
  <si>
    <t>Communication System Others PEDESTAL</t>
  </si>
  <si>
    <t>PEDESTAL</t>
  </si>
  <si>
    <t>FI37HH00ZZ-0000001</t>
  </si>
  <si>
    <t>S.5.16</t>
  </si>
  <si>
    <t>Communication System Others Miscellaneous</t>
  </si>
  <si>
    <t>Miscellaneous</t>
  </si>
  <si>
    <t>S.6</t>
  </si>
  <si>
    <t>IT-ACS</t>
  </si>
  <si>
    <t>S.6.1</t>
  </si>
  <si>
    <t>ACS Controller</t>
  </si>
  <si>
    <t>No.</t>
  </si>
  <si>
    <t>S.6.2</t>
  </si>
  <si>
    <t>Power Supply</t>
  </si>
  <si>
    <t>S.6.3</t>
  </si>
  <si>
    <t>Door Contact</t>
  </si>
  <si>
    <t>S.6.4</t>
  </si>
  <si>
    <t>Electromagnetic Lock</t>
  </si>
  <si>
    <t>S.6.5</t>
  </si>
  <si>
    <t>Card Reader with Keypad</t>
  </si>
  <si>
    <t>S.6.6</t>
  </si>
  <si>
    <t>Request to Exit Button</t>
  </si>
  <si>
    <t>S.6.7</t>
  </si>
  <si>
    <t>Emergency Break Glass</t>
  </si>
  <si>
    <t>S.6.8</t>
  </si>
  <si>
    <t>Indoor Dome Camera</t>
  </si>
  <si>
    <t>S.6.9</t>
  </si>
  <si>
    <t>IT-ACS Server Upgrade and Licensing (Existing)</t>
  </si>
  <si>
    <t>S.7</t>
  </si>
  <si>
    <t>Intrusion Detection System for Category 1 Fence</t>
  </si>
  <si>
    <t>S.7.1</t>
  </si>
  <si>
    <t xml:space="preserve">IDAS Fixed CCTV Camera with JB and accessories </t>
  </si>
  <si>
    <t>Fixed Camera with Bracket including license</t>
  </si>
  <si>
    <t>FF18ZZ00AB-0000001</t>
  </si>
  <si>
    <t>S.7.2</t>
  </si>
  <si>
    <t xml:space="preserve">IDAS PTZ CCTV Camera with JB and accessories </t>
  </si>
  <si>
    <t>PTZ Camera with JB, Bracket including license</t>
  </si>
  <si>
    <t>FF19ZZ00AB-0000001</t>
  </si>
  <si>
    <t>S.7.3</t>
  </si>
  <si>
    <t>IDAS Video Analytic Camera with JB and accessories - including license</t>
  </si>
  <si>
    <t>Video Analytic Camera with Bracket including license</t>
  </si>
  <si>
    <t>S.7.4</t>
  </si>
  <si>
    <t>IDAS Camera Pole for fixed camera</t>
  </si>
  <si>
    <t>Camera Pole 5m</t>
  </si>
  <si>
    <t>FF22ZZ00ZZ-0000001</t>
  </si>
  <si>
    <t>5</t>
  </si>
  <si>
    <t>S.7.5</t>
  </si>
  <si>
    <t>IDAS Camera Pole for PTZ camera</t>
  </si>
  <si>
    <t>Camera Pole 7m</t>
  </si>
  <si>
    <t>7</t>
  </si>
  <si>
    <t>S.7.6</t>
  </si>
  <si>
    <t>IDAS MIDS SENSOR</t>
  </si>
  <si>
    <t>Micro wave Transmitter with bracket</t>
  </si>
  <si>
    <t>FR22BC00ZZ-0000001</t>
  </si>
  <si>
    <t>S.7.7</t>
  </si>
  <si>
    <t>Micro wave Receiver with bracket</t>
  </si>
  <si>
    <t>S.7.8</t>
  </si>
  <si>
    <t>Micro wave Tranceiver with bracket</t>
  </si>
  <si>
    <t>S.7.9</t>
  </si>
  <si>
    <t xml:space="preserve">IDAS FOSS </t>
  </si>
  <si>
    <t>Fiber Optic Fence Sensor Cable</t>
  </si>
  <si>
    <t>FR22BD00ZZ-0000001</t>
  </si>
  <si>
    <t>S.7.10</t>
  </si>
  <si>
    <t>Fiber Break-out Box including all component</t>
  </si>
  <si>
    <t>FR21AC00ZZ-0000001</t>
  </si>
  <si>
    <t>S.7.11</t>
  </si>
  <si>
    <t>IDAS OTHERS</t>
  </si>
  <si>
    <t>Magnetic Bodning Sensor</t>
  </si>
  <si>
    <t>S.7.12</t>
  </si>
  <si>
    <t>Field Equipment Cabinet including switich, APU, I/O Module, etc…and related all component.</t>
  </si>
  <si>
    <t>FR22BE00ZZ-0000001</t>
  </si>
  <si>
    <t>S.7.13</t>
  </si>
  <si>
    <t>S.7.14</t>
  </si>
  <si>
    <t>IDAS Camera Pole for MIDS</t>
  </si>
  <si>
    <t>MIDS Pole 1.2m</t>
  </si>
  <si>
    <t>1.2</t>
  </si>
  <si>
    <t>S.7.15</t>
  </si>
  <si>
    <t xml:space="preserve">Steel Structure Support for Field Equipment Cabinet </t>
  </si>
  <si>
    <t>Steel support 1.2m x 0.8m</t>
  </si>
  <si>
    <t>S.7.16</t>
  </si>
  <si>
    <t>Security System Intrusion Detection System Main Cabinet</t>
  </si>
  <si>
    <t>Server and FOPP 42U RACK</t>
  </si>
  <si>
    <t>FR22BA00ZZ-0000001</t>
  </si>
  <si>
    <t>S.7.17</t>
  </si>
  <si>
    <t>Secrutiy System Optiped for IDAS FOC Connetion</t>
  </si>
  <si>
    <t>Optiped with Splicing Tray and Kit</t>
  </si>
  <si>
    <t>S.8</t>
  </si>
  <si>
    <t>Security CCTV &amp; ACS System</t>
  </si>
  <si>
    <t>S.8.1</t>
  </si>
  <si>
    <t>Security ACS Main Cabinet with ACS Controller</t>
  </si>
  <si>
    <t>42U ACS/CCTV Enclosure including switch and all related component (ACS Controller, 2 x Reader Interface Module, 2 x Ethernet Switch (POE), 2 x UTP Patch Panel, PSU, PDU, I/O Modules, RS-485 Cable)</t>
  </si>
  <si>
    <t>FF13ZZ00ZZ-0000001</t>
  </si>
  <si>
    <t>S.8.2</t>
  </si>
  <si>
    <t>Security ACS  24 Port Fiber Optic Patch Panel</t>
  </si>
  <si>
    <t>S.8.3</t>
  </si>
  <si>
    <t>Security CCTV &amp; ACS Outdoor CCTV Cabinet -</t>
  </si>
  <si>
    <t>Field Equipment Cabinets w/ Industrial Ethernet Switch (IES) with Power over Ethernet (POE), (I/O) Module, PSU, FOPP,CB, Tamper Switch</t>
  </si>
  <si>
    <t>S.8.4</t>
  </si>
  <si>
    <t>Security CCTV Indoor Fixed CCTV Camera -</t>
  </si>
  <si>
    <t>Indoor Fixed CCTV Camera with Ceilling mount bracket and license</t>
  </si>
  <si>
    <t>FF16ZZ00ZZ-0000001</t>
  </si>
  <si>
    <t>S.8.5</t>
  </si>
  <si>
    <t>Security CCTV Fixed CCTV Camera with JB and accessories -</t>
  </si>
  <si>
    <t>Outdoor Fixed CCTV Camera with wall mount bracket with license</t>
  </si>
  <si>
    <t>S.8.6</t>
  </si>
  <si>
    <t>Security ACS Proximity Card Reader</t>
  </si>
  <si>
    <t>Proximity Card Reader</t>
  </si>
  <si>
    <t>FR21AE00ZZ-0000001</t>
  </si>
  <si>
    <t>S.8.7</t>
  </si>
  <si>
    <t>Security ACS Electrical Magnetic Lock</t>
  </si>
  <si>
    <t>Electrical Magnetic Lock</t>
  </si>
  <si>
    <t>FR21AH00ZZ-0000001</t>
  </si>
  <si>
    <t>S.8.8</t>
  </si>
  <si>
    <t>Security ACS Door Contract</t>
  </si>
  <si>
    <t>Door Contract</t>
  </si>
  <si>
    <t>FR21AI00ZZ-0000001</t>
  </si>
  <si>
    <t>S.8.9</t>
  </si>
  <si>
    <t>Security ACS Push Button</t>
  </si>
  <si>
    <t>Push Button</t>
  </si>
  <si>
    <t>FR21AJ00ZZ-0000001</t>
  </si>
  <si>
    <t>S.8.10</t>
  </si>
  <si>
    <t>Security ACS Break Glass Unit</t>
  </si>
  <si>
    <t>Break Glass Unit</t>
  </si>
  <si>
    <t>FR21AK00ZZ-0000001</t>
  </si>
  <si>
    <t>S.8.11</t>
  </si>
  <si>
    <t>Security Alarm Siren</t>
  </si>
  <si>
    <t>S.8.12</t>
  </si>
  <si>
    <t>Key Switch-Emergency</t>
  </si>
  <si>
    <t>S.8.13</t>
  </si>
  <si>
    <t>Security CCTV &amp; ACS Surge protector</t>
  </si>
  <si>
    <t>Enclosure with Cat.6 surge protector</t>
  </si>
  <si>
    <t>S.8.14</t>
  </si>
  <si>
    <t>Tilted pole for Security CCTV</t>
  </si>
  <si>
    <t>5m, Hot-dip galvanized steel</t>
  </si>
  <si>
    <t>S.8.15</t>
  </si>
  <si>
    <t>7m, Hot-dip galvanized steel</t>
  </si>
  <si>
    <t>S.8.16</t>
  </si>
  <si>
    <t>CCTV Fixed CCTV Camera with JB and accessories</t>
  </si>
  <si>
    <t>S.8.17</t>
  </si>
  <si>
    <t>CCTV PTZ CCTV Camera with JB and accessories</t>
  </si>
  <si>
    <t>S.8.18</t>
  </si>
  <si>
    <t>Magnetic Sensor (MBS)</t>
  </si>
  <si>
    <t>S.8.19</t>
  </si>
  <si>
    <t>Security ACS Local Enclosure with Controller</t>
  </si>
  <si>
    <t>Security ACS Local Door Controller (1 Door Capacity)</t>
  </si>
  <si>
    <t>S.10</t>
  </si>
  <si>
    <t>Process CCTV System</t>
  </si>
  <si>
    <t>S.10.1</t>
  </si>
  <si>
    <t>CCTV Main Cabinet</t>
  </si>
  <si>
    <t>FF11ZZ00ZZ-0000001</t>
  </si>
  <si>
    <t>S.10.2</t>
  </si>
  <si>
    <t>CCTV Local Cabinet</t>
  </si>
  <si>
    <t>Local Control Unit with Junction Box</t>
  </si>
  <si>
    <t>FF12ZZ00ZZ-0000001</t>
  </si>
  <si>
    <t>S.10.3</t>
  </si>
  <si>
    <t>CCTV Outdoor CCTV Cabinet</t>
  </si>
  <si>
    <t>Outdoor CCTV Cabinet</t>
  </si>
  <si>
    <t>S.10.4</t>
  </si>
  <si>
    <t>CCTV CCTV Workstation with accessories</t>
  </si>
  <si>
    <t>CCTV Workstation with accessories</t>
  </si>
  <si>
    <t>FF14ZZ00ZZ-0000001</t>
  </si>
  <si>
    <t>S.10.5</t>
  </si>
  <si>
    <t>CCTV CCTV Wall Screen Monitor</t>
  </si>
  <si>
    <r>
      <rPr>
        <sz val="9"/>
        <color rgb="FF000000"/>
        <rFont val="맑은 고딕"/>
      </rPr>
      <t xml:space="preserve">CCTV Wall Screen Monitor </t>
    </r>
    <r>
      <rPr>
        <b/>
        <sz val="9"/>
        <color rgb="FFFF0000"/>
        <rFont val="맑은 고딕"/>
      </rPr>
      <t>50</t>
    </r>
    <r>
      <rPr>
        <sz val="9"/>
        <color rgb="FF000000"/>
        <rFont val="맑은 고딕"/>
      </rPr>
      <t>"</t>
    </r>
  </si>
  <si>
    <t>FF15ZZ00ZZ-0000001</t>
  </si>
  <si>
    <t>S.10.6</t>
  </si>
  <si>
    <t>CCTV Wall Screen Monitor 75"</t>
  </si>
  <si>
    <t>S.10.7</t>
  </si>
  <si>
    <t>CCTV Indoor Fixed CCTV Camera</t>
  </si>
  <si>
    <t>Indoor Fixed CCTV Camera</t>
  </si>
  <si>
    <t>S.10.8</t>
  </si>
  <si>
    <t>CCTV Indoor PTZ CCTV Camera</t>
  </si>
  <si>
    <t>Indoor PTZ CCTV Camera</t>
  </si>
  <si>
    <t>FF17ZZ00ZZ-0000001</t>
  </si>
  <si>
    <t>S.10.9</t>
  </si>
  <si>
    <t>S.10.10</t>
  </si>
  <si>
    <t>FF18ZZ00AD-0000001</t>
  </si>
  <si>
    <t>S.10.11</t>
  </si>
  <si>
    <t>S.10.12</t>
  </si>
  <si>
    <t>FF19ZZ00AD-0000001</t>
  </si>
  <si>
    <t>S.10.13</t>
  </si>
  <si>
    <t>CCTV CCTV Camera Pole</t>
  </si>
  <si>
    <t>IDAS Pole up to 3m</t>
  </si>
  <si>
    <t>S.10.14</t>
  </si>
  <si>
    <r>
      <rPr>
        <sz val="9"/>
        <color rgb="FF000000"/>
        <rFont val="맑은 고딕"/>
      </rPr>
      <t xml:space="preserve">CCTV Camera Pole 3m to 8m
</t>
    </r>
    <r>
      <rPr>
        <b/>
        <sz val="9"/>
        <color rgb="FFFF0000"/>
        <rFont val="맑은 고딕"/>
      </rPr>
      <t>Painting, and coating requirements:  12-SAMSS-007, SAES-H-001, and H-101V</t>
    </r>
  </si>
  <si>
    <t>S.10.15</t>
  </si>
  <si>
    <t>CCTV Existing Interface software/license</t>
  </si>
  <si>
    <t>FF23ZZ00ZZ-0000001</t>
  </si>
  <si>
    <t>S.10.16</t>
  </si>
  <si>
    <t>CCTV Server</t>
  </si>
  <si>
    <t>Server</t>
  </si>
  <si>
    <t>FF24ZZ00ZZ-0000001</t>
  </si>
  <si>
    <t>Generator Circuit Breaker (GCB) SF6 Type GCB</t>
  </si>
  <si>
    <t>SF6 Type GCB</t>
  </si>
  <si>
    <t>FG10ZZ00ZZ-0000001</t>
  </si>
  <si>
    <t>S.10.17</t>
  </si>
  <si>
    <t>Generator Circuit Breaker (GCB) Vacuum Type GCB</t>
  </si>
  <si>
    <t>Vacuum Type GCB</t>
  </si>
  <si>
    <t>FG11ZZ00ZZ-0000001</t>
  </si>
  <si>
    <t>Motion Sensor - Ceiling Type</t>
  </si>
  <si>
    <t>Ceiling Type</t>
  </si>
  <si>
    <t>FH00IA00ZZ-0000001</t>
  </si>
  <si>
    <t>S.10.18</t>
  </si>
  <si>
    <t>Motion Sensor - Wall Mounting Type</t>
  </si>
  <si>
    <t>Wall Mounting Type</t>
  </si>
  <si>
    <t>FH00IB00ZZ-0000001</t>
  </si>
  <si>
    <t>S.10.19</t>
  </si>
  <si>
    <t>Thermal IR Camera with JB and accessories for Flare stack monitoring</t>
  </si>
  <si>
    <t>S.10.20</t>
  </si>
  <si>
    <t>Composite cable</t>
  </si>
  <si>
    <t>Between JB to Camera</t>
  </si>
  <si>
    <t>S.10.21</t>
  </si>
  <si>
    <t>S.11</t>
  </si>
  <si>
    <t>Process Access Control System</t>
  </si>
  <si>
    <t>S.11.1</t>
  </si>
  <si>
    <t>Access Control System Main Cabinet</t>
  </si>
  <si>
    <t>91</t>
  </si>
  <si>
    <t>FR21AA00ZZ-0000001</t>
  </si>
  <si>
    <t>S.11.2</t>
  </si>
  <si>
    <t>Access Control System Local Cabinet</t>
  </si>
  <si>
    <t>92</t>
  </si>
  <si>
    <t>FR21AB00ZZ-0000001</t>
  </si>
  <si>
    <t>S.11.3</t>
  </si>
  <si>
    <t>Access Control System Local Control Unit with Junction Box</t>
  </si>
  <si>
    <t>93</t>
  </si>
  <si>
    <t>S.11.4</t>
  </si>
  <si>
    <t>Access Control System ACS Workstation with accessories</t>
  </si>
  <si>
    <t>ACS Workstation with accessories</t>
  </si>
  <si>
    <t>94</t>
  </si>
  <si>
    <t>FR21AD00ZZ-0000001</t>
  </si>
  <si>
    <t>S.11.5</t>
  </si>
  <si>
    <t>Access Control System Proximity Card Reader</t>
  </si>
  <si>
    <t>95</t>
  </si>
  <si>
    <t>S.11.6</t>
  </si>
  <si>
    <t>Access Control System Explosion Proof Card Reader</t>
  </si>
  <si>
    <t>Explosion Proof Card Reader</t>
  </si>
  <si>
    <t>96</t>
  </si>
  <si>
    <t>FR21AF00ZZ-0000001</t>
  </si>
  <si>
    <t>S.11.7</t>
  </si>
  <si>
    <t>Access Control System Long Range Card Reader</t>
  </si>
  <si>
    <t>Long Range Card Reader</t>
  </si>
  <si>
    <t>97</t>
  </si>
  <si>
    <t>FR21AG00ZZ-0000001</t>
  </si>
  <si>
    <t>S.11.8</t>
  </si>
  <si>
    <t>Access Control System Electrical Magnetic Lock With Door Contact</t>
  </si>
  <si>
    <t>Electrical Magnetic Lock With Door Contact</t>
  </si>
  <si>
    <t>98</t>
  </si>
  <si>
    <t>S.11.9</t>
  </si>
  <si>
    <t>Access Control System Door Contract</t>
  </si>
  <si>
    <t>99</t>
  </si>
  <si>
    <t>S.11.10</t>
  </si>
  <si>
    <t>Access Control System Push Button</t>
  </si>
  <si>
    <t>100</t>
  </si>
  <si>
    <t>S.11.11</t>
  </si>
  <si>
    <t>Access Control System Break Glass Unit</t>
  </si>
  <si>
    <t>101</t>
  </si>
  <si>
    <t>S.11.12</t>
  </si>
  <si>
    <t>Access Control System Turnstiles</t>
  </si>
  <si>
    <t>Turnstiles</t>
  </si>
  <si>
    <t>102</t>
  </si>
  <si>
    <t>FR21AL00ZZ-0000001</t>
  </si>
  <si>
    <t>S.11.13</t>
  </si>
  <si>
    <t>Access Control System Speed Gate</t>
  </si>
  <si>
    <t>Speed Gate</t>
  </si>
  <si>
    <t>103</t>
  </si>
  <si>
    <t>FR21AM00ZZ-0000001</t>
  </si>
  <si>
    <t>S.11.14</t>
  </si>
  <si>
    <t>Access Control System Vehicle Barrier For Gate</t>
  </si>
  <si>
    <t>Vehicle Barrier For Gate</t>
  </si>
  <si>
    <t>104</t>
  </si>
  <si>
    <t>FR21AN00ZZ-0000001</t>
  </si>
  <si>
    <t>S.11.15</t>
  </si>
  <si>
    <t>Access Control System Road Blocker</t>
  </si>
  <si>
    <t>Road Blocker</t>
  </si>
  <si>
    <t>105</t>
  </si>
  <si>
    <t>FR21AO00ZZ-0000001</t>
  </si>
  <si>
    <t>S.11.16</t>
  </si>
  <si>
    <t>Access Control System Existing Interface software/license</t>
  </si>
  <si>
    <t>106</t>
  </si>
  <si>
    <t>FR21AP00ZZ-0000001</t>
  </si>
  <si>
    <t>S.11.17</t>
  </si>
  <si>
    <t>Access Control System Badge Production System</t>
  </si>
  <si>
    <t>Badge Production System</t>
  </si>
  <si>
    <t>107</t>
  </si>
  <si>
    <t>FR21AQ00ZZ-0000001</t>
  </si>
  <si>
    <t>S.11.18</t>
  </si>
  <si>
    <t>Access Control System Alarm Buzzer</t>
  </si>
  <si>
    <t>Alarm Buzzer</t>
  </si>
  <si>
    <t>108</t>
  </si>
  <si>
    <t>FR21AR00ZZ-0000001</t>
  </si>
  <si>
    <t>S.11.19</t>
  </si>
  <si>
    <t>Access Control System ACS Pole</t>
  </si>
  <si>
    <t>ACS Pole up to 3m</t>
  </si>
  <si>
    <t>109</t>
  </si>
  <si>
    <t>FR21AS00ZZ-0000001</t>
  </si>
  <si>
    <t>S.13</t>
  </si>
  <si>
    <t>Outside Plant Cable System</t>
  </si>
  <si>
    <t>S.13.1</t>
  </si>
  <si>
    <t>Fiber Optic Splice Closure</t>
  </si>
  <si>
    <t>Fire-rated non-buried type</t>
  </si>
  <si>
    <t>S.13.2</t>
  </si>
  <si>
    <t>144 core Fiber optic Splice Closure</t>
  </si>
  <si>
    <t xml:space="preserve">Branch type (In - one 144 core cable / Out - Three 48 core cable) </t>
  </si>
  <si>
    <t>S.13.3</t>
  </si>
  <si>
    <t>48 core Fiber optic Splice Closure</t>
  </si>
  <si>
    <t xml:space="preserve">Branch or Butt type (In - one 48 core cable / Out - One 48 core cable) </t>
  </si>
  <si>
    <t>S.13.4</t>
  </si>
  <si>
    <t>24 core Fiber optic Splice Closure</t>
  </si>
  <si>
    <t>S.13.5</t>
  </si>
  <si>
    <t>6 core Fiber optic Splice Closure</t>
  </si>
  <si>
    <t xml:space="preserve">Branch or Butt type (In - one 6 core cable / Out - One 6 core cable) </t>
  </si>
  <si>
    <t>S.13.6</t>
  </si>
  <si>
    <t>Telecommunication Pedestal</t>
  </si>
  <si>
    <t>UPC-1278 (IT)</t>
  </si>
  <si>
    <t>S.13.7</t>
  </si>
  <si>
    <t>UPC-1278 (NON-IT)</t>
  </si>
  <si>
    <t>S.13.8</t>
  </si>
  <si>
    <t>UPC-1000 (IT)</t>
  </si>
  <si>
    <t>S.13.9</t>
  </si>
  <si>
    <t>UPC-1000 (NON-IT)</t>
  </si>
  <si>
    <t>S.13.10</t>
  </si>
  <si>
    <t>OPFOP1420 (IT)</t>
  </si>
  <si>
    <t>S.13.11</t>
  </si>
  <si>
    <t>OPFOP1420 (NON-IT)</t>
  </si>
  <si>
    <t>S.13.12</t>
  </si>
  <si>
    <t>OPFOP1830</t>
  </si>
  <si>
    <t>S.13.13</t>
  </si>
  <si>
    <t>CAD-8</t>
  </si>
  <si>
    <t>UPC-1278 (SECURITY)</t>
  </si>
  <si>
    <t>S.13.14</t>
  </si>
  <si>
    <t>OPFOP1420 (SECURITY)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</si>
</sst>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family val="2"/>
      <scheme val="minor"/>
    </font>
    <font>
      <b/>
      <sz val="14"/>
      <color rgb="FF000000"/>
      <name val="맑은 고딕"/>
      <family val="3"/>
      <charset val="129"/>
    </font>
    <font>
      <b/>
      <sz val="10"/>
      <color rgb="FF000000"/>
      <name val="맑은 고딕"/>
      <family val="3"/>
      <charset val="129"/>
    </font>
    <font>
      <sz val="9"/>
      <color rgb="FF000000"/>
      <name val="맑은 고딕"/>
      <family val="3"/>
      <charset val="129"/>
    </font>
    <font>
      <sz val="9"/>
      <color rgb="FF008000"/>
      <name val="맑은 고딕"/>
      <family val="3"/>
      <charset val="129"/>
    </font>
    <font>
      <sz val="9"/>
      <color rgb="FFF1F7ED"/>
      <name val="맑은 고딕"/>
      <family val="3"/>
      <charset val="129"/>
    </font>
    <font>
      <sz val="9"/>
      <color rgb="FFE8E8E8"/>
      <name val="맑은 고딕"/>
      <family val="3"/>
      <charset val="129"/>
    </font>
    <font>
      <sz val="9"/>
      <color rgb="FFFFFFFF"/>
      <name val="맑은 고딕"/>
      <family val="3"/>
      <charset val="129"/>
    </font>
    <font>
      <sz val="9"/>
      <color theme="1"/>
      <name val="맑은 고딕"/>
      <family val="3"/>
      <charset val="129"/>
    </font>
    <font>
      <b/>
      <sz val="9"/>
      <color rgb="FF000000"/>
      <name val="맑은 고딕"/>
      <family val="3"/>
      <charset val="129"/>
    </font>
    <font>
      <sz val="11"/>
      <color theme="1"/>
      <name val="Calibri"/>
      <family val="3"/>
      <charset val="129"/>
      <scheme val="minor"/>
    </font>
    <font>
      <sz val="9"/>
      <name val="맑은 고딕"/>
      <family val="3"/>
      <charset val="129"/>
    </font>
    <font>
      <sz val="11"/>
      <name val="돋움"/>
      <family val="3"/>
      <charset val="129"/>
    </font>
    <font>
      <b/>
      <sz val="30"/>
      <name val="Arial"/>
      <family val="2"/>
    </font>
    <font>
      <sz val="11"/>
      <name val="Arial"/>
      <family val="2"/>
    </font>
    <font>
      <b/>
      <sz val="35"/>
      <name val="Arial"/>
      <family val="2"/>
    </font>
    <font>
      <b/>
      <sz val="16"/>
      <name val="Arial"/>
      <family val="2"/>
    </font>
    <font>
      <b/>
      <sz val="28"/>
      <name val="Arial"/>
      <family val="2"/>
    </font>
    <font>
      <b/>
      <sz val="22"/>
      <name val="Arial"/>
      <family val="2"/>
    </font>
    <font>
      <sz val="20"/>
      <name val="Arial"/>
      <family val="2"/>
    </font>
    <font>
      <sz val="18"/>
      <name val="Arial"/>
      <family val="2"/>
    </font>
    <font>
      <sz val="9"/>
      <name val="Arial"/>
      <family val="2"/>
    </font>
    <font>
      <sz val="10"/>
      <name val="Arial"/>
      <family val="2"/>
    </font>
    <font>
      <b/>
      <sz val="12"/>
      <name val="Arial"/>
      <family val="2"/>
    </font>
    <font>
      <b/>
      <sz val="12"/>
      <name val="돋움"/>
      <family val="3"/>
      <charset val="129"/>
    </font>
    <font>
      <sz val="11"/>
      <color rgb="FFFF0000"/>
      <name val="Arial"/>
      <family val="2"/>
    </font>
    <font>
      <sz val="9"/>
      <color rgb="FFFF0000"/>
      <name val="맑은 고딕"/>
      <family val="3"/>
      <charset val="129"/>
    </font>
    <font>
      <b/>
      <sz val="9"/>
      <color rgb="FFFF0000"/>
      <name val="맑은 고딕"/>
    </font>
    <font>
      <sz val="9"/>
      <color rgb="FF000000"/>
      <name val="맑은 고딕"/>
    </font>
    <font>
      <sz val="9"/>
      <color theme="1"/>
      <name val="맑은 고딕"/>
    </font>
  </fonts>
  <fills count="11">
    <fill>
      <patternFill patternType="none"/>
    </fill>
    <fill>
      <patternFill patternType="gray125"/>
    </fill>
    <fill>
      <patternFill patternType="solid">
        <fgColor rgb="FFFFFFFF"/>
      </patternFill>
    </fill>
    <fill>
      <patternFill patternType="solid">
        <fgColor rgb="FFD3D3D3"/>
      </patternFill>
    </fill>
    <fill>
      <patternFill patternType="solid">
        <fgColor rgb="FFE8E8E8"/>
      </patternFill>
    </fill>
    <fill>
      <patternFill patternType="solid">
        <fgColor rgb="FFF1F7ED"/>
      </patternFill>
    </fill>
    <fill>
      <patternFill patternType="solid">
        <fgColor rgb="FFFFFF00"/>
        <bgColor indexed="64"/>
      </patternFill>
    </fill>
    <fill>
      <patternFill patternType="solid">
        <fgColor theme="5" tint="0.39997558519241921"/>
        <bgColor indexed="64"/>
      </patternFill>
    </fill>
    <fill>
      <patternFill patternType="solid">
        <fgColor indexed="9"/>
        <bgColor indexed="64"/>
      </patternFill>
    </fill>
    <fill>
      <patternFill patternType="solid">
        <fgColor indexed="65"/>
        <bgColor indexed="64"/>
      </patternFill>
    </fill>
    <fill>
      <patternFill patternType="solid">
        <fgColor rgb="FF00FFFF"/>
        <bgColor indexed="64"/>
      </patternFill>
    </fill>
  </fills>
  <borders count="13">
    <border>
      <left/>
      <right/>
      <top/>
      <bottom/>
      <diagonal/>
    </border>
    <border>
      <left/>
      <right/>
      <top/>
      <bottom style="thin">
        <color rgb="FF000000"/>
      </bottom>
      <diagonal/>
    </border>
    <border>
      <left style="thin">
        <color rgb="FFA9A9A9"/>
      </left>
      <right style="thin">
        <color rgb="FFA9A9A9"/>
      </right>
      <top style="thin">
        <color rgb="FFA9A9A9"/>
      </top>
      <bottom style="thin">
        <color rgb="FFA9A9A9"/>
      </bottom>
      <diagonal/>
    </border>
    <border>
      <left style="thin">
        <color rgb="FFA9A9A9"/>
      </left>
      <right style="thin">
        <color rgb="FFA9A9A9"/>
      </right>
      <top style="thin">
        <color rgb="FFA9A9A9"/>
      </top>
      <bottom/>
      <diagonal/>
    </border>
    <border>
      <left/>
      <right/>
      <top style="thin">
        <color rgb="FF000000"/>
      </top>
      <bottom style="thin">
        <color rgb="FFA9A9A9"/>
      </bottom>
      <diagonal/>
    </border>
    <border>
      <left/>
      <right style="thin">
        <color rgb="FFA9A9A9"/>
      </right>
      <top style="thin">
        <color rgb="FF000000"/>
      </top>
      <bottom style="thin">
        <color rgb="FFA9A9A9"/>
      </bottom>
      <diagonal/>
    </border>
    <border>
      <left/>
      <right style="thin">
        <color rgb="FFA9A9A9"/>
      </right>
      <top style="thin">
        <color rgb="FFA9A9A9"/>
      </top>
      <bottom style="thin">
        <color rgb="FFA9A9A9"/>
      </bottom>
      <diagonal/>
    </border>
    <border>
      <left style="thin">
        <color rgb="FFA9A9A9"/>
      </left>
      <right style="thin">
        <color rgb="FFA9A9A9"/>
      </right>
      <top style="thin">
        <color rgb="FF000000"/>
      </top>
      <bottom style="thin">
        <color rgb="FFA9A9A9"/>
      </bottom>
      <diagonal/>
    </border>
    <border>
      <left style="thin">
        <color rgb="FFA9A9A9"/>
      </left>
      <right style="thin">
        <color rgb="FFA9A9A9"/>
      </right>
      <top/>
      <bottom/>
      <diagonal/>
    </border>
    <border>
      <left style="thin">
        <color rgb="FFA9A9A9"/>
      </left>
      <right style="thin">
        <color rgb="FFA9A9A9"/>
      </right>
      <top/>
      <bottom style="thin">
        <color rgb="FFA9A9A9"/>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5">
    <xf numFmtId="0" fontId="0" fillId="0" borderId="0"/>
    <xf numFmtId="0" fontId="12" fillId="0" borderId="0"/>
    <xf numFmtId="0" fontId="12" fillId="0" borderId="0"/>
    <xf numFmtId="0" fontId="21" fillId="0" borderId="0">
      <alignment vertical="center"/>
    </xf>
    <xf numFmtId="0" fontId="22" fillId="0" borderId="0"/>
  </cellStyleXfs>
  <cellXfs count="124">
    <xf numFmtId="0" fontId="0" fillId="0" borderId="0" xfId="0"/>
    <xf numFmtId="0" fontId="3" fillId="2" borderId="2" xfId="0" applyFont="1" applyFill="1" applyBorder="1" applyAlignment="1">
      <alignment horizontal="left" vertical="center" readingOrder="1"/>
    </xf>
    <xf numFmtId="0" fontId="3" fillId="2" borderId="2" xfId="0" applyFont="1" applyFill="1" applyBorder="1" applyAlignment="1">
      <alignment horizontal="center" vertical="center" readingOrder="1"/>
    </xf>
    <xf numFmtId="49" fontId="3" fillId="2" borderId="2" xfId="0" applyNumberFormat="1" applyFont="1" applyFill="1" applyBorder="1" applyAlignment="1">
      <alignment horizontal="left" vertical="center" readingOrder="1"/>
    </xf>
    <xf numFmtId="0" fontId="3" fillId="4" borderId="2" xfId="0" applyFont="1" applyFill="1" applyBorder="1" applyAlignment="1">
      <alignment horizontal="center" vertical="center" readingOrder="1"/>
    </xf>
    <xf numFmtId="49" fontId="4" fillId="4" borderId="2" xfId="0" applyNumberFormat="1" applyFont="1" applyFill="1" applyBorder="1" applyAlignment="1">
      <alignment horizontal="center" vertical="center" readingOrder="1"/>
    </xf>
    <xf numFmtId="49" fontId="3" fillId="4" borderId="2" xfId="0" applyNumberFormat="1" applyFont="1" applyFill="1" applyBorder="1" applyAlignment="1">
      <alignment horizontal="left" vertical="center" readingOrder="1"/>
    </xf>
    <xf numFmtId="0" fontId="3" fillId="4" borderId="2" xfId="0" applyFont="1" applyFill="1" applyBorder="1" applyAlignment="1">
      <alignment horizontal="left" vertical="top" wrapText="1" shrinkToFit="1" readingOrder="1"/>
    </xf>
    <xf numFmtId="3" fontId="3" fillId="4" borderId="2" xfId="0" applyNumberFormat="1" applyFont="1" applyFill="1" applyBorder="1" applyAlignment="1">
      <alignment horizontal="right" vertical="center" readingOrder="1"/>
    </xf>
    <xf numFmtId="0" fontId="3" fillId="4" borderId="2" xfId="0" applyFont="1" applyFill="1" applyBorder="1" applyAlignment="1">
      <alignment horizontal="left" vertical="center" readingOrder="1"/>
    </xf>
    <xf numFmtId="0" fontId="3" fillId="5" borderId="2" xfId="0" applyFont="1" applyFill="1" applyBorder="1" applyAlignment="1">
      <alignment horizontal="center" vertical="center" readingOrder="1"/>
    </xf>
    <xf numFmtId="49" fontId="4" fillId="5" borderId="2" xfId="0" applyNumberFormat="1" applyFont="1" applyFill="1" applyBorder="1" applyAlignment="1">
      <alignment horizontal="center" vertical="center" readingOrder="1"/>
    </xf>
    <xf numFmtId="49" fontId="3" fillId="5" borderId="2" xfId="0" applyNumberFormat="1" applyFont="1" applyFill="1" applyBorder="1" applyAlignment="1">
      <alignment horizontal="left" vertical="center" readingOrder="1"/>
    </xf>
    <xf numFmtId="49" fontId="3" fillId="5" borderId="2" xfId="0" applyNumberFormat="1" applyFont="1" applyFill="1" applyBorder="1" applyAlignment="1">
      <alignment horizontal="center" vertical="center" readingOrder="1"/>
    </xf>
    <xf numFmtId="0" fontId="3" fillId="5" borderId="2" xfId="0" applyFont="1" applyFill="1" applyBorder="1" applyAlignment="1">
      <alignment horizontal="left" vertical="center" readingOrder="1"/>
    </xf>
    <xf numFmtId="0" fontId="3" fillId="5" borderId="2" xfId="0" applyFont="1" applyFill="1" applyBorder="1" applyAlignment="1">
      <alignment horizontal="left" vertical="top" wrapText="1" shrinkToFit="1" readingOrder="1"/>
    </xf>
    <xf numFmtId="3" fontId="3" fillId="5" borderId="2" xfId="0" applyNumberFormat="1" applyFont="1" applyFill="1" applyBorder="1" applyAlignment="1">
      <alignment horizontal="left" vertical="center" readingOrder="1"/>
    </xf>
    <xf numFmtId="3" fontId="3" fillId="5" borderId="2" xfId="0" applyNumberFormat="1" applyFont="1" applyFill="1" applyBorder="1" applyAlignment="1">
      <alignment horizontal="right" vertical="center" readingOrder="1"/>
    </xf>
    <xf numFmtId="49" fontId="3" fillId="5" borderId="2" xfId="0" applyNumberFormat="1" applyFont="1" applyFill="1" applyBorder="1" applyAlignment="1">
      <alignment horizontal="left" vertical="top" wrapText="1" shrinkToFit="1" readingOrder="1"/>
    </xf>
    <xf numFmtId="0" fontId="6" fillId="4" borderId="2" xfId="0" applyFont="1" applyFill="1" applyBorder="1" applyAlignment="1">
      <alignment horizontal="center" vertical="center" readingOrder="1"/>
    </xf>
    <xf numFmtId="3" fontId="6" fillId="4" borderId="2" xfId="0" applyNumberFormat="1" applyFont="1" applyFill="1" applyBorder="1" applyAlignment="1">
      <alignment horizontal="center" vertical="center" readingOrder="1"/>
    </xf>
    <xf numFmtId="49" fontId="4" fillId="2" borderId="2" xfId="0" applyNumberFormat="1" applyFont="1" applyFill="1" applyBorder="1" applyAlignment="1">
      <alignment horizontal="center" vertical="center" readingOrder="1"/>
    </xf>
    <xf numFmtId="0" fontId="3" fillId="2" borderId="2" xfId="0" applyFont="1" applyFill="1" applyBorder="1" applyAlignment="1">
      <alignment horizontal="left" vertical="top" wrapText="1" shrinkToFit="1" readingOrder="1"/>
    </xf>
    <xf numFmtId="0" fontId="7" fillId="2" borderId="2" xfId="0" applyFont="1" applyFill="1" applyBorder="1" applyAlignment="1">
      <alignment horizontal="center" vertical="center" readingOrder="1"/>
    </xf>
    <xf numFmtId="3" fontId="7" fillId="2" borderId="2" xfId="0" applyNumberFormat="1" applyFont="1" applyFill="1" applyBorder="1" applyAlignment="1">
      <alignment horizontal="center" vertical="center" readingOrder="1"/>
    </xf>
    <xf numFmtId="3" fontId="3" fillId="2" borderId="2" xfId="0" applyNumberFormat="1" applyFont="1" applyFill="1" applyBorder="1" applyAlignment="1">
      <alignment horizontal="right" vertical="center" readingOrder="1"/>
    </xf>
    <xf numFmtId="49" fontId="3" fillId="2" borderId="2" xfId="0" applyNumberFormat="1" applyFont="1" applyFill="1" applyBorder="1" applyAlignment="1">
      <alignment horizontal="left" vertical="top" wrapText="1" shrinkToFit="1" readingOrder="1"/>
    </xf>
    <xf numFmtId="3" fontId="5" fillId="5" borderId="2" xfId="0" applyNumberFormat="1" applyFont="1" applyFill="1" applyBorder="1" applyAlignment="1">
      <alignment horizontal="center" vertical="center" readingOrder="1"/>
    </xf>
    <xf numFmtId="0" fontId="5" fillId="5" borderId="2" xfId="0" applyFont="1" applyFill="1" applyBorder="1" applyAlignment="1">
      <alignment horizontal="center" vertical="center" readingOrder="1"/>
    </xf>
    <xf numFmtId="49" fontId="3" fillId="4" borderId="2" xfId="0" applyNumberFormat="1" applyFont="1" applyFill="1" applyBorder="1" applyAlignment="1">
      <alignment horizontal="left" vertical="top" wrapText="1" shrinkToFit="1" readingOrder="1"/>
    </xf>
    <xf numFmtId="49" fontId="5" fillId="5" borderId="2" xfId="0" applyNumberFormat="1" applyFont="1" applyFill="1" applyBorder="1" applyAlignment="1">
      <alignment horizontal="center" vertical="center" readingOrder="1"/>
    </xf>
    <xf numFmtId="3" fontId="3" fillId="4" borderId="2" xfId="0" applyNumberFormat="1" applyFont="1" applyFill="1" applyBorder="1" applyAlignment="1">
      <alignment horizontal="center" vertical="center" readingOrder="1"/>
    </xf>
    <xf numFmtId="3" fontId="3" fillId="2" borderId="2" xfId="0" applyNumberFormat="1" applyFont="1" applyFill="1" applyBorder="1" applyAlignment="1">
      <alignment horizontal="center" vertical="center" readingOrder="1"/>
    </xf>
    <xf numFmtId="3" fontId="3" fillId="5" borderId="2" xfId="0" applyNumberFormat="1" applyFont="1" applyFill="1" applyBorder="1" applyAlignment="1">
      <alignment horizontal="center" vertical="center" readingOrder="1"/>
    </xf>
    <xf numFmtId="49" fontId="5" fillId="5" borderId="2" xfId="0" applyNumberFormat="1" applyFont="1" applyFill="1" applyBorder="1" applyAlignment="1">
      <alignment horizontal="left" vertical="center" readingOrder="1"/>
    </xf>
    <xf numFmtId="49" fontId="3" fillId="6" borderId="2" xfId="0" applyNumberFormat="1" applyFont="1" applyFill="1" applyBorder="1" applyAlignment="1">
      <alignment horizontal="left" vertical="center" readingOrder="1"/>
    </xf>
    <xf numFmtId="49" fontId="3" fillId="7" borderId="2" xfId="0" applyNumberFormat="1" applyFont="1" applyFill="1" applyBorder="1" applyAlignment="1">
      <alignment horizontal="left" vertical="center" readingOrder="1"/>
    </xf>
    <xf numFmtId="49" fontId="9" fillId="4" borderId="2" xfId="0" applyNumberFormat="1" applyFont="1" applyFill="1" applyBorder="1" applyAlignment="1">
      <alignment horizontal="left" vertical="center" readingOrder="1"/>
    </xf>
    <xf numFmtId="49" fontId="8" fillId="5" borderId="2" xfId="0" applyNumberFormat="1" applyFont="1" applyFill="1" applyBorder="1" applyAlignment="1">
      <alignment horizontal="left" vertical="center" readingOrder="1"/>
    </xf>
    <xf numFmtId="49" fontId="8" fillId="6" borderId="2" xfId="0" applyNumberFormat="1" applyFont="1" applyFill="1" applyBorder="1" applyAlignment="1">
      <alignment horizontal="left" vertical="center" readingOrder="1"/>
    </xf>
    <xf numFmtId="49" fontId="8" fillId="5" borderId="2" xfId="0" applyNumberFormat="1" applyFont="1" applyFill="1" applyBorder="1" applyAlignment="1">
      <alignment horizontal="left" vertical="top" wrapText="1" shrinkToFit="1" readingOrder="1"/>
    </xf>
    <xf numFmtId="3" fontId="8" fillId="5" borderId="2" xfId="0" applyNumberFormat="1" applyFont="1" applyFill="1" applyBorder="1" applyAlignment="1">
      <alignment horizontal="center" vertical="center" readingOrder="1"/>
    </xf>
    <xf numFmtId="3" fontId="8" fillId="5" borderId="2" xfId="0" applyNumberFormat="1" applyFont="1" applyFill="1" applyBorder="1" applyAlignment="1">
      <alignment horizontal="right" vertical="center" readingOrder="1"/>
    </xf>
    <xf numFmtId="0" fontId="10" fillId="0" borderId="0" xfId="0" applyFont="1"/>
    <xf numFmtId="49" fontId="8" fillId="0" borderId="2" xfId="0" applyNumberFormat="1" applyFont="1" applyBorder="1" applyAlignment="1">
      <alignment horizontal="center" vertical="center" readingOrder="1"/>
    </xf>
    <xf numFmtId="49" fontId="8" fillId="0" borderId="2" xfId="0" applyNumberFormat="1" applyFont="1" applyBorder="1" applyAlignment="1">
      <alignment horizontal="left" vertical="top" wrapText="1" shrinkToFit="1" readingOrder="1"/>
    </xf>
    <xf numFmtId="0" fontId="8" fillId="0" borderId="2" xfId="0" applyFont="1" applyBorder="1" applyAlignment="1">
      <alignment horizontal="center" vertical="center" readingOrder="1"/>
    </xf>
    <xf numFmtId="3" fontId="8" fillId="0" borderId="2" xfId="0" applyNumberFormat="1" applyFont="1" applyBorder="1" applyAlignment="1">
      <alignment horizontal="right" vertical="center" readingOrder="1"/>
    </xf>
    <xf numFmtId="49" fontId="9" fillId="2" borderId="2" xfId="0" applyNumberFormat="1" applyFont="1" applyFill="1" applyBorder="1" applyAlignment="1">
      <alignment horizontal="left" vertical="center" readingOrder="1"/>
    </xf>
    <xf numFmtId="49" fontId="9" fillId="2" borderId="2" xfId="0" applyNumberFormat="1" applyFont="1" applyFill="1" applyBorder="1" applyAlignment="1">
      <alignment horizontal="left" vertical="top" wrapText="1" shrinkToFit="1" readingOrder="1"/>
    </xf>
    <xf numFmtId="0" fontId="9" fillId="4" borderId="2" xfId="0" applyFont="1" applyFill="1" applyBorder="1" applyAlignment="1">
      <alignment horizontal="center" vertical="center" readingOrder="1"/>
    </xf>
    <xf numFmtId="0" fontId="9" fillId="4" borderId="2" xfId="0" applyFont="1" applyFill="1" applyBorder="1" applyAlignment="1">
      <alignment horizontal="left" vertical="center" readingOrder="1"/>
    </xf>
    <xf numFmtId="3" fontId="3" fillId="0" borderId="2" xfId="0" applyNumberFormat="1" applyFont="1" applyBorder="1" applyAlignment="1">
      <alignment horizontal="right" vertical="center" readingOrder="1"/>
    </xf>
    <xf numFmtId="0" fontId="9" fillId="4" borderId="2" xfId="0" applyFont="1" applyFill="1" applyBorder="1" applyAlignment="1">
      <alignment horizontal="left" vertical="top" wrapText="1" shrinkToFit="1" readingOrder="1"/>
    </xf>
    <xf numFmtId="0" fontId="8" fillId="4" borderId="2" xfId="0" applyFont="1" applyFill="1" applyBorder="1" applyAlignment="1">
      <alignment horizontal="left" vertical="top" wrapText="1" shrinkToFit="1" readingOrder="1"/>
    </xf>
    <xf numFmtId="0" fontId="8" fillId="5" borderId="2" xfId="0" applyFont="1" applyFill="1" applyBorder="1" applyAlignment="1">
      <alignment horizontal="left" vertical="center" readingOrder="1"/>
    </xf>
    <xf numFmtId="0" fontId="8" fillId="5" borderId="2" xfId="0" applyFont="1" applyFill="1" applyBorder="1" applyAlignment="1">
      <alignment horizontal="center" vertical="center" readingOrder="1"/>
    </xf>
    <xf numFmtId="0" fontId="3" fillId="4" borderId="3" xfId="0" applyFont="1" applyFill="1" applyBorder="1" applyAlignment="1">
      <alignment horizontal="center" vertical="center" readingOrder="1"/>
    </xf>
    <xf numFmtId="49" fontId="4" fillId="5" borderId="3" xfId="0" applyNumberFormat="1" applyFont="1" applyFill="1" applyBorder="1" applyAlignment="1">
      <alignment horizontal="center" vertical="center" readingOrder="1"/>
    </xf>
    <xf numFmtId="49" fontId="3" fillId="5" borderId="3" xfId="0" applyNumberFormat="1" applyFont="1" applyFill="1" applyBorder="1" applyAlignment="1">
      <alignment horizontal="left" vertical="center" readingOrder="1"/>
    </xf>
    <xf numFmtId="49" fontId="3" fillId="5" borderId="3" xfId="0" applyNumberFormat="1" applyFont="1" applyFill="1" applyBorder="1" applyAlignment="1">
      <alignment horizontal="left" vertical="top" wrapText="1" shrinkToFit="1" readingOrder="1"/>
    </xf>
    <xf numFmtId="49" fontId="5" fillId="5" borderId="3" xfId="0" applyNumberFormat="1" applyFont="1" applyFill="1" applyBorder="1" applyAlignment="1">
      <alignment horizontal="left" vertical="center" readingOrder="1"/>
    </xf>
    <xf numFmtId="0" fontId="3" fillId="5" borderId="3" xfId="0" applyFont="1" applyFill="1" applyBorder="1" applyAlignment="1">
      <alignment horizontal="left" vertical="center" readingOrder="1"/>
    </xf>
    <xf numFmtId="3" fontId="5" fillId="5" borderId="3" xfId="0" applyNumberFormat="1" applyFont="1" applyFill="1" applyBorder="1" applyAlignment="1">
      <alignment horizontal="center" vertical="center" readingOrder="1"/>
    </xf>
    <xf numFmtId="0" fontId="3" fillId="5" borderId="3" xfId="0" applyFont="1" applyFill="1" applyBorder="1" applyAlignment="1">
      <alignment horizontal="center" vertical="center" readingOrder="1"/>
    </xf>
    <xf numFmtId="3" fontId="3" fillId="4" borderId="3" xfId="0" applyNumberFormat="1" applyFont="1" applyFill="1" applyBorder="1" applyAlignment="1">
      <alignment horizontal="right" vertical="center" readingOrder="1"/>
    </xf>
    <xf numFmtId="3" fontId="3" fillId="5" borderId="3" xfId="0" applyNumberFormat="1" applyFont="1" applyFill="1" applyBorder="1" applyAlignment="1">
      <alignment horizontal="right" vertical="center" readingOrder="1"/>
    </xf>
    <xf numFmtId="0" fontId="3" fillId="4" borderId="9" xfId="0" applyFont="1" applyFill="1" applyBorder="1" applyAlignment="1">
      <alignment horizontal="center" vertical="center" readingOrder="1"/>
    </xf>
    <xf numFmtId="49" fontId="4" fillId="4" borderId="9" xfId="0" applyNumberFormat="1" applyFont="1" applyFill="1" applyBorder="1" applyAlignment="1">
      <alignment horizontal="center" vertical="center" readingOrder="1"/>
    </xf>
    <xf numFmtId="49" fontId="3" fillId="4" borderId="9" xfId="0" applyNumberFormat="1" applyFont="1" applyFill="1" applyBorder="1" applyAlignment="1">
      <alignment horizontal="left" vertical="center" readingOrder="1"/>
    </xf>
    <xf numFmtId="49" fontId="3" fillId="7" borderId="9" xfId="0" applyNumberFormat="1" applyFont="1" applyFill="1" applyBorder="1" applyAlignment="1">
      <alignment horizontal="left" vertical="center" readingOrder="1"/>
    </xf>
    <xf numFmtId="0" fontId="3" fillId="4" borderId="9" xfId="0" applyFont="1" applyFill="1" applyBorder="1" applyAlignment="1">
      <alignment horizontal="left" vertical="top" wrapText="1" shrinkToFit="1" readingOrder="1"/>
    </xf>
    <xf numFmtId="0" fontId="3" fillId="4" borderId="9" xfId="0" applyFont="1" applyFill="1" applyBorder="1" applyAlignment="1">
      <alignment horizontal="left" vertical="center" readingOrder="1"/>
    </xf>
    <xf numFmtId="3" fontId="6" fillId="4" borderId="9" xfId="0" applyNumberFormat="1" applyFont="1" applyFill="1" applyBorder="1" applyAlignment="1">
      <alignment horizontal="center" vertical="center" readingOrder="1"/>
    </xf>
    <xf numFmtId="3" fontId="3" fillId="4" borderId="9" xfId="0" applyNumberFormat="1" applyFont="1" applyFill="1" applyBorder="1" applyAlignment="1">
      <alignment horizontal="right" vertical="center" readingOrder="1"/>
    </xf>
    <xf numFmtId="49" fontId="8" fillId="0" borderId="2" xfId="0" applyNumberFormat="1" applyFont="1" applyBorder="1" applyAlignment="1">
      <alignment horizontal="left" vertical="center" readingOrder="1"/>
    </xf>
    <xf numFmtId="0" fontId="8" fillId="0" borderId="2" xfId="0" applyFont="1" applyBorder="1" applyAlignment="1">
      <alignment horizontal="left" vertical="center" readingOrder="1"/>
    </xf>
    <xf numFmtId="3" fontId="8" fillId="0" borderId="2" xfId="0" applyNumberFormat="1" applyFont="1" applyBorder="1" applyAlignment="1">
      <alignment horizontal="center" vertical="center" readingOrder="1"/>
    </xf>
    <xf numFmtId="49" fontId="11" fillId="5" borderId="2" xfId="0" applyNumberFormat="1" applyFont="1" applyFill="1" applyBorder="1" applyAlignment="1">
      <alignment horizontal="left" vertical="center" wrapText="1" readingOrder="1"/>
    </xf>
    <xf numFmtId="49" fontId="11" fillId="5" borderId="2" xfId="0" applyNumberFormat="1" applyFont="1" applyFill="1" applyBorder="1" applyAlignment="1">
      <alignment horizontal="left" vertical="top" wrapText="1" shrinkToFit="1" readingOrder="1"/>
    </xf>
    <xf numFmtId="0" fontId="0" fillId="0" borderId="0" xfId="0" applyAlignment="1">
      <alignment horizontal="center"/>
    </xf>
    <xf numFmtId="0" fontId="13" fillId="8" borderId="0" xfId="1" applyFont="1" applyFill="1"/>
    <xf numFmtId="0" fontId="14" fillId="8" borderId="0" xfId="1" applyFont="1" applyFill="1"/>
    <xf numFmtId="0" fontId="14" fillId="0" borderId="0" xfId="1" applyFont="1"/>
    <xf numFmtId="0" fontId="15" fillId="8" borderId="0" xfId="1" applyFont="1" applyFill="1" applyAlignment="1">
      <alignment vertical="center"/>
    </xf>
    <xf numFmtId="0" fontId="16" fillId="8" borderId="0" xfId="1" applyFont="1" applyFill="1" applyAlignment="1">
      <alignment horizontal="centerContinuous"/>
    </xf>
    <xf numFmtId="0" fontId="14" fillId="8" borderId="0" xfId="1" applyFont="1" applyFill="1" applyAlignment="1">
      <alignment horizontal="centerContinuous"/>
    </xf>
    <xf numFmtId="0" fontId="16" fillId="8" borderId="0" xfId="1" applyFont="1" applyFill="1" applyAlignment="1">
      <alignment horizontal="center" vertical="center"/>
    </xf>
    <xf numFmtId="0" fontId="17" fillId="8" borderId="0" xfId="1" applyFont="1" applyFill="1" applyAlignment="1">
      <alignment horizontal="centerContinuous"/>
    </xf>
    <xf numFmtId="0" fontId="18" fillId="8" borderId="0" xfId="1" applyFont="1" applyFill="1"/>
    <xf numFmtId="0" fontId="14" fillId="9" borderId="0" xfId="2" applyFont="1" applyFill="1" applyAlignment="1">
      <alignment vertical="center"/>
    </xf>
    <xf numFmtId="0" fontId="19" fillId="9" borderId="0" xfId="2" applyFont="1" applyFill="1" applyAlignment="1">
      <alignment horizontal="left" vertical="center"/>
    </xf>
    <xf numFmtId="0" fontId="20" fillId="9" borderId="0" xfId="2" applyFont="1" applyFill="1" applyAlignment="1">
      <alignment vertical="center"/>
    </xf>
    <xf numFmtId="0" fontId="21" fillId="9" borderId="0" xfId="3" applyFill="1">
      <alignment vertical="center"/>
    </xf>
    <xf numFmtId="0" fontId="22" fillId="0" borderId="0" xfId="4"/>
    <xf numFmtId="0" fontId="23" fillId="9" borderId="0" xfId="3" applyFont="1" applyFill="1" applyAlignment="1">
      <alignment horizontal="center" vertical="center"/>
    </xf>
    <xf numFmtId="0" fontId="12" fillId="0" borderId="0" xfId="1"/>
    <xf numFmtId="0" fontId="23" fillId="9" borderId="10" xfId="3" applyFont="1" applyFill="1" applyBorder="1" applyAlignment="1">
      <alignment horizontal="center" vertical="center"/>
    </xf>
    <xf numFmtId="0" fontId="24" fillId="9" borderId="10" xfId="3" applyFont="1" applyFill="1" applyBorder="1" applyAlignment="1">
      <alignment horizontal="center" vertical="center"/>
    </xf>
    <xf numFmtId="0" fontId="23" fillId="9" borderId="11" xfId="3" applyFont="1" applyFill="1" applyBorder="1" applyAlignment="1">
      <alignment horizontal="center" vertical="center"/>
    </xf>
    <xf numFmtId="0" fontId="23" fillId="9" borderId="12" xfId="3" applyFont="1" applyFill="1" applyBorder="1" applyAlignment="1">
      <alignment horizontal="center" vertical="center"/>
    </xf>
    <xf numFmtId="49" fontId="26" fillId="3" borderId="2" xfId="0" applyNumberFormat="1" applyFont="1" applyFill="1" applyBorder="1" applyAlignment="1">
      <alignment horizontal="center" vertical="center" wrapText="1" shrinkToFit="1" readingOrder="1"/>
    </xf>
    <xf numFmtId="49" fontId="3" fillId="3" borderId="2" xfId="0" applyNumberFormat="1" applyFont="1" applyFill="1" applyBorder="1" applyAlignment="1">
      <alignment horizontal="center" vertical="center" wrapText="1" shrinkToFit="1" readingOrder="1"/>
    </xf>
    <xf numFmtId="49" fontId="26" fillId="3" borderId="8" xfId="0" applyNumberFormat="1" applyFont="1" applyFill="1" applyBorder="1" applyAlignment="1">
      <alignment horizontal="center" vertical="center" wrapText="1" shrinkToFit="1" readingOrder="1"/>
    </xf>
    <xf numFmtId="3" fontId="8" fillId="10" borderId="2" xfId="0" applyNumberFormat="1" applyFont="1" applyFill="1" applyBorder="1" applyAlignment="1">
      <alignment horizontal="left" vertical="center" readingOrder="1"/>
    </xf>
    <xf numFmtId="3" fontId="3" fillId="6" borderId="2" xfId="0" applyNumberFormat="1" applyFont="1" applyFill="1" applyBorder="1" applyAlignment="1">
      <alignment horizontal="right" vertical="center" readingOrder="1"/>
    </xf>
    <xf numFmtId="3" fontId="29" fillId="10" borderId="2" xfId="0" applyNumberFormat="1" applyFont="1" applyFill="1" applyBorder="1" applyAlignment="1">
      <alignment horizontal="left" vertical="center" wrapText="1" readingOrder="1"/>
    </xf>
    <xf numFmtId="49" fontId="3" fillId="3" borderId="2" xfId="0" applyNumberFormat="1" applyFont="1" applyFill="1" applyBorder="1" applyAlignment="1">
      <alignment horizontal="center" vertical="center" wrapText="1" shrinkToFit="1" readingOrder="1"/>
    </xf>
    <xf numFmtId="49" fontId="3" fillId="3" borderId="7" xfId="0" applyNumberFormat="1" applyFont="1" applyFill="1" applyBorder="1" applyAlignment="1">
      <alignment horizontal="center" vertical="center" wrapText="1" shrinkToFit="1" readingOrder="1"/>
    </xf>
    <xf numFmtId="0" fontId="1" fillId="2" borderId="0" xfId="0" applyFont="1" applyFill="1" applyAlignment="1">
      <alignment horizontal="left" vertical="top" wrapText="1" shrinkToFit="1" readingOrder="1"/>
    </xf>
    <xf numFmtId="0" fontId="2" fillId="2" borderId="1" xfId="0" applyFont="1" applyFill="1" applyBorder="1" applyAlignment="1">
      <alignment horizontal="right" vertical="top" wrapText="1" shrinkToFit="1" readingOrder="1"/>
    </xf>
    <xf numFmtId="0" fontId="18" fillId="8" borderId="0" xfId="1" quotePrefix="1" applyFont="1" applyFill="1" applyAlignment="1">
      <alignment horizontal="center"/>
    </xf>
    <xf numFmtId="0" fontId="25" fillId="9" borderId="0" xfId="2" applyFont="1" applyFill="1" applyAlignment="1">
      <alignment horizontal="center" vertical="center" wrapText="1"/>
    </xf>
    <xf numFmtId="0" fontId="15" fillId="8" borderId="0" xfId="1" applyFont="1" applyFill="1" applyAlignment="1">
      <alignment horizontal="center" vertical="center"/>
    </xf>
    <xf numFmtId="0" fontId="0" fillId="0" borderId="0" xfId="0" applyAlignment="1">
      <alignment horizontal="center"/>
    </xf>
    <xf numFmtId="0" fontId="14" fillId="0" borderId="0" xfId="1" applyFont="1" applyAlignment="1"/>
    <xf numFmtId="0" fontId="22" fillId="0" borderId="0" xfId="4" applyAlignment="1"/>
    <xf numFmtId="0" fontId="0" fillId="0" borderId="0" xfId="0" applyAlignment="1"/>
    <xf numFmtId="0" fontId="0" fillId="0" borderId="1" xfId="0" applyBorder="1" applyAlignment="1"/>
    <xf numFmtId="0" fontId="0" fillId="0" borderId="4" xfId="0" applyBorder="1" applyAlignment="1"/>
    <xf numFmtId="0" fontId="0" fillId="0" borderId="5" xfId="0" applyBorder="1" applyAlignment="1"/>
    <xf numFmtId="0" fontId="0" fillId="0" borderId="8" xfId="0" applyBorder="1" applyAlignment="1"/>
    <xf numFmtId="0" fontId="0" fillId="0" borderId="9" xfId="0" applyBorder="1" applyAlignment="1"/>
    <xf numFmtId="0" fontId="0" fillId="0" borderId="6" xfId="0" applyBorder="1" applyAlignment="1"/>
  </cellXfs>
  <cellStyles count="5">
    <cellStyle name="Normal" xfId="0" builtinId="0"/>
    <cellStyle name="표준 2 3 37" xfId="4" xr:uid="{00000000-0005-0000-0000-000004000000}"/>
    <cellStyle name="표준_BOQ_IR_GOSP_Rev.B_CnI_20100514" xfId="3" xr:uid="{00000000-0005-0000-0000-000003000000}"/>
    <cellStyle name="표준_Sheet1" xfId="2" xr:uid="{00000000-0005-0000-0000-000002000000}"/>
    <cellStyle name="표준_안전_외부BOQ_MGF_Rev.B_080529"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9.xml"/><Relationship Id="rId21" Type="http://schemas.openxmlformats.org/officeDocument/2006/relationships/externalLink" Target="externalLinks/externalLink14.xml"/><Relationship Id="rId42" Type="http://schemas.openxmlformats.org/officeDocument/2006/relationships/externalLink" Target="externalLinks/externalLink35.xml"/><Relationship Id="rId47" Type="http://schemas.openxmlformats.org/officeDocument/2006/relationships/externalLink" Target="externalLinks/externalLink40.xml"/><Relationship Id="rId63" Type="http://schemas.openxmlformats.org/officeDocument/2006/relationships/externalLink" Target="externalLinks/externalLink56.xml"/><Relationship Id="rId68" Type="http://schemas.openxmlformats.org/officeDocument/2006/relationships/externalLink" Target="externalLinks/externalLink61.xml"/><Relationship Id="rId84" Type="http://schemas.openxmlformats.org/officeDocument/2006/relationships/externalLink" Target="externalLinks/externalLink77.xml"/><Relationship Id="rId89" Type="http://schemas.openxmlformats.org/officeDocument/2006/relationships/externalLink" Target="externalLinks/externalLink82.xml"/><Relationship Id="rId16" Type="http://schemas.openxmlformats.org/officeDocument/2006/relationships/externalLink" Target="externalLinks/externalLink9.xml"/><Relationship Id="rId11" Type="http://schemas.openxmlformats.org/officeDocument/2006/relationships/externalLink" Target="externalLinks/externalLink4.xml"/><Relationship Id="rId32" Type="http://schemas.openxmlformats.org/officeDocument/2006/relationships/externalLink" Target="externalLinks/externalLink25.xml"/><Relationship Id="rId37" Type="http://schemas.openxmlformats.org/officeDocument/2006/relationships/externalLink" Target="externalLinks/externalLink30.xml"/><Relationship Id="rId53" Type="http://schemas.openxmlformats.org/officeDocument/2006/relationships/externalLink" Target="externalLinks/externalLink46.xml"/><Relationship Id="rId58" Type="http://schemas.openxmlformats.org/officeDocument/2006/relationships/externalLink" Target="externalLinks/externalLink51.xml"/><Relationship Id="rId74" Type="http://schemas.openxmlformats.org/officeDocument/2006/relationships/externalLink" Target="externalLinks/externalLink67.xml"/><Relationship Id="rId79" Type="http://schemas.openxmlformats.org/officeDocument/2006/relationships/externalLink" Target="externalLinks/externalLink72.xml"/><Relationship Id="rId102" Type="http://schemas.openxmlformats.org/officeDocument/2006/relationships/customXml" Target="../customXml/item1.xml"/><Relationship Id="rId5" Type="http://schemas.openxmlformats.org/officeDocument/2006/relationships/worksheet" Target="worksheets/sheet5.xml"/><Relationship Id="rId90" Type="http://schemas.openxmlformats.org/officeDocument/2006/relationships/externalLink" Target="externalLinks/externalLink83.xml"/><Relationship Id="rId95" Type="http://schemas.openxmlformats.org/officeDocument/2006/relationships/externalLink" Target="externalLinks/externalLink88.xml"/><Relationship Id="rId22" Type="http://schemas.openxmlformats.org/officeDocument/2006/relationships/externalLink" Target="externalLinks/externalLink15.xml"/><Relationship Id="rId27" Type="http://schemas.openxmlformats.org/officeDocument/2006/relationships/externalLink" Target="externalLinks/externalLink20.xml"/><Relationship Id="rId43" Type="http://schemas.openxmlformats.org/officeDocument/2006/relationships/externalLink" Target="externalLinks/externalLink36.xml"/><Relationship Id="rId48" Type="http://schemas.openxmlformats.org/officeDocument/2006/relationships/externalLink" Target="externalLinks/externalLink41.xml"/><Relationship Id="rId64" Type="http://schemas.openxmlformats.org/officeDocument/2006/relationships/externalLink" Target="externalLinks/externalLink57.xml"/><Relationship Id="rId69" Type="http://schemas.openxmlformats.org/officeDocument/2006/relationships/externalLink" Target="externalLinks/externalLink62.xml"/><Relationship Id="rId80" Type="http://schemas.openxmlformats.org/officeDocument/2006/relationships/externalLink" Target="externalLinks/externalLink73.xml"/><Relationship Id="rId85" Type="http://schemas.openxmlformats.org/officeDocument/2006/relationships/externalLink" Target="externalLinks/externalLink78.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5" Type="http://schemas.openxmlformats.org/officeDocument/2006/relationships/externalLink" Target="externalLinks/externalLink18.xml"/><Relationship Id="rId33" Type="http://schemas.openxmlformats.org/officeDocument/2006/relationships/externalLink" Target="externalLinks/externalLink26.xml"/><Relationship Id="rId38" Type="http://schemas.openxmlformats.org/officeDocument/2006/relationships/externalLink" Target="externalLinks/externalLink31.xml"/><Relationship Id="rId46" Type="http://schemas.openxmlformats.org/officeDocument/2006/relationships/externalLink" Target="externalLinks/externalLink39.xml"/><Relationship Id="rId59" Type="http://schemas.openxmlformats.org/officeDocument/2006/relationships/externalLink" Target="externalLinks/externalLink52.xml"/><Relationship Id="rId67" Type="http://schemas.openxmlformats.org/officeDocument/2006/relationships/externalLink" Target="externalLinks/externalLink60.xml"/><Relationship Id="rId103" Type="http://schemas.openxmlformats.org/officeDocument/2006/relationships/customXml" Target="../customXml/item2.xml"/><Relationship Id="rId20" Type="http://schemas.openxmlformats.org/officeDocument/2006/relationships/externalLink" Target="externalLinks/externalLink13.xml"/><Relationship Id="rId41" Type="http://schemas.openxmlformats.org/officeDocument/2006/relationships/externalLink" Target="externalLinks/externalLink34.xml"/><Relationship Id="rId54" Type="http://schemas.openxmlformats.org/officeDocument/2006/relationships/externalLink" Target="externalLinks/externalLink47.xml"/><Relationship Id="rId62" Type="http://schemas.openxmlformats.org/officeDocument/2006/relationships/externalLink" Target="externalLinks/externalLink55.xml"/><Relationship Id="rId70" Type="http://schemas.openxmlformats.org/officeDocument/2006/relationships/externalLink" Target="externalLinks/externalLink63.xml"/><Relationship Id="rId75" Type="http://schemas.openxmlformats.org/officeDocument/2006/relationships/externalLink" Target="externalLinks/externalLink68.xml"/><Relationship Id="rId83" Type="http://schemas.openxmlformats.org/officeDocument/2006/relationships/externalLink" Target="externalLinks/externalLink76.xml"/><Relationship Id="rId88" Type="http://schemas.openxmlformats.org/officeDocument/2006/relationships/externalLink" Target="externalLinks/externalLink81.xml"/><Relationship Id="rId91" Type="http://schemas.openxmlformats.org/officeDocument/2006/relationships/externalLink" Target="externalLinks/externalLink84.xml"/><Relationship Id="rId96" Type="http://schemas.openxmlformats.org/officeDocument/2006/relationships/externalLink" Target="externalLinks/externalLink8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8.xml"/><Relationship Id="rId23" Type="http://schemas.openxmlformats.org/officeDocument/2006/relationships/externalLink" Target="externalLinks/externalLink16.xml"/><Relationship Id="rId28" Type="http://schemas.openxmlformats.org/officeDocument/2006/relationships/externalLink" Target="externalLinks/externalLink21.xml"/><Relationship Id="rId36" Type="http://schemas.openxmlformats.org/officeDocument/2006/relationships/externalLink" Target="externalLinks/externalLink29.xml"/><Relationship Id="rId49" Type="http://schemas.openxmlformats.org/officeDocument/2006/relationships/externalLink" Target="externalLinks/externalLink42.xml"/><Relationship Id="rId57" Type="http://schemas.openxmlformats.org/officeDocument/2006/relationships/externalLink" Target="externalLinks/externalLink50.xml"/><Relationship Id="rId10" Type="http://schemas.openxmlformats.org/officeDocument/2006/relationships/externalLink" Target="externalLinks/externalLink3.xml"/><Relationship Id="rId31" Type="http://schemas.openxmlformats.org/officeDocument/2006/relationships/externalLink" Target="externalLinks/externalLink24.xml"/><Relationship Id="rId44" Type="http://schemas.openxmlformats.org/officeDocument/2006/relationships/externalLink" Target="externalLinks/externalLink37.xml"/><Relationship Id="rId52" Type="http://schemas.openxmlformats.org/officeDocument/2006/relationships/externalLink" Target="externalLinks/externalLink45.xml"/><Relationship Id="rId60" Type="http://schemas.openxmlformats.org/officeDocument/2006/relationships/externalLink" Target="externalLinks/externalLink53.xml"/><Relationship Id="rId65" Type="http://schemas.openxmlformats.org/officeDocument/2006/relationships/externalLink" Target="externalLinks/externalLink58.xml"/><Relationship Id="rId73" Type="http://schemas.openxmlformats.org/officeDocument/2006/relationships/externalLink" Target="externalLinks/externalLink66.xml"/><Relationship Id="rId78" Type="http://schemas.openxmlformats.org/officeDocument/2006/relationships/externalLink" Target="externalLinks/externalLink71.xml"/><Relationship Id="rId81" Type="http://schemas.openxmlformats.org/officeDocument/2006/relationships/externalLink" Target="externalLinks/externalLink74.xml"/><Relationship Id="rId86" Type="http://schemas.openxmlformats.org/officeDocument/2006/relationships/externalLink" Target="externalLinks/externalLink79.xml"/><Relationship Id="rId94" Type="http://schemas.openxmlformats.org/officeDocument/2006/relationships/externalLink" Target="externalLinks/externalLink87.xml"/><Relationship Id="rId99" Type="http://schemas.openxmlformats.org/officeDocument/2006/relationships/styles" Target="styles.xml"/><Relationship Id="rId10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2.xml"/><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39" Type="http://schemas.openxmlformats.org/officeDocument/2006/relationships/externalLink" Target="externalLinks/externalLink32.xml"/><Relationship Id="rId34" Type="http://schemas.openxmlformats.org/officeDocument/2006/relationships/externalLink" Target="externalLinks/externalLink27.xml"/><Relationship Id="rId50" Type="http://schemas.openxmlformats.org/officeDocument/2006/relationships/externalLink" Target="externalLinks/externalLink43.xml"/><Relationship Id="rId55" Type="http://schemas.openxmlformats.org/officeDocument/2006/relationships/externalLink" Target="externalLinks/externalLink48.xml"/><Relationship Id="rId76" Type="http://schemas.openxmlformats.org/officeDocument/2006/relationships/externalLink" Target="externalLinks/externalLink69.xml"/><Relationship Id="rId97" Type="http://schemas.openxmlformats.org/officeDocument/2006/relationships/externalLink" Target="externalLinks/externalLink90.xml"/><Relationship Id="rId104" Type="http://schemas.openxmlformats.org/officeDocument/2006/relationships/customXml" Target="../customXml/item3.xml"/><Relationship Id="rId7" Type="http://schemas.openxmlformats.org/officeDocument/2006/relationships/worksheet" Target="worksheets/sheet7.xml"/><Relationship Id="rId71" Type="http://schemas.openxmlformats.org/officeDocument/2006/relationships/externalLink" Target="externalLinks/externalLink64.xml"/><Relationship Id="rId92" Type="http://schemas.openxmlformats.org/officeDocument/2006/relationships/externalLink" Target="externalLinks/externalLink85.xml"/><Relationship Id="rId2" Type="http://schemas.openxmlformats.org/officeDocument/2006/relationships/worksheet" Target="worksheets/sheet2.xml"/><Relationship Id="rId29" Type="http://schemas.openxmlformats.org/officeDocument/2006/relationships/externalLink" Target="externalLinks/externalLink22.xml"/><Relationship Id="rId24" Type="http://schemas.openxmlformats.org/officeDocument/2006/relationships/externalLink" Target="externalLinks/externalLink17.xml"/><Relationship Id="rId40" Type="http://schemas.openxmlformats.org/officeDocument/2006/relationships/externalLink" Target="externalLinks/externalLink33.xml"/><Relationship Id="rId45" Type="http://schemas.openxmlformats.org/officeDocument/2006/relationships/externalLink" Target="externalLinks/externalLink38.xml"/><Relationship Id="rId66" Type="http://schemas.openxmlformats.org/officeDocument/2006/relationships/externalLink" Target="externalLinks/externalLink59.xml"/><Relationship Id="rId87" Type="http://schemas.openxmlformats.org/officeDocument/2006/relationships/externalLink" Target="externalLinks/externalLink80.xml"/><Relationship Id="rId61" Type="http://schemas.openxmlformats.org/officeDocument/2006/relationships/externalLink" Target="externalLinks/externalLink54.xml"/><Relationship Id="rId82" Type="http://schemas.openxmlformats.org/officeDocument/2006/relationships/externalLink" Target="externalLinks/externalLink75.xml"/><Relationship Id="rId19" Type="http://schemas.openxmlformats.org/officeDocument/2006/relationships/externalLink" Target="externalLinks/externalLink12.xml"/><Relationship Id="rId14" Type="http://schemas.openxmlformats.org/officeDocument/2006/relationships/externalLink" Target="externalLinks/externalLink7.xml"/><Relationship Id="rId30" Type="http://schemas.openxmlformats.org/officeDocument/2006/relationships/externalLink" Target="externalLinks/externalLink23.xml"/><Relationship Id="rId35" Type="http://schemas.openxmlformats.org/officeDocument/2006/relationships/externalLink" Target="externalLinks/externalLink28.xml"/><Relationship Id="rId56" Type="http://schemas.openxmlformats.org/officeDocument/2006/relationships/externalLink" Target="externalLinks/externalLink49.xml"/><Relationship Id="rId77" Type="http://schemas.openxmlformats.org/officeDocument/2006/relationships/externalLink" Target="externalLinks/externalLink70.xml"/><Relationship Id="rId100" Type="http://schemas.openxmlformats.org/officeDocument/2006/relationships/sharedStrings" Target="sharedStrings.xml"/><Relationship Id="rId8" Type="http://schemas.openxmlformats.org/officeDocument/2006/relationships/externalLink" Target="externalLinks/externalLink1.xml"/><Relationship Id="rId51" Type="http://schemas.openxmlformats.org/officeDocument/2006/relationships/externalLink" Target="externalLinks/externalLink44.xml"/><Relationship Id="rId72" Type="http://schemas.openxmlformats.org/officeDocument/2006/relationships/externalLink" Target="externalLinks/externalLink65.xml"/><Relationship Id="rId93" Type="http://schemas.openxmlformats.org/officeDocument/2006/relationships/externalLink" Target="externalLinks/externalLink86.xml"/><Relationship Id="rId98" Type="http://schemas.openxmlformats.org/officeDocument/2006/relationships/theme" Target="theme/theme1.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628650</xdr:colOff>
      <xdr:row>20</xdr:row>
      <xdr:rowOff>57150</xdr:rowOff>
    </xdr:from>
    <xdr:to>
      <xdr:col>12</xdr:col>
      <xdr:colOff>228600</xdr:colOff>
      <xdr:row>22</xdr:row>
      <xdr:rowOff>104775</xdr:rowOff>
    </xdr:to>
    <xdr:pic>
      <xdr:nvPicPr>
        <xdr:cNvPr id="4" name="그림 10">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rcRect/>
        <a:stretch>
          <a:fillRect/>
        </a:stretch>
      </xdr:blipFill>
      <xdr:spPr bwMode="auto">
        <a:xfrm>
          <a:off x="4629150" y="6515100"/>
          <a:ext cx="5010150" cy="952500"/>
        </a:xfrm>
        <a:prstGeom prst="rect">
          <a:avLst/>
        </a:prstGeom>
        <a:noFill/>
        <a:ln>
          <a:noFill/>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KIMNH\JOJIK\&#50644;&#47553;COMP99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HDLAN\HDEC30\CACHE\MONTH\&#49324;&#50629;&#52628;09.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DLAN/HDEC30/CACHE/WekaWeku/&#44208;&#49328;/97SAUPCU.XLS" TargetMode="External"/><Relationship Id="rId1" Type="http://schemas.openxmlformats.org/officeDocument/2006/relationships/externalLinkPath" Target="/HDLAN/HDEC30/CACHE/WekaWeku/&#44208;&#49328;/97SAUPCU.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54217;&#44512;&#51064;&#50896;.95"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DLAN/HDEC30/CACHE/MONTH/&#49324;&#50629;&#52628;09.XLS" TargetMode="External"/><Relationship Id="rId1" Type="http://schemas.openxmlformats.org/officeDocument/2006/relationships/externalLinkPath" Target="/HDLAN/HDEC30/CACHE/MONTH/&#49324;&#50629;&#52628;0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WekaWeku\&#44208;&#49328;\9624\&#49324;&#50629;&#52628;&#51221;.XLS"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INSAKIHO/TASA/&#44277;&#53685;/SUDANG/&#49340;&#49457;&#52488;&#51076;.XLS" TargetMode="External"/><Relationship Id="rId1" Type="http://schemas.openxmlformats.org/officeDocument/2006/relationships/externalLinkPath" Target="/INSAKIHO/TASA/&#44277;&#53685;/SUDANG/&#49340;&#49457;&#52488;&#5107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8177;&#54868;&#49440;\D\project\pc0840\SPEC\BM-PC084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gw.hec.co.kr/&#44060;&#48156;program/fdn_bm_pro.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gw.hec.co.kr/PJT/BID/TIDCO/USER/PROPOSAL/PHC/BM/ACTIVITY.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1312;&#49457;&#44397;\job\Job\GS&#44148;&#49444;\&#50508;&#51228;&#47532;\&#51217;&#49688;\20091023\ElecCivil&#47932;&#47049;%20Summary-01,%2011%20&amp;%2021%20uni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50980;&#51116;&#50672;\aproject\skec\TDI\BM\TDIBM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wicamfs01\proj\Engineering%20Disciplines\Process\CAMBRIDGE\LA%20McMonagle\Equipment%20Data%20Sheets\L%20V%20Separator.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h:\WekaWeku\&#44208;&#49328;\KIJO\97&#44221;&#50689;&#48516;&#49437;\A&#49324;&#50629;&#44228;&#54925;\02&#45800;%20%20%20&#44592;\98&#51116;&#49688;&#47549;&#49688;&#51221;\&#51333;&#44592;&#49892;&#51228;&#52636;\&#49688;&#51221;&#50577;&#49885;.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ejong/a_files4/mail_1/199937139_20010420104202/DCI_010417_EL.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ep.hec.co.kr/My%20Documents/Pha%20Lai/HVAC/North%20HVAC%20Drawings/North%20Submittals%20to%20Boston/PL2-BP-NO-SW-100014/PHALAIDUCT%2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51060;&#52384;&#54868;\&#51068;&#50948;&#45824;&#44032;\&#50672;&#46028;&#45236;&#50669;&#51068;&#5094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Z:\DATA\CS1\FINAL\CALCUL~1\DATA\Blowdown%20Project\Multi%20Section%20Settle%20Out%20Condition%20Calculation.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51060;&#49569;\REHMAT\My%20Documents\Pha%20Lai\HVAC\North%20HVAC%20Drawings\North%20Submittals%20to%20Boston\PL2-BP-NO-SW-100014\PHALAIDUCT%2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51312;&#49457;&#51652;\GROUP-2\Company\Hyundai%20ENG\Hyundai%20ENG3\final\H-Project1.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49884;&#48276;&#51333;-PC\EuroChem%20Ammonia%20&amp;%20Urea%20Project\KIJO\&#44221;&#50689;&#48516;&#49437;\F&#51068;&#48152;&#44288;&#47532;\01&#50696;&#49328;&#54200;&#49457;\99&#50696;&#49328;\&#50896;&#45800;&#50948;&#51088;&#47308;2xl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h:\HDLAN\HDEC30\CACHE\WekaWeku\&#44208;&#49328;\KIJO\97&#44221;&#50689;&#48516;&#49437;\A&#49324;&#50629;&#44228;&#54925;\02&#45800;%20%20%20&#44592;\98&#51116;&#49688;&#47549;&#49688;&#51221;\&#51333;&#44592;&#49892;&#51228;&#52636;\&#49688;&#51221;&#50577;&#49885;.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h:\INSAKIHO\TASA\&#44277;&#53685;\SUDANG\&#49340;&#49457;&#52488;&#51076;.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11ci&#44053;&#48124;&#50864;\BB2\&#44608;&#50725;&#48176;\BOQ_Reference\orifice\Book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gw.hec.co.kr/Engineering%20Disciplines/Process/CAMBRIDGE/LA%20McMonagle/Equipment%20Data%20Sheets/Liquid%20Ring%20Vacuum%20Pum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B:\FORM\96&#44208;&#49328;.XLS" TargetMode="External"/></Relationships>
</file>

<file path=xl/externalLinks/_rels/externalLink27.xml.rels><?xml version="1.0" encoding="UTF-8" standalone="yes"?>
<Relationships xmlns="http://schemas.openxmlformats.org/package/2006/relationships"><Relationship Id="rId2" Type="http://schemas.openxmlformats.org/officeDocument/2006/relationships/externalLinkPath" Target="../../../../WekaWeku/&#44208;&#49328;/9624/&#49324;&#50629;&#52628;&#51221;.XLS" TargetMode="External"/><Relationship Id="rId1" Type="http://schemas.openxmlformats.org/officeDocument/2006/relationships/externalLinkPath" Target="/WekaWeku/&#44208;&#49328;/9624/&#49324;&#50629;&#52628;&#5122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HDLAN\HDEC30\CACHE\WekaWeku\&#44208;&#49328;\9624\&#49324;&#50629;&#52628;&#51221;.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h:\HDLAN\HDEC30\CACHE\WekaWeku\&#44208;&#49328;\97SAUPCU.XLS" TargetMode="External"/></Relationships>
</file>

<file path=xl/externalLinks/_rels/externalLink30.xml.rels><?xml version="1.0" encoding="UTF-8" standalone="yes"?>
<Relationships xmlns="http://schemas.openxmlformats.org/package/2006/relationships"><Relationship Id="rId2" Type="http://schemas.openxmlformats.org/officeDocument/2006/relationships/externalLinkPath" Target="../../../../HDLAN/HDEC30/CACHE/WekaWeku/&#44208;&#49328;/9624/&#49324;&#50629;&#52628;&#51221;.XLS" TargetMode="External"/><Relationship Id="rId1" Type="http://schemas.openxmlformats.org/officeDocument/2006/relationships/externalLinkPath" Target="/HDLAN/HDEC30/CACHE/WekaWeku/&#44208;&#49328;/9624/&#49324;&#50629;&#52628;&#5122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h:\KIJO\&#48176;&#48512;990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gw.hec.co.kr/&#46028;&#44256;&#47000;/&#44277;&#51221;/&#44277;&#51221;_0503.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ep.hec.co.kr/&#44204;&#51201;/1Salman/BOQ/&#50808;&#48512;_BOQ-SALMAN-&#48176;&#44288;.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Digenserver\public\exceldata\&#48708;&#50857;&#51208;&#44048;\98&#45380;\2JEJO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ep.hec.co.kr/&#46028;&#44256;&#47000;/&#44277;&#51221;/&#44277;&#51221;_0503.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h:\KIJO\KIJOB\SSUK\96CONF.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PIPG(E)-&#49888;&#49440;&#48120;\ATTAHADDY\&#44060;&#51064;&#47928;&#49436;\qnix\valve_code.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igenserver\public\&#51089;&#50629;\VPP\&#49457;&#44284;&#54408;\&#45796;&#50868;\INSULATION.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KIJO/KIJOB/SSUK/96CONF.XLS" TargetMode="External"/><Relationship Id="rId1" Type="http://schemas.openxmlformats.org/officeDocument/2006/relationships/externalLinkPath" Target="/KIJO/KIJOB/SSUK/96CONF.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JC15083\Group\Guntur%20Project\PROJECT\CMA\ISSUED%2020AUG04\TAG_LIST.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h:\WINDOWS\Temporary%20Internet%20Files\Content.IE5\0NAXYPMD\BLDG_0323.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J:\PROJECT\BUDGET\WOONAM\CHUMDAN\BSD.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h:\My%20document\&#49892;&#54665;&#50696;&#49328;\&#54217;&#44512;&#51064;&#50896;.95"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ejong/a_files4/mail_1/199937139_20010420104202/MonthlyProgress.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J:\PROJECT\BUDGET\WOONAM\CDDBP.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Houdfs01\DFSHOU\Engineering%20Disciplines\Process\CAMBRIDGE\LA%20McMonagle\Equipment%20Data%20Sheets\Liquid%20Ring%20Vacuum%20Pump.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ep.hec.co.kr/My%20document/&#49892;&#54665;&#50696;&#49328;/&#54217;&#44512;&#51064;&#50896;.95"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48149;&#51648;&#54984;\JOB_PIN\project\SKEC\no1%20cdu%20HAC\Bpa\BM\POWERBM.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h:\WekaWeku\&#44208;&#49328;\97SAUPCU.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WEKA&#51060;&#51064;&#48176;\C\DATA\IQ\&#51221;971IQ.XLS" TargetMode="External"/></Relationships>
</file>

<file path=xl/externalLinks/_rels/externalLink51.xml.rels><?xml version="1.0" encoding="UTF-8" standalone="yes"?>
<Relationships xmlns="http://schemas.openxmlformats.org/package/2006/relationships"><Relationship Id="rId2" Type="http://schemas.openxmlformats.org/officeDocument/2006/relationships/externalLinkPath" Target="../../../../WekaWeku/&#44208;&#49328;/97SAUPCU.XLS" TargetMode="External"/><Relationship Id="rId1" Type="http://schemas.openxmlformats.org/officeDocument/2006/relationships/externalLinkPath" Target="/WekaWeku/&#44208;&#49328;/97SAUPCU.XLS" TargetMode="External"/></Relationships>
</file>

<file path=xl/externalLinks/_rels/externalLink52.xml.rels><?xml version="1.0" encoding="UTF-8" standalone="yes"?>
<Relationships xmlns="http://schemas.openxmlformats.org/package/2006/relationships"><Relationship Id="rId2" Type="http://schemas.openxmlformats.org/officeDocument/2006/relationships/externalLinkPath" Target="../../../../WekaWeku/&#44208;&#49328;/KIJO/97&#44221;&#50689;&#48516;&#49437;/A&#49324;&#50629;&#44228;&#54925;/02&#45800;%20%20%20&#44592;/98&#51116;&#49688;&#47549;&#49688;&#51221;/&#51333;&#44592;&#49892;&#51228;&#52636;/&#49688;&#51221;&#50577;&#49885;.XLS" TargetMode="External"/><Relationship Id="rId1" Type="http://schemas.openxmlformats.org/officeDocument/2006/relationships/externalLinkPath" Target="/WekaWeku/&#44208;&#49328;/KIJO/97&#44221;&#50689;&#48516;&#49437;/A&#49324;&#50629;&#44228;&#54925;/02&#45800;%20%20%20&#44592;/98&#51116;&#49688;&#47549;&#49688;&#51221;/&#51333;&#44592;&#49892;&#51228;&#52636;/&#49688;&#51221;&#50577;&#49885;.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ep.hec.co.kr/My%20Documents/Pha%20Lai/HVAC/North%20HVAC%20Drawings/North%20Submittals%20to%20Boston/PL2-BP-NO-SW-100014/PHALAIDUCT%20dwg-%20h-013201-2.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http://sejong/a_files4/mail_1/199937139_20010420104202/DCI_010419.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52264;&#44221;&#46041;\NC-41\&#44060;&#48156;program\fdn_bm_pro.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51060;&#49569;\REHMAT\&#44608;&#52285;&#49688;\&#44204;&#51201;\REHMAT\Backup\motor%20pump%20kw.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http://ep.hec.co.kr/&#44060;&#48156;program/fdn_bm_pro.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Binson\Sc1069\2004-Job\Sc1069\Index\Index(IFC-1)1117.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h:\WekaWeku\&#44208;&#49328;\exceldata\&#48176;&#48512;\98&#45380;\&#48176;&#48512;981.xls" TargetMode="External"/></Relationships>
</file>

<file path=xl/externalLinks/_rels/externalLink60.xml.rels><?xml version="1.0" encoding="UTF-8" standalone="yes"?>
<Relationships xmlns="http://schemas.openxmlformats.org/package/2006/relationships"><Relationship Id="rId2" Type="http://schemas.openxmlformats.org/officeDocument/2006/relationships/externalLinkPath" Target="../../../../WekaWeku/&#44208;&#49328;/exceldata/&#48176;&#48512;/98&#45380;/&#48176;&#48512;981.xls" TargetMode="External"/><Relationship Id="rId1" Type="http://schemas.openxmlformats.org/officeDocument/2006/relationships/externalLinkPath" Target="/WekaWeku/&#44208;&#49328;/exceldata/&#48176;&#48512;/98&#45380;/&#48176;&#48512;98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gw.hec.co.kr/PJT/BID/TIDCO/LHC/BM/ACTIVITY.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h:\99Work\&#44204;&#51201;\9905\abp\ELECabp2.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JC15083\Group\Documents%20and%20Settings\08147\&#12487;&#12473;&#12463;&#12488;&#12483;&#12503;\&#38917;&#30446;&#25244;&#12365;&#20986;&#12375;.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ttp://ep.hec.co.kr/PJT/BID/TIDCO/USER/PROPOSAL/PHC/BM/ACTIVITY.xls" TargetMode="External"/></Relationships>
</file>

<file path=xl/externalLinks/_rels/externalLink65.xml.rels><?xml version="1.0" encoding="UTF-8" standalone="yes"?>
<Relationships xmlns="http://schemas.openxmlformats.org/package/2006/relationships"><Relationship Id="rId1" Type="http://schemas.microsoft.com/office/2006/relationships/xlExternalLinkPath/xlStartup" Target="Attahaddy/Verification/Pump&amp;Comp/FIL-3003CV.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http://ep.hec.co.kr/PJT/BID/TIDCO/LHC/BM/ACTIVITY.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h:\&#48337;&#47564;JOB\2000BMLEE\&#44397;&#45236;&#54532;&#47196;&#51229;&#53944;\7&#50900;\&#44400;&#49324;&#51088;&#46041;&#54868;\ZA0092-E0.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A:\temp\&#49688;&#51452;.xls" TargetMode="External"/></Relationships>
</file>

<file path=xl/externalLinks/_rels/externalLink69.xml.rels><?xml version="1.0" encoding="UTF-8" standalone="yes"?>
<Relationships xmlns="http://schemas.openxmlformats.org/package/2006/relationships"><Relationship Id="rId2" Type="http://schemas.openxmlformats.org/officeDocument/2006/relationships/externalLinkPath" Target="../../../../DATA/CS1/FINAL/CALCUL~1/DATA/Blowdown%20Project/DATA/BLOWDOWN.XLS" TargetMode="External"/><Relationship Id="rId1" Type="http://schemas.openxmlformats.org/officeDocument/2006/relationships/externalLinkPath" Target="/DATA/CS1/FINAL/CALCUL~1/DATA/Blowdown%20Project/DATA/BLOWDOWN.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11pr&#50504;&#51064;&#47784;\&#44277;&#50976;&#54260;&#45908;\Q_ACE_&#50629;&#47924;\WBS\Engineering_WBS_em&#49900;&#54868;&#44284;&#51221;&#49569;&#48512;&#50857;_&#49688;&#51221;.xls" TargetMode="External"/></Relationships>
</file>

<file path=xl/externalLinks/_rels/externalLink71.xml.rels><?xml version="1.0" encoding="UTF-8" standalone="yes"?>
<Relationships xmlns="http://schemas.openxmlformats.org/package/2006/relationships"><Relationship Id="rId1" Type="http://schemas.microsoft.com/office/2006/relationships/xlExternalLinkPath/xlPathMissing" Target="ttl"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11ci&#49888;&#48124;&#44592;\&#44277;&#50976;%20SUM\02_Equipment%20List%20Management%20System\from%20Process-Equip.List\&#44592;&#49696;&#44060;&#48156;\Equipment_List_Standard_format\UNIT_500.xls" TargetMode="External"/></Relationships>
</file>

<file path=xl/externalLinks/_rels/externalLink73.xml.rels><?xml version="1.0" encoding="UTF-8" standalone="yes"?>
<Relationships xmlns="http://schemas.openxmlformats.org/package/2006/relationships"><Relationship Id="rId2" Type="http://schemas.openxmlformats.org/officeDocument/2006/relationships/externalLinkPath" Target="../../../../KIJO/&#48176;&#48512;9901.xls" TargetMode="External"/><Relationship Id="rId1" Type="http://schemas.openxmlformats.org/officeDocument/2006/relationships/externalLinkPath" Target="/KIJO/&#48176;&#48512;9901.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h:\HDLAN\97&#49324;&#50629;&#44228;.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48149;&#45824;&#51061;\NC41\&#44060;&#48156;program\fdn_bm_pro.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Hwserver\project\T9602\XLS\INCHON.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Digenserver\public\OL2K(&#53216;&#50920;&#51060;&#53944;)\0_2004_&#51077;&#52272;\0_SP15n16\0_&#52628;&#44032;(Circular_18)\3_BM_S1516_20040908_(SWI&#52628;&#44032;-NoDevi&#48516;&#47532;_latest).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Digenserver\public\PROJECT\DMC\DMC%20&#51077;&#52272;\Reference\20060705_BOQ%20List-NRP%232_Final_&#49688;&#51221;\BOQ%20List-Civil-NRP%232_20060705_(EG%20for%20&#49340;&#54861;).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Digenserver\public\KIJO\&#44221;&#50689;&#48516;&#49437;\F&#51068;&#48152;&#44288;&#47532;\01&#50696;&#49328;&#54200;&#49457;\99&#50696;&#49328;\&#50896;&#45800;&#50948;&#51088;&#47308;2xls.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44608;&#50725;&#48176;\project\&#44608;&#50725;&#48176;\BOQ_Reference\orifice\Book1.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11mp&#44608;&#50976;&#49885;\02%20JAC%20UTOS\Documentum\Viewed\11295246916991116\EPSSCC1\BM-Total-FWBS-EPSCC1-LR1.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Digenserver\public\2008-PROJECT\HYUNDAI-ENG\01_QAFCO-5\05_Bill%20of%20Quantities\0229-&#47932;&#47049;&#48708;&#44368;&#51089;&#50629;\0228-BOQ-&#52280;&#51312;&#50857;\MMA-BOQ-MH-001_r080122.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h:\KIJO\&#44221;&#50689;&#48516;&#49437;\F&#51068;&#48152;&#44288;&#47532;\01&#50696;&#49328;&#54200;&#49457;\99&#50696;&#49328;\&#50896;&#45800;&#50948;&#51088;&#47308;2xls.xls" TargetMode="External"/></Relationships>
</file>

<file path=xl/externalLinks/_rels/externalLink84.xml.rels><?xml version="1.0" encoding="UTF-8" standalone="yes"?>
<Relationships xmlns="http://schemas.openxmlformats.org/package/2006/relationships"><Relationship Id="rId2" Type="http://schemas.openxmlformats.org/officeDocument/2006/relationships/externalLinkPath" Target="../../../../KIJO/&#44221;&#50689;&#48516;&#49437;/F&#51068;&#48152;&#44288;&#47532;/01&#50696;&#49328;&#54200;&#49457;/99&#50696;&#49328;/&#50896;&#45800;&#50948;&#51088;&#47308;2xls.xls" TargetMode="External"/><Relationship Id="rId1" Type="http://schemas.openxmlformats.org/officeDocument/2006/relationships/externalLinkPath" Target="/KIJO/&#44221;&#50689;&#48516;&#49437;/F&#51068;&#48152;&#44288;&#47532;/01&#50696;&#49328;&#54200;&#49457;/99&#50696;&#49328;/&#50896;&#45800;&#50948;&#51088;&#47308;2xls.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h:\exceldata\&#48176;&#48512;\96&#45380;\&#48176;&#48512;961.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h:\01045\BOQ\ITB%20&#49688;&#51221;%20&#52572;&#51333;\ITB.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h:\exceldata\&#48176;&#48512;\97&#45380;\&#48176;&#48512;97121.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h:\&#50641;&#49472;%20DATA\97&#50696;&#49328;\&#50896;&#45800;&#50948;&#51088;&#47308;\&#51064;&#50896;.XLS" TargetMode="External"/></Relationships>
</file>

<file path=xl/externalLinks/_rels/externalLink89.xml.rels><?xml version="1.0" encoding="UTF-8" standalone="yes"?>
<Relationships xmlns="http://schemas.openxmlformats.org/package/2006/relationships"><Relationship Id="rId2" Type="http://schemas.openxmlformats.org/officeDocument/2006/relationships/externalLinkPath" Target="../../../../&#50641;&#49472;%20DATA/97&#50696;&#49328;/&#50896;&#45800;&#50948;&#51088;&#47308;/&#51064;&#50896;.XLS" TargetMode="External"/><Relationship Id="rId1" Type="http://schemas.openxmlformats.org/officeDocument/2006/relationships/externalLinkPath" Target="/&#50641;&#49472;%20DATA/97&#50696;&#49328;/&#50896;&#45800;&#50948;&#51088;&#47308;/&#51064;&#50896;.XLS" TargetMode="External"/></Relationships>
</file>

<file path=xl/externalLinks/_rels/externalLink90.xml.rels><?xml version="1.0" encoding="UTF-8" standalone="yes"?>
<Relationships xmlns="http://schemas.openxmlformats.org/package/2006/relationships"><Relationship Id="rId2" Type="http://schemas.openxmlformats.org/officeDocument/2006/relationships/externalLinkPath" Target="../../../../HDLAN/HDEC30/CACHE/WekaWeku/&#44208;&#49328;/KIJO/97&#44221;&#50689;&#48516;&#49437;/A&#49324;&#50629;&#44228;&#54925;/02&#45800;%20%20%20&#44592;/98&#51116;&#49688;&#47549;&#49688;&#51221;/&#51333;&#44592;&#49892;&#51228;&#52636;/&#49688;&#51221;&#50577;&#49885;.XLS" TargetMode="External"/><Relationship Id="rId1" Type="http://schemas.openxmlformats.org/officeDocument/2006/relationships/externalLinkPath" Target="/HDLAN/HDEC30/CACHE/WekaWeku/&#44208;&#49328;/KIJO/97&#44221;&#50689;&#48516;&#49437;/A&#49324;&#50629;&#44228;&#54925;/02&#45800;%20%20%20&#44592;/98&#51116;&#49688;&#47549;&#49688;&#51221;/&#51333;&#44592;&#49892;&#51228;&#52636;/&#49688;&#51221;&#50577;&#4988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회사99"/>
      <sheetName val="XL4Poppy"/>
      <sheetName val="B"/>
      <sheetName val="엔링COMP9901"/>
      <sheetName val="2005년 표준인건비"/>
      <sheetName val="토목"/>
      <sheetName val="상반기손익차2총괄"/>
      <sheetName val="#REF"/>
      <sheetName val="new급여T(4을-운전)"/>
      <sheetName val="CONCRETE"/>
      <sheetName val="기기리스트"/>
      <sheetName val="DWEC ALL"/>
      <sheetName val="Proposal"/>
      <sheetName val="환율"/>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차9월2"/>
      <sheetName val="97 사업추정(WEKI)"/>
    </sheetNames>
    <sheetDataSet>
      <sheetData sheetId="0"/>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97 사업추정(WEKI)"/>
      <sheetName val="97 사업추정_WEKI_"/>
      <sheetName val="상반기손익차2총괄"/>
      <sheetName val="1-11조직표"/>
    </sheetNames>
    <sheetDataSet>
      <sheetData sheetId="0"/>
      <sheetData sheetId="1"/>
      <sheetData sheetId="2" refreshError="1"/>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주관사업"/>
      <sheetName val="세부기준"/>
      <sheetName val="2003.02월수금계획"/>
      <sheetName val="2002_건설용역비미수금현황"/>
      <sheetName val="영업소실적"/>
      <sheetName val="Piping Design Data"/>
      <sheetName val="현장"/>
      <sheetName val="MOKDONG(1)"/>
      <sheetName val="회사99"/>
      <sheetName val="9-1차이내역"/>
      <sheetName val="Sheet1"/>
      <sheetName val="손익차9월2"/>
      <sheetName val="공문"/>
      <sheetName val="97 사업추정(WEKI)"/>
      <sheetName val="손익차총괄2"/>
      <sheetName val="공통"/>
      <sheetName val="공통비총괄표"/>
      <sheetName val="Sheet2"/>
      <sheetName val="삭제금지단가"/>
      <sheetName val="P.M 별"/>
      <sheetName val="사업부배부"/>
      <sheetName val="계정실적"/>
      <sheetName val="계정보고"/>
      <sheetName val="계정보고 (2)"/>
      <sheetName val="요약배부"/>
      <sheetName val="요약배부 (보고)"/>
      <sheetName val="요약배부 (보고) (2)"/>
      <sheetName val="10월계정별"/>
      <sheetName val="10월년간추정"/>
      <sheetName val="배부부별"/>
      <sheetName val="배부비목"/>
      <sheetName val="임대원가"/>
      <sheetName val="기타매출"/>
      <sheetName val="기타매출 (2)"/>
      <sheetName val="기타매출 (3)"/>
      <sheetName val="새마을금고"/>
      <sheetName val="Module1"/>
      <sheetName val="참고인원"/>
      <sheetName val="설계"/>
      <sheetName val="품셈TABLE"/>
      <sheetName val="국내"/>
      <sheetName val="수입"/>
      <sheetName val="당초"/>
      <sheetName val="보온자재단가표"/>
      <sheetName val="단가표"/>
      <sheetName val="경비_원본"/>
      <sheetName val="노임단가"/>
      <sheetName val="삼보지질"/>
      <sheetName val="부표총괄"/>
      <sheetName val="품셈1-"/>
      <sheetName val="STAND20"/>
      <sheetName val="95년12월말"/>
      <sheetName val="유림골조"/>
      <sheetName val="95삼성급(본사)"/>
      <sheetName val="合成単価作成表-BLDG"/>
      <sheetName val="집계표(OPTION)"/>
      <sheetName val="상반기손익차2총괄"/>
      <sheetName val="정산표"/>
      <sheetName val="2003_02월수금계획"/>
      <sheetName val="Piping_Design_Data"/>
      <sheetName val="97_사업추정(WEKI)"/>
      <sheetName val="P_M_별"/>
      <sheetName val="일위_파일"/>
      <sheetName val="와동25-3(변경)"/>
      <sheetName val="정산표2"/>
      <sheetName val="M-EQPT-Z"/>
      <sheetName val="소화실적"/>
      <sheetName val="집계표"/>
      <sheetName val="개시대사 (2)"/>
      <sheetName val="보증금(전신전화가입권)"/>
      <sheetName val="부안일위"/>
      <sheetName val="RCF CLAIMED"/>
      <sheetName val="Equipment (5)"/>
      <sheetName val="KP1590_E"/>
      <sheetName val="JOB Assign"/>
      <sheetName val="#REF"/>
      <sheetName val="입찰안"/>
      <sheetName val="현금"/>
      <sheetName val="예가표"/>
      <sheetName val="INPUT DATA"/>
      <sheetName val="B"/>
      <sheetName val="Total"/>
      <sheetName val="Customer Databas"/>
      <sheetName val="EACT10"/>
      <sheetName val="가격조사서"/>
      <sheetName val="금액내역서"/>
      <sheetName val="내역서"/>
      <sheetName val="원가계산서"/>
      <sheetName val="Doha WBS Clean"/>
      <sheetName val="건축"/>
      <sheetName val="적용대가"/>
      <sheetName val="Peralatan (2)"/>
      <sheetName val="공사비PK5월"/>
      <sheetName val="DCS"/>
      <sheetName val="ANALYSER"/>
      <sheetName val="3.바닥판설계"/>
      <sheetName val="주형"/>
      <sheetName val="토사(PE)"/>
      <sheetName val="인원계획"/>
      <sheetName val="사업부배부A"/>
      <sheetName val="eq_data"/>
      <sheetName val="카메라"/>
      <sheetName val="제작비추산총괄표"/>
      <sheetName val="물가자료"/>
      <sheetName val="new급여T(4을-운전)"/>
      <sheetName val="총괄표"/>
      <sheetName val="Sheet3"/>
      <sheetName val="BATCH"/>
      <sheetName val="정부노임단가"/>
      <sheetName val="Sheet11"/>
      <sheetName val="구의33고"/>
      <sheetName val="직S"/>
      <sheetName val="약품설비"/>
      <sheetName val="2003_02월수금계획1"/>
      <sheetName val="Piping_Design_Data1"/>
      <sheetName val="97_사업추정(WEKI)1"/>
      <sheetName val="P_M_별1"/>
      <sheetName val="계정보고_(2)"/>
      <sheetName val="요약배부_(보고)"/>
      <sheetName val="요약배부_(보고)_(2)"/>
      <sheetName val="기타매출_(2)"/>
      <sheetName val="기타매출_(3)"/>
      <sheetName val="개시대사_(2)"/>
      <sheetName val="RCF_CLAIMED"/>
      <sheetName val="Equipment_(5)"/>
      <sheetName val="JOB_Assign"/>
      <sheetName val="INPUT_DATA"/>
      <sheetName val="Customer_Databas"/>
      <sheetName val="Doha_WBS_Clean"/>
      <sheetName val="Peralatan_(2)"/>
      <sheetName val="3_바닥판설계"/>
      <sheetName val="예산M2"/>
      <sheetName val="예산M12A"/>
      <sheetName val="공통가설"/>
      <sheetName val="CB"/>
      <sheetName val="노무비단가"/>
      <sheetName val="cable-data"/>
      <sheetName val="평균인원"/>
      <sheetName val="수안보-MBR1"/>
      <sheetName val="건설성적"/>
      <sheetName val="간접"/>
      <sheetName val="전기혼잡제경비(45)"/>
      <sheetName val="산출서"/>
      <sheetName val="6PILE  (돌출)"/>
      <sheetName val="1월"/>
      <sheetName val="터널조도"/>
      <sheetName val="년말집계"/>
      <sheetName val="sum"/>
      <sheetName val="BLIND FLANGE"/>
      <sheetName val="CAP"/>
      <sheetName val="ELBOW"/>
      <sheetName val="FLANGE"/>
      <sheetName val="PIPE NPS OD"/>
      <sheetName val="OLET"/>
      <sheetName val="REDUCER"/>
      <sheetName val="TEE"/>
      <sheetName val="기계사급자재"/>
      <sheetName val="Paint,Fire-Proof,Insul(48)"/>
      <sheetName val="DB"/>
      <sheetName val="BID"/>
      <sheetName val="설 계"/>
      <sheetName val="품셈표"/>
      <sheetName val="VXXXXXXX"/>
      <sheetName val="#3E1_GCR"/>
      <sheetName val="BRICK"/>
      <sheetName val="Tension"/>
      <sheetName val="15.도급예산대비표"/>
      <sheetName val="배수내역"/>
      <sheetName val="합계잔액시산표"/>
      <sheetName val="상품입고집계"/>
      <sheetName val="SCH"/>
      <sheetName val="조직표"/>
      <sheetName val="필리핀"/>
      <sheetName val="지사인원사무실"/>
      <sheetName val="적용토목"/>
      <sheetName val="평자재단가"/>
      <sheetName val="Summary Sheets"/>
      <sheetName val="B31.1"/>
      <sheetName val="PSIZE"/>
      <sheetName val="청산공사"/>
      <sheetName val="10현장조직"/>
      <sheetName val="협력업체전기요금"/>
      <sheetName val="COVER-P"/>
      <sheetName val="WORKER"/>
      <sheetName val="하조서"/>
      <sheetName val="95하U$가격"/>
      <sheetName val="OD5000"/>
      <sheetName val="WIND"/>
      <sheetName val="DATE"/>
      <sheetName val="COMPRESSOR"/>
      <sheetName val="배수공 주요자재 집계표"/>
      <sheetName val="WIND-EQ"/>
      <sheetName val="HORI. VESSEL"/>
      <sheetName val="현대본사"/>
      <sheetName val="2003_02월수금계획2"/>
      <sheetName val="Piping_Design_Data2"/>
      <sheetName val="97_사업추정(WEKI)2"/>
      <sheetName val="P_M_별2"/>
      <sheetName val="계정보고_(2)1"/>
      <sheetName val="요약배부_(보고)1"/>
      <sheetName val="요약배부_(보고)_(2)1"/>
      <sheetName val="기타매출_(2)1"/>
      <sheetName val="기타매출_(3)1"/>
      <sheetName val="Equipment_(5)1"/>
      <sheetName val="개시대사_(2)1"/>
      <sheetName val="RCF_CLAIMED1"/>
      <sheetName val="JOB_Assign1"/>
      <sheetName val="INPUT_DATA1"/>
      <sheetName val="Customer_Databas1"/>
      <sheetName val="Doha_WBS_Clean1"/>
      <sheetName val="3_바닥판설계1"/>
      <sheetName val="Peralatan_(2)1"/>
      <sheetName val="6PILE__(돌출)"/>
      <sheetName val="BLIND_FLANGE"/>
      <sheetName val="PIPE_NPS_OD"/>
      <sheetName val="설_계"/>
      <sheetName val="15_도급예산대비표"/>
      <sheetName val="Summary_Sheets"/>
      <sheetName val="B31_1"/>
      <sheetName val="토적계산"/>
      <sheetName val="표지"/>
      <sheetName val="96 능제취입"/>
      <sheetName val="content(내부)"/>
      <sheetName val="7.4.1.A(input)"/>
      <sheetName val="7.4.1(B) BOQ Breakdown"/>
      <sheetName val="7.4.1.C(scope)"/>
      <sheetName val="7.4.1.D(Basis)"/>
      <sheetName val="7.4.1.E(allow)"/>
      <sheetName val="7.4.2.A-Build(list)"/>
      <sheetName val="7.4.3.B-BOQ-SUM"/>
      <sheetName val="7.4.3(BOQ_각표지)"/>
      <sheetName val="7.4.3.A(Shelter)"/>
      <sheetName val="7.4.3.B(Module)"/>
      <sheetName val="7.4.3.C(Shelter-FLB)"/>
      <sheetName val="7.4.3.D(Brief Spec.)"/>
      <sheetName val="새공통"/>
      <sheetName val="수문일1"/>
      <sheetName val="일위대가"/>
      <sheetName val="돈"/>
      <sheetName val="기본단가"/>
      <sheetName val="신대방33(적용)"/>
      <sheetName val="수주실적0709"/>
      <sheetName val="실행철강하도"/>
      <sheetName val="1차배부(JB포함)"/>
      <sheetName val="마케팅"/>
      <sheetName val="9GNG운반"/>
      <sheetName val="경비공통"/>
      <sheetName val="VXXXXX"/>
      <sheetName val="도급"/>
      <sheetName val="공통부대비"/>
      <sheetName val="CBE-VSL"/>
      <sheetName val="TTL"/>
      <sheetName val="공정회의자료(월요일 10시까지)"/>
      <sheetName val="수주추정"/>
      <sheetName val="공사비 내역 (가)"/>
      <sheetName val="INPUT DATA OF SCHEDULE"/>
      <sheetName val="세금자료"/>
      <sheetName val="경제지표"/>
      <sheetName val="실적"/>
      <sheetName val="BOROUGE2"/>
      <sheetName val="직원동원SCH"/>
      <sheetName val="99년하반기"/>
      <sheetName val="공사비내역"/>
      <sheetName val="차량별점검"/>
      <sheetName val="토목"/>
      <sheetName val="한화건설"/>
      <sheetName val="실행내역"/>
      <sheetName val="경상"/>
      <sheetName val="Sheet6"/>
      <sheetName val="BQ"/>
      <sheetName val="IMP(MAIN)"/>
      <sheetName val="IMP (REACTOR)"/>
      <sheetName val="재료율"/>
      <sheetName val="제출내역 (2)"/>
      <sheetName val="8"/>
      <sheetName val="10"/>
      <sheetName val="12"/>
      <sheetName val="9"/>
      <sheetName val="11"/>
      <sheetName val="2"/>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손익차9월2"/>
      <sheetName val="97 사업추정(WEKI)"/>
    </sheetNames>
    <sheetDataSet>
      <sheetData sheetId="0"/>
      <sheetData sheetId="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상반기손익차2총괄"/>
      <sheetName val="세금자료"/>
      <sheetName val="영업소실적"/>
      <sheetName val="집계표"/>
      <sheetName val="97 사업추정(WEKI)"/>
      <sheetName val="인원계획"/>
      <sheetName val="수입"/>
      <sheetName val="사업추정"/>
      <sheetName val="95삼성급(본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95삼성급(총괄)"/>
      <sheetName val="95삼성급(본사)"/>
      <sheetName val="95삼성급_본사_"/>
      <sheetName val="삼성초임"/>
      <sheetName val="XL4Poppy"/>
      <sheetName val="eq_data"/>
      <sheetName val="B31.1"/>
      <sheetName val="PSIZE"/>
      <sheetName val="집계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견적기준"/>
      <sheetName val="INDEX"/>
      <sheetName val="INSTR"/>
      <sheetName val="PLC"/>
      <sheetName val="CABLE"/>
      <sheetName val="TRAY"/>
      <sheetName val="JB"/>
      <sheetName val="PIPE"/>
      <sheetName val="TUBE"/>
      <sheetName val="MISC"/>
      <sheetName val="설계기준(내부)"/>
      <sheetName val="eq_data"/>
      <sheetName val="PipWT"/>
      <sheetName val="단면검토"/>
      <sheetName val="설계조건"/>
      <sheetName val="Piping Design Data"/>
      <sheetName val="TYPE-B 평균H"/>
      <sheetName val="직원동원SCH"/>
      <sheetName val="Sheet1"/>
      <sheetName val="MACRO(전선관)"/>
      <sheetName val="Sheet3"/>
      <sheetName val="look-up"/>
      <sheetName val="Lookup"/>
      <sheetName val="BM-PC0840"/>
      <sheetName val="DATA"/>
      <sheetName val="Hoja3"/>
      <sheetName val="Hoja2"/>
      <sheetName val="Table 1"/>
      <sheetName val="IN"/>
      <sheetName val="Total"/>
      <sheetName val="현황CODE"/>
      <sheetName val="손익현황"/>
      <sheetName val="SPEC"/>
      <sheetName val="Cover sheet"/>
      <sheetName val="BQ List"/>
      <sheetName val="SUM"/>
      <sheetName val="RFP002"/>
      <sheetName val="Basis"/>
      <sheetName val="purch-summ-data"/>
      <sheetName val="PEL"/>
      <sheetName val="steam table"/>
      <sheetName val="ISOP"/>
      <sheetName val="Piping_Design_Data"/>
      <sheetName val="TYPE-B_평균H"/>
      <sheetName val="Table_1"/>
      <sheetName val="Piping Cost"/>
      <sheetName val="Units"/>
      <sheetName val="Instructions"/>
      <sheetName val="IT-BAT"/>
      <sheetName val="F-302"/>
      <sheetName val="new급여T(4을-운전)"/>
      <sheetName val="PBS"/>
      <sheetName val="가상data"/>
      <sheetName val="정부노임단가"/>
      <sheetName val="PIPE-SUMMARY"/>
      <sheetName val="PIPE-LINK"/>
      <sheetName val="HALOBUTYL"/>
      <sheetName val="h-013211-2"/>
      <sheetName val="steam_table"/>
      <sheetName val="산근"/>
      <sheetName val="PSIZE"/>
      <sheetName val="공사비 내역 (가)"/>
      <sheetName val="Tipo Terzi"/>
      <sheetName val="P110"/>
      <sheetName val="CONTENTS"/>
      <sheetName val="DSCCI_Print"/>
      <sheetName val="CBE-VSL"/>
      <sheetName val="Testing"/>
      <sheetName val="Pag. 1"/>
      <sheetName val="할증 "/>
      <sheetName val="HRD"/>
      <sheetName val="Macro1"/>
      <sheetName val="#4-1표지"/>
      <sheetName val="Code_Magics"/>
      <sheetName val="Code"/>
      <sheetName val="영업2"/>
      <sheetName val="영업3"/>
      <sheetName val="견적 집계"/>
      <sheetName val="간접비내역-1"/>
      <sheetName val="집계표"/>
      <sheetName val="CALCULATION"/>
      <sheetName val="Anal-1 (Nox-SO2-CO)"/>
      <sheetName val="piping"/>
      <sheetName val="DATA LISTS"/>
      <sheetName val="DCS"/>
      <sheetName val="ANALYSER"/>
      <sheetName val="PROCURE"/>
      <sheetName val="B31.1"/>
      <sheetName val="SUMMARY"/>
      <sheetName val="TABLE"/>
      <sheetName val="갑지(추정)"/>
      <sheetName val="Graph (LGEN)"/>
      <sheetName val="out_prog"/>
      <sheetName val="선적schedule (2)"/>
      <sheetName val="PRICE LIST"/>
      <sheetName val="TABLE2-2 OSBL-(SITE PREP)"/>
      <sheetName val="TOTAL PIPING"/>
      <sheetName val="Bend_fact "/>
      <sheetName val="갑지"/>
      <sheetName val="15010"/>
      <sheetName val="24"/>
      <sheetName val="CPS"/>
      <sheetName val="Cover_sheet"/>
      <sheetName val="BQ_List"/>
      <sheetName val="boq"/>
      <sheetName val="PAD-F"/>
      <sheetName val="Ex-Rate"/>
      <sheetName val="TTL"/>
      <sheetName val="KP1590_E"/>
      <sheetName val="SHL"/>
      <sheetName val="K1"/>
      <sheetName val="OSBL-TOTAL (SEA WATER)"/>
      <sheetName val="상반기손익차2총괄"/>
      <sheetName val="UG분석표"/>
      <sheetName val="95삼성급(본사)"/>
      <sheetName val="ld-sd-dt"/>
      <sheetName val="highlight"/>
      <sheetName val="ld-sd"/>
      <sheetName val="갑지1"/>
      <sheetName val="DESIGN(77C-102A)-2"/>
      <sheetName val="ELECTRICAL"/>
      <sheetName val="비교표"/>
      <sheetName val="BAY별 원가표준"/>
      <sheetName val="기본자료(실행)"/>
      <sheetName val="3cx95sq"/>
      <sheetName val="자재코드"/>
      <sheetName val="ST-CST1"/>
      <sheetName val="OSBL-TOTAL (OTHER WORK)"/>
      <sheetName val="입력값1"/>
      <sheetName val="CABLE DATA"/>
      <sheetName val="Process Piping"/>
      <sheetName val="Insts"/>
      <sheetName val="내역"/>
      <sheetName val="WORK-VOL"/>
      <sheetName val="Daten"/>
      <sheetName val="Connections"/>
      <sheetName val="한강운반비"/>
      <sheetName val="세금자료"/>
      <sheetName val="개시대사 (2)"/>
      <sheetName val="OSBL-TOTAL (CIVIL WORK)"/>
      <sheetName val="MAN-STD"/>
      <sheetName val="Step"/>
      <sheetName val="E_Rate PM"/>
      <sheetName val="TIE-INS"/>
      <sheetName val="제출계산서"/>
      <sheetName val="ISO"/>
      <sheetName val="SOURCE"/>
      <sheetName val="Piping_Design_Data1"/>
      <sheetName val="TYPE-B_평균H1"/>
      <sheetName val="Table_11"/>
      <sheetName val="Piping_Cost"/>
      <sheetName val="Piping_Design_Data2"/>
      <sheetName val="TYPE-B_평균H2"/>
      <sheetName val="Table_12"/>
      <sheetName val="BQ_List1"/>
      <sheetName val="steam_table1"/>
      <sheetName val="Piping_Cost1"/>
      <sheetName val="Cover_sheet1"/>
      <sheetName val="TABLE2-1_ISBL-(SlTE_PREP)"/>
      <sheetName val="TABLE2_1_ISBL_(Soil_Invest)"/>
      <sheetName val="TABLE2-2_OSBL(GENERAL-CIVIL)"/>
      <sheetName val="TABLE2-2_OSBL-(SITE_PREP)"/>
      <sheetName val="#REF"/>
      <sheetName val="code data"/>
      <sheetName val="4002"/>
      <sheetName val="표지"/>
      <sheetName val="Sheeta"/>
      <sheetName val="Units+rev"/>
      <sheetName val="PRESSURE GAUGE"/>
      <sheetName val="SHUTDOWN VALVE"/>
      <sheetName val="조건표"/>
      <sheetName val="WE'T"/>
      <sheetName val="MEXICO-C"/>
      <sheetName val="INST LIST"/>
      <sheetName val="CVA"/>
      <sheetName val="PROCESS"/>
      <sheetName val="내역서"/>
      <sheetName val="DRUM"/>
      <sheetName val="BQMPALOC"/>
      <sheetName val="PumpSpec"/>
      <sheetName val="footing"/>
      <sheetName val="97 사업추정(WEKI)"/>
      <sheetName val="기준"/>
      <sheetName val="대비표"/>
      <sheetName val=" 견적서"/>
      <sheetName val="터널조도"/>
      <sheetName val="견적의뢰"/>
      <sheetName val="B"/>
      <sheetName val="공사비_내역_(가)"/>
      <sheetName val="Tipo_Terzi"/>
      <sheetName val="DATA_LISTS"/>
      <sheetName val="TRICONIX"/>
      <sheetName val="Sheet5"/>
      <sheetName val="Engrg Est"/>
      <sheetName val="COVER-P"/>
      <sheetName val="Material_Group"/>
      <sheetName val="PTrating all"/>
      <sheetName val="Default"/>
      <sheetName val="BQ"/>
      <sheetName val="수입"/>
      <sheetName val="41-42-1"/>
      <sheetName val="BASEINPUT"/>
      <sheetName val="000000"/>
      <sheetName val="E01"/>
      <sheetName val="MVE02"/>
      <sheetName val="DATE"/>
      <sheetName val="Pipe ID"/>
      <sheetName val="notifier"/>
      <sheetName val="OD5000"/>
      <sheetName val="배명(단가)"/>
      <sheetName val="Panel제작명세서"/>
      <sheetName val="ABB"/>
      <sheetName val="노임9월"/>
      <sheetName val="Y-WORK"/>
      <sheetName val="적용환율"/>
      <sheetName val="Taux"/>
      <sheetName val="SCHEDULE"/>
      <sheetName val="Factor"/>
      <sheetName val="당초"/>
      <sheetName val="CAT_5"/>
      <sheetName val="costing_Misc"/>
      <sheetName val="Summary Sheets"/>
      <sheetName val="HVAC"/>
      <sheetName val="DB@Acess"/>
      <sheetName val="Civil"/>
      <sheetName val="costing_Press"/>
      <sheetName val="costing_ESDV"/>
      <sheetName val=" 갑지"/>
      <sheetName val="costing_MOV"/>
      <sheetName val="REDUCER"/>
      <sheetName val="costing_CV"/>
      <sheetName val="Tables"/>
      <sheetName val="合成単価作成表-BLDG"/>
      <sheetName val="POWER"/>
      <sheetName val="w't table"/>
      <sheetName val="COA-17"/>
      <sheetName val="S N"/>
      <sheetName val="costing_FE"/>
      <sheetName val="C-18"/>
      <sheetName val="금액내역서"/>
      <sheetName val="LABTOTAL"/>
      <sheetName val="95신규호표"/>
      <sheetName val="VS배관내역서"/>
      <sheetName val="작성기준"/>
      <sheetName val="Macro"/>
      <sheetName val="노임단가"/>
      <sheetName val="#3_일위대가목록"/>
      <sheetName val="cbe-1"/>
      <sheetName val="MOTOR"/>
      <sheetName val="Submission-Application"/>
      <sheetName val="VL"/>
      <sheetName val="TN"/>
      <sheetName val="ND"/>
      <sheetName val="소상 &quot;1&quot;"/>
      <sheetName val="list"/>
      <sheetName val=""/>
      <sheetName val="동결보온"/>
      <sheetName val="Substn, Pdt Trans, Pack, Others"/>
      <sheetName val="attach(2)"/>
      <sheetName val="소야공정계획표"/>
      <sheetName val="BQLIST"/>
      <sheetName val="1을"/>
      <sheetName val=" "/>
      <sheetName val="연돌일위집계"/>
      <sheetName val="장비"/>
      <sheetName val="노무"/>
      <sheetName val="CYP-O.F"/>
      <sheetName val="Line Details"/>
      <sheetName val="Two Phase"/>
      <sheetName val="물량표"/>
      <sheetName val="Sheet2"/>
      <sheetName val="TYPE-B_평균H3"/>
      <sheetName val="Piping_Design_Data3"/>
      <sheetName val="Table_13"/>
      <sheetName val="BQ_List2"/>
      <sheetName val="steam_table2"/>
      <sheetName val="Piping_Cost2"/>
      <sheetName val="Cover_sheet2"/>
      <sheetName val="공사비_내역_(가)1"/>
      <sheetName val="Tipo_Terzi1"/>
      <sheetName val="할증_"/>
      <sheetName val="PRICE_LIST"/>
      <sheetName val="TABLE2-2_OSBL-(SITE_PREP)1"/>
      <sheetName val="TOTAL_PIPING"/>
      <sheetName val="Bend_fact_"/>
      <sheetName val="DATA_LISTS1"/>
      <sheetName val="Graph_(LGEN)"/>
      <sheetName val="선적schedule_(2)"/>
      <sheetName val="Pag__1"/>
      <sheetName val="견적_집계"/>
      <sheetName val="Anal-1_(Nox-SO2-CO)"/>
      <sheetName val="OSBL-TOTAL_(SEA_WATER)"/>
      <sheetName val="개시대사_(2)"/>
      <sheetName val="E_Rate_PM"/>
      <sheetName val="OSBL-TOTAL_(CIVIL_WORK)"/>
      <sheetName val="PRESSURE_GAUGE"/>
      <sheetName val="SHUTDOWN_VALVE"/>
      <sheetName val="B31_1"/>
      <sheetName val="Process_Piping"/>
      <sheetName val="code_data"/>
      <sheetName val="97_사업추정(WEKI)"/>
      <sheetName val="OSBL-TOTAL_(OTHER_WORK)"/>
      <sheetName val="Pipe_ID"/>
      <sheetName val="PTrating_all"/>
      <sheetName val="INST_LIST"/>
      <sheetName val="_견적서"/>
      <sheetName val="BAY별_원가표준"/>
      <sheetName val="CABLE_DATA"/>
      <sheetName val="burner-spare"/>
      <sheetName val="조도계산서 (도서)"/>
      <sheetName val="Euro-conversion"/>
      <sheetName val="설계서"/>
      <sheetName val="BM"/>
      <sheetName val="BOM_DWG"/>
      <sheetName val="Notes for BOQ"/>
      <sheetName val="Piping_Design_Data5"/>
      <sheetName val="TYPE-B_평균H5"/>
      <sheetName val="Table_15"/>
      <sheetName val="BQ_List4"/>
      <sheetName val="Piping_Cost4"/>
      <sheetName val="Cover_sheet4"/>
      <sheetName val="steam_table4"/>
      <sheetName val="공사비_내역_(가)2"/>
      <sheetName val="Tipo_Terzi2"/>
      <sheetName val="Pag__12"/>
      <sheetName val="할증_2"/>
      <sheetName val="견적_집계2"/>
      <sheetName val="Anal-1_(Nox-SO2-CO)2"/>
      <sheetName val="DATA_LISTS2"/>
      <sheetName val="TABLE2-2_OSBL-(SITE_PREP)3"/>
      <sheetName val="TOTAL_PIPING2"/>
      <sheetName val="Bend_fact_2"/>
      <sheetName val="PRICE_LIST2"/>
      <sheetName val="Graph_(LGEN)2"/>
      <sheetName val="선적schedule_(2)2"/>
      <sheetName val="Process_Piping2"/>
      <sheetName val="OSBL-TOTAL_(SEA_WATER)2"/>
      <sheetName val="INST_LIST2"/>
      <sheetName val="개시대사_(2)2"/>
      <sheetName val="OSBL-TOTAL_(CIVIL_WORK)2"/>
      <sheetName val="E_Rate_PM2"/>
      <sheetName val="code_data2"/>
      <sheetName val="Piping_Design_Data4"/>
      <sheetName val="TYPE-B_평균H4"/>
      <sheetName val="Table_14"/>
      <sheetName val="BQ_List3"/>
      <sheetName val="Piping_Cost3"/>
      <sheetName val="Cover_sheet3"/>
      <sheetName val="steam_table3"/>
      <sheetName val="Pag__11"/>
      <sheetName val="할증_1"/>
      <sheetName val="견적_집계1"/>
      <sheetName val="Anal-1_(Nox-SO2-CO)1"/>
      <sheetName val="TABLE2-2_OSBL-(SITE_PREP)2"/>
      <sheetName val="TOTAL_PIPING1"/>
      <sheetName val="Bend_fact_1"/>
      <sheetName val="PRICE_LIST1"/>
      <sheetName val="Graph_(LGEN)1"/>
      <sheetName val="선적schedule_(2)1"/>
      <sheetName val="Process_Piping1"/>
      <sheetName val="OSBL-TOTAL_(SEA_WATER)1"/>
      <sheetName val="INST_LIST1"/>
      <sheetName val="개시대사_(2)1"/>
      <sheetName val="OSBL-TOTAL_(CIVIL_WORK)1"/>
      <sheetName val="E_Rate_PM1"/>
      <sheetName val="code_data1"/>
      <sheetName val="Cost_Summary1"/>
      <sheetName val="Summary_Sheets1"/>
      <sheetName val="ITB_COST1"/>
      <sheetName val="DWTables"/>
      <sheetName val="BOM_DCS"/>
      <sheetName val="Piping_Design_Data6"/>
      <sheetName val="TYPE-B_평균H6"/>
      <sheetName val="Table_16"/>
      <sheetName val="BQ_List5"/>
      <sheetName val="Piping_Cost5"/>
      <sheetName val="Cover_sheet5"/>
      <sheetName val="steam_table5"/>
      <sheetName val="공사비_내역_(가)3"/>
      <sheetName val="Tipo_Terzi3"/>
      <sheetName val="Pag__13"/>
      <sheetName val="할증_3"/>
      <sheetName val="견적_집계3"/>
      <sheetName val="Anal-1_(Nox-SO2-CO)3"/>
      <sheetName val="DATA_LISTS3"/>
      <sheetName val="TABLE2-2_OSBL-(SITE_PREP)4"/>
      <sheetName val="TOTAL_PIPING3"/>
      <sheetName val="Bend_fact_3"/>
      <sheetName val="PRICE_LIST3"/>
      <sheetName val="Graph_(LGEN)3"/>
      <sheetName val="선적schedule_(2)3"/>
      <sheetName val="Process_Piping3"/>
      <sheetName val="OSBL-TOTAL_(SEA_WATER)3"/>
      <sheetName val="INST_LIST3"/>
      <sheetName val="개시대사_(2)3"/>
      <sheetName val="OSBL-TOTAL_(CIVIL_WORK)3"/>
      <sheetName val="E_Rate_PM3"/>
      <sheetName val="code_data3"/>
      <sheetName val="PRO_DCI"/>
      <sheetName val="ELEC_DCI"/>
      <sheetName val="INST_DCI"/>
      <sheetName val="JOINT1"/>
      <sheetName val="PAGE 3_GENERAL DETAILS"/>
      <sheetName val="IO"/>
      <sheetName val="Integration"/>
      <sheetName val="PRESSURE_GAUGE1"/>
      <sheetName val="SHUTDOWN_VALVE1"/>
      <sheetName val="B31_11"/>
      <sheetName val="97_사업추정(WEKI)1"/>
      <sheetName val="OSBL-TOTAL_(OTHER_WORK)1"/>
      <sheetName val="_견적서1"/>
      <sheetName val="Engrg_Est1"/>
      <sheetName val="CABLE_DATA1"/>
      <sheetName val="BAY별_원가표준1"/>
      <sheetName val="PTrating_all1"/>
      <sheetName val="Pipe_ID1"/>
      <sheetName val="_갑지1"/>
      <sheetName val="w't_table1"/>
      <sheetName val="S_N1"/>
      <sheetName val="소상_&quot;1&quot;1"/>
      <sheetName val="Substn,_Pdt_Trans,_Pack,_Other1"/>
      <sheetName val="Engrg_Est"/>
      <sheetName val="Summary_Sheets"/>
      <sheetName val="_갑지"/>
      <sheetName val="w't_table"/>
      <sheetName val="S_N"/>
      <sheetName val="소상_&quot;1&quot;"/>
      <sheetName val="Substn,_Pdt_Trans,_Pack,_Others"/>
      <sheetName val="DropBox"/>
      <sheetName val="유효성 검사"/>
      <sheetName val="TN IO_LIST"/>
      <sheetName val="6PILE  (돌출)"/>
      <sheetName val="CAL."/>
      <sheetName val="유효성검사"/>
      <sheetName val="자문요청"/>
      <sheetName val="mto-rev0B"/>
      <sheetName val="기준액"/>
      <sheetName val="MATRIAL"/>
      <sheetName val="laroux"/>
      <sheetName val="I_O Module"/>
      <sheetName val="PIPES"/>
      <sheetName val="Piping_Design_Data7"/>
      <sheetName val="TYPE-B_평균H7"/>
      <sheetName val="Table_17"/>
      <sheetName val="Cover_sheet6"/>
      <sheetName val="BQ_List6"/>
      <sheetName val="steam_table6"/>
      <sheetName val="Piping_Cost6"/>
      <sheetName val="Pag__14"/>
      <sheetName val="할증_4"/>
      <sheetName val="견적_집계4"/>
      <sheetName val="공사비_내역_(가)4"/>
      <sheetName val="Tipo_Terzi4"/>
      <sheetName val="PRICE_LIST4"/>
      <sheetName val="Anal-1_(Nox-SO2-CO)4"/>
      <sheetName val="Graph_(LGEN)4"/>
      <sheetName val="선적schedule_(2)4"/>
      <sheetName val="DATA_LISTS4"/>
      <sheetName val="TABLE2-2_OSBL-(SITE_PREP)5"/>
      <sheetName val="TOTAL_PIPING4"/>
      <sheetName val="Bend_fact_4"/>
      <sheetName val="Process_Piping4"/>
      <sheetName val="INST_LIST4"/>
      <sheetName val="OSBL-TOTAL_(SEA_WATER)4"/>
      <sheetName val="개시대사_(2)4"/>
      <sheetName val="OSBL-TOTAL_(CIVIL_WORK)4"/>
      <sheetName val="E_Rate_PM4"/>
      <sheetName val="code_data4"/>
      <sheetName val="PRESSURE_GAUGE2"/>
      <sheetName val="SHUTDOWN_VALVE2"/>
      <sheetName val="97_사업추정(WEKI)2"/>
      <sheetName val="OSBL-TOTAL_(OTHER_WORK)2"/>
      <sheetName val="_견적서2"/>
      <sheetName val="B31_12"/>
      <sheetName val="Engrg_Est2"/>
      <sheetName val="CABLE_DATA2"/>
      <sheetName val="BAY별_원가표준2"/>
      <sheetName val="Pipe_ID2"/>
      <sheetName val="PTrating_all2"/>
      <sheetName val="Summary_Sheets2"/>
      <sheetName val="_갑지2"/>
      <sheetName val="w't_table2"/>
      <sheetName val="S_N2"/>
      <sheetName val="소상_&quot;1&quot;2"/>
      <sheetName val="Substn,_Pdt_Trans,_Pack,_Other2"/>
      <sheetName val="Line_Details"/>
      <sheetName val="Two_Phase"/>
      <sheetName val="_"/>
      <sheetName val="CYP-O_F"/>
      <sheetName val="조도계산서_(도서)"/>
      <sheetName val="Notes_for_BOQ"/>
      <sheetName val="PAGE_3_GENERAL_DETAILS"/>
      <sheetName val="TN_IO_LIST"/>
      <sheetName val="유효성_검사"/>
      <sheetName val="2001概算定额"/>
      <sheetName val="RNRLRPL2"/>
      <sheetName val="PRO_A"/>
      <sheetName val="DWG"/>
      <sheetName val="ELEC_MCI"/>
      <sheetName val="MAIN"/>
      <sheetName val="INST_MCI"/>
      <sheetName val="MECH_MCI"/>
      <sheetName val="PRO"/>
      <sheetName val="Activity(new)"/>
      <sheetName val="Total(new)"/>
      <sheetName val="현장지지물물량"/>
      <sheetName val="Basic"/>
      <sheetName val="VESSELS &amp; COLUMNS"/>
      <sheetName val="설정"/>
      <sheetName val="Alternator"/>
      <sheetName val="일위대가"/>
      <sheetName val="Proposal"/>
      <sheetName val="원가 BOM-SLV,LND"/>
      <sheetName val="MTP"/>
      <sheetName val="6PILE__(돌출)"/>
      <sheetName val="CAL_"/>
      <sheetName val="Piping_Design_Data8"/>
      <sheetName val="TYPE-B_평균H8"/>
      <sheetName val="Table_18"/>
      <sheetName val="BQ_List7"/>
      <sheetName val="steam_table7"/>
      <sheetName val="Piping_Cost7"/>
      <sheetName val="Cover_sheet7"/>
      <sheetName val="공사비_내역_(가)5"/>
      <sheetName val="할증_5"/>
      <sheetName val="TABLE2-2_OSBL-(SITE_PREP)6"/>
      <sheetName val="TOTAL_PIPING5"/>
      <sheetName val="Bend_fact_5"/>
      <sheetName val="Tipo_Terzi5"/>
      <sheetName val="DATA_LISTS5"/>
      <sheetName val="PRICE_LIST5"/>
      <sheetName val="Pag__15"/>
      <sheetName val="OSBL-TOTAL_(SEA_WATER)5"/>
      <sheetName val="견적_집계5"/>
      <sheetName val="Anal-1_(Nox-SO2-CO)5"/>
      <sheetName val="Graph_(LGEN)5"/>
      <sheetName val="선적schedule_(2)5"/>
      <sheetName val="개시대사_(2)5"/>
      <sheetName val="OSBL-TOTAL_(CIVIL_WORK)5"/>
      <sheetName val="E_Rate_PM5"/>
      <sheetName val="Process_Piping5"/>
      <sheetName val="code_data5"/>
      <sheetName val="OSBL-TOTAL_(OTHER_WORK)3"/>
      <sheetName val="B31_13"/>
      <sheetName val="PRESSURE_GAUGE3"/>
      <sheetName val="SHUTDOWN_VALVE3"/>
      <sheetName val="BAY별_원가표준3"/>
      <sheetName val="CABLE_DATA3"/>
      <sheetName val="INST_LIST5"/>
      <sheetName val="97_사업추정(WEKI)3"/>
      <sheetName val="_견적서3"/>
      <sheetName val="Pipe_ID3"/>
      <sheetName val="PTrating_all3"/>
      <sheetName val="Engrg_Est3"/>
      <sheetName val="소상_&quot;1&quot;3"/>
      <sheetName val="Substn,_Pdt_Trans,_Pack,_Other3"/>
      <sheetName val="_1"/>
      <sheetName val="조도계산서_(도서)1"/>
      <sheetName val="CYP-O_F1"/>
      <sheetName val="Summary_Sheets3"/>
      <sheetName val="_갑지3"/>
      <sheetName val="w't_table3"/>
      <sheetName val="S_N3"/>
      <sheetName val="Line_Details1"/>
      <sheetName val="Two_Phase1"/>
      <sheetName val="Notes_for_BOQ1"/>
      <sheetName val="Datasheet for STRAINER"/>
      <sheetName val="PAGE_3_GENERAL_DETAILS1"/>
      <sheetName val="유효성_검사1"/>
      <sheetName val="6PILE__(돌출)1"/>
      <sheetName val="CAL_1"/>
      <sheetName val="TN_IO_LIST1"/>
      <sheetName val="4B - (1) Materials"/>
      <sheetName val="GROUP"/>
      <sheetName val="자바라1"/>
      <sheetName val="Engg-Exec-2"/>
      <sheetName val="Site-Precom-2"/>
      <sheetName val="Cont"/>
      <sheetName val="Ranges"/>
      <sheetName val="User"/>
      <sheetName val="MHRS"/>
      <sheetName val="BELİRLENECEKLER"/>
      <sheetName val="재료비"/>
      <sheetName val="EVVK"/>
      <sheetName val="EVVG"/>
      <sheetName val="EYDS"/>
      <sheetName val="EVVB"/>
      <sheetName val="EVVD"/>
      <sheetName val="EVVC"/>
      <sheetName val="EFF"/>
      <sheetName val="EFFH"/>
      <sheetName val="EVVH"/>
      <sheetName val="EVVF"/>
      <sheetName val="EVVE"/>
      <sheetName val="EVVM"/>
      <sheetName val="EFFB"/>
      <sheetName val="EMMT"/>
      <sheetName val="EMMC"/>
      <sheetName val="EMMA"/>
      <sheetName val="HVAC_DCI"/>
      <sheetName val="PIPE_DCI"/>
      <sheetName val="역T형"/>
      <sheetName val="parameters"/>
      <sheetName val="dr &amp; wd"/>
      <sheetName val="細目"/>
      <sheetName val="Man-month Chart - Overall"/>
      <sheetName val="MH(on site)"/>
      <sheetName val="Heat"/>
      <sheetName val="TABLE-A"/>
      <sheetName val="基数"/>
      <sheetName val="salary"/>
      <sheetName val="AC"/>
      <sheetName val="Cashflow Analysis"/>
      <sheetName val="TYPE-B_평균H9"/>
      <sheetName val="Piping_Design_Data9"/>
      <sheetName val="Table_19"/>
      <sheetName val="BQ_List8"/>
      <sheetName val="Cover_sheet8"/>
      <sheetName val="steam_table8"/>
      <sheetName val="code_data6"/>
      <sheetName val="Piping_Cost8"/>
      <sheetName val="공사비_내역_(가)6"/>
      <sheetName val="Tipo_Terzi6"/>
      <sheetName val="DATA_LISTS6"/>
      <sheetName val="Pag__16"/>
      <sheetName val="할증_6"/>
      <sheetName val="B31_14"/>
      <sheetName val="PRICE_LIST6"/>
      <sheetName val="견적_집계6"/>
      <sheetName val="Anal-1_(Nox-SO2-CO)6"/>
      <sheetName val="TABLE2-2_OSBL-(SITE_PREP)7"/>
      <sheetName val="TOTAL_PIPING6"/>
      <sheetName val="Bend_fact_6"/>
      <sheetName val="Graph_(LGEN)6"/>
      <sheetName val="선적schedule_(2)6"/>
      <sheetName val="Process_Piping6"/>
      <sheetName val="OSBL-TOTAL_(SEA_WATER)6"/>
      <sheetName val="INST_LIST6"/>
      <sheetName val="개시대사_(2)6"/>
      <sheetName val="OSBL-TOTAL_(CIVIL_WORK)6"/>
      <sheetName val="E_Rate_PM6"/>
      <sheetName val="BAY별_원가표준4"/>
      <sheetName val="OSBL-TOTAL_(OTHER_WORK)4"/>
      <sheetName val="CABLE_DATA4"/>
      <sheetName val="PRESSURE_GAUGE4"/>
      <sheetName val="SHUTDOWN_VALVE4"/>
      <sheetName val="97_사업추정(WEKI)4"/>
      <sheetName val="Engrg_Est4"/>
      <sheetName val="PTrating_all4"/>
      <sheetName val="_견적서4"/>
      <sheetName val="Pipe_ID4"/>
      <sheetName val="Summary_Sheets4"/>
      <sheetName val="_갑지4"/>
      <sheetName val="w't_table4"/>
      <sheetName val="S_N4"/>
      <sheetName val="소상_&quot;1&quot;4"/>
      <sheetName val="Substn,_Pdt_Trans,_Pack,_Other4"/>
      <sheetName val="_2"/>
      <sheetName val="CYP-O_F2"/>
      <sheetName val="Line_Details2"/>
      <sheetName val="Two_Phase2"/>
      <sheetName val="조도계산서_(도서)2"/>
      <sheetName val="Notes_for_BOQ2"/>
      <sheetName val="TN_IO_LIST2"/>
      <sheetName val="PAGE_3_GENERAL_DETAILS2"/>
      <sheetName val="유효성_검사2"/>
      <sheetName val="6PILE__(돌출)2"/>
      <sheetName val="CAL_2"/>
      <sheetName val="VESSELS_&amp;_COLUMNS"/>
      <sheetName val="I_O_Module"/>
      <sheetName val="4B_-_(1)_Materials"/>
      <sheetName val="VA_code"/>
      <sheetName val="EQUIP"/>
      <sheetName val="단면가정"/>
      <sheetName val="ABUT수량-A1"/>
      <sheetName val="Breakdown-1"/>
      <sheetName val="Add"/>
      <sheetName val="Equipment"/>
      <sheetName val="원가_BOM-SLV,LND"/>
      <sheetName val="Datasheet_for_STRAINER"/>
      <sheetName val="dr_&amp;_wd"/>
      <sheetName val="L V Separator"/>
      <sheetName val="Man-month_Chart_-_Overall"/>
      <sheetName val="MH(on_site)"/>
      <sheetName val="Cash2"/>
      <sheetName val="Z"/>
      <sheetName val="손익차9월2"/>
      <sheetName val="영업소실적"/>
      <sheetName val="data_dci"/>
      <sheetName val="data_mci"/>
      <sheetName val="9-1차이내역"/>
      <sheetName val="behind"/>
      <sheetName val="간접비(1)"/>
      <sheetName val="SS2"/>
      <sheetName val="수주현황2월"/>
      <sheetName val="인원계획"/>
      <sheetName val="General Data"/>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refreshError="1"/>
      <sheetData sheetId="400" refreshError="1"/>
      <sheetData sheetId="401" refreshError="1"/>
      <sheetData sheetId="402" refreshError="1"/>
      <sheetData sheetId="403" refreshError="1"/>
      <sheetData sheetId="404" refreshError="1"/>
      <sheetData sheetId="405" refreshError="1"/>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refreshError="1"/>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refreshError="1"/>
      <sheetData sheetId="673" refreshError="1"/>
      <sheetData sheetId="674" refreshError="1"/>
      <sheetData sheetId="675" refreshError="1"/>
      <sheetData sheetId="676" refreshError="1"/>
      <sheetData sheetId="677" refreshError="1"/>
      <sheetData sheetId="678" refreshError="1"/>
      <sheetData sheetId="679"/>
      <sheetData sheetId="680"/>
      <sheetData sheetId="681"/>
      <sheetData sheetId="682" refreshError="1"/>
      <sheetData sheetId="683"/>
      <sheetData sheetId="684"/>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ual"/>
      <sheetName val="equipment"/>
      <sheetName val="eq_data"/>
      <sheetName val="out_put"/>
      <sheetName val="drawing"/>
      <sheetName val="Loading"/>
      <sheetName val="Sheet1"/>
      <sheetName val="Sheet2"/>
      <sheetName val="Sheet3"/>
      <sheetName val="ELEC_DCI"/>
      <sheetName val="INST_DCI"/>
      <sheetName val="h-013211-2"/>
      <sheetName val="개시대사 (2)"/>
      <sheetName val="fdn_bm_pro"/>
    </sheetNames>
    <definedNames>
      <definedName name="_________________KT66"/>
      <definedName name="________________KT66"/>
      <definedName name="_______________KT66"/>
      <definedName name="______________KT66"/>
      <definedName name="_____________KT66"/>
      <definedName name="____________KT66"/>
      <definedName name="___________KT66"/>
      <definedName name="__________KT66"/>
      <definedName name="________KT66"/>
      <definedName name="_______KT66"/>
      <definedName name="______KT66"/>
      <definedName name="_____KT66"/>
      <definedName name="____KT66"/>
      <definedName name="___KT66"/>
      <definedName name="__KT66"/>
      <definedName name="_KT66"/>
      <definedName name="ClearSheet"/>
    </definedNames>
    <sheetDataSet>
      <sheetData sheetId="0"/>
      <sheetData sheetId="1"/>
      <sheetData sheetId="2" refreshError="1"/>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IVITY"/>
      <sheetName val="h-013211-2"/>
      <sheetName val="영업소실적"/>
      <sheetName val="개시대사 (2)"/>
    </sheetNames>
    <sheetDataSet>
      <sheetData sheetId="0" refreshError="1"/>
      <sheetData sheetId="1" refreshError="1"/>
      <sheetData sheetId="2" refreshError="1"/>
      <sheetData sheetId="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COVER"/>
      <sheetName val="2.Contents"/>
      <sheetName val="Trench"/>
      <sheetName val="Duct Bank"/>
      <sheetName val="Small Foundation"/>
      <sheetName val="Lighting Pole"/>
      <sheetName val="Man Hole"/>
      <sheetName val="Anode Well &amp; Insert Plate"/>
      <sheetName val="Earthing Inspectio Pit"/>
      <sheetName val="Substation"/>
      <sheetName val="cable trench bm"/>
      <sheetName val="route marker"/>
      <sheetName val="EICS DB"/>
      <sheetName val="earthing material"/>
      <sheetName val="L V Separator"/>
      <sheetName val="h-01321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BM"/>
      <sheetName val="DRUM"/>
      <sheetName val="표지"/>
      <sheetName val="EQUIPMENT"/>
      <sheetName val="HO ENG MH CAL"/>
      <sheetName val="공문"/>
      <sheetName val="고압수량(철거)"/>
      <sheetName val="DATA"/>
      <sheetName val="7.2세부 부하계산서"/>
      <sheetName val="MAN-Sch"/>
      <sheetName val="h-013211-2"/>
      <sheetName val="INPUT DATA"/>
      <sheetName val="CAT_5"/>
      <sheetName val="Eq. Mobilization"/>
      <sheetName val="INSTR"/>
      <sheetName val="Factor"/>
      <sheetName val=" 갑지"/>
      <sheetName val="#REF"/>
      <sheetName val="산근"/>
      <sheetName val="PRC_BDWN-95"/>
      <sheetName val="DHEQSUPT"/>
      <sheetName val="HO_ENG_MH_CAL"/>
      <sheetName val="7_2세부_부하계산서"/>
      <sheetName val="INPUT_DATA"/>
      <sheetName val="Condition"/>
      <sheetName val="BQMPALOC"/>
      <sheetName val="Price Detail"/>
      <sheetName val="내역서"/>
      <sheetName val="대비표"/>
      <sheetName val="jobhist"/>
      <sheetName val="COVER-P"/>
      <sheetName val="TDIBM1"/>
      <sheetName val="집계표(OPTION)"/>
      <sheetName val="UG_BOM"/>
      <sheetName val="EQ Total"/>
      <sheetName val="기계내역서"/>
      <sheetName val="목표세부명세"/>
      <sheetName val="Base_Data"/>
      <sheetName val="CIVIL BOQ"/>
      <sheetName val="RAW COST SUMMARY"/>
      <sheetName val="BLDG BOQ"/>
      <sheetName val="rate analyses"/>
      <sheetName val="PBS"/>
      <sheetName val="PRC-SUM"/>
      <sheetName val="costing_CV"/>
      <sheetName val="eq_data"/>
      <sheetName val="PUMP_SHT"/>
      <sheetName val="costing_ESDV"/>
      <sheetName val="costing_FE"/>
      <sheetName val="General_Data"/>
      <sheetName val="costing_Misc"/>
      <sheetName val="costing_MOV"/>
      <sheetName val="costing_Press"/>
      <sheetName val="3004-2"/>
      <sheetName val="_갑지1"/>
      <sheetName val="CAL"/>
      <sheetName val="운반"/>
      <sheetName val="ITB COST"/>
      <sheetName val="TABLE"/>
      <sheetName val="Settings"/>
      <sheetName val="DS Oil System"/>
      <sheetName val="Sheet1"/>
      <sheetName val="AOP Summary-2"/>
      <sheetName val="CABLE"/>
      <sheetName val="Total"/>
      <sheetName val="KP1590_E"/>
      <sheetName val="Eq__Mobilization"/>
      <sheetName val="HO_ENG_MH_CAL1"/>
      <sheetName val="INPUT_DATA1"/>
      <sheetName val="Eq__Mobilization1"/>
      <sheetName val="노임 단가"/>
      <sheetName val="DB@Acess"/>
      <sheetName val="Civil"/>
      <sheetName val="Al-Suwaidi"/>
      <sheetName val="footing"/>
      <sheetName val="7_2세부_부하계산서1"/>
      <sheetName val="LABCOST"/>
      <sheetName val="단가(자재)"/>
      <sheetName val="단가(노임)"/>
      <sheetName val="기초목록"/>
      <sheetName val="CASH"/>
      <sheetName val="PRO_DCI"/>
      <sheetName val="INST_DCI"/>
      <sheetName val="HVAC_DCI"/>
      <sheetName val="PIPE_DCI"/>
      <sheetName val="BLDG_DCI"/>
      <sheetName val="BLDG_MCI"/>
      <sheetName val="일위대가"/>
      <sheetName val="갑지"/>
      <sheetName val="Pjt Data"/>
      <sheetName val="PROCURE"/>
      <sheetName val="Proposal"/>
      <sheetName val="_갑지"/>
      <sheetName val="ITB_COST"/>
      <sheetName val="CIVIL_BOQ"/>
      <sheetName val="RAW_COST_SUMMARY"/>
      <sheetName val="BLDG_BOQ"/>
      <sheetName val="rate_analyses"/>
      <sheetName val="sum"/>
      <sheetName val="lookup"/>
      <sheetName val="부표총괄"/>
      <sheetName val="calc"/>
      <sheetName val="plan&amp;section of foundation"/>
      <sheetName val="pile bearing capa &amp; arrenge"/>
      <sheetName val="design load"/>
      <sheetName val="working load at the btm ft."/>
      <sheetName val="stability check"/>
      <sheetName val="design criteria"/>
      <sheetName val="Code"/>
      <sheetName val="PIPE도장"/>
      <sheetName val="2.배관"/>
      <sheetName val="수량증감대비표"/>
      <sheetName val="공사비증감"/>
      <sheetName val="B"/>
      <sheetName val="M 11"/>
      <sheetName val="PIPING"/>
      <sheetName val="insulation"/>
      <sheetName val="Sheet4"/>
      <sheetName val="PIPE"/>
      <sheetName val="수량산출1"/>
      <sheetName val="수량산출2"/>
      <sheetName val="수량산출3"/>
      <sheetName val="수량산출4"/>
      <sheetName val="TYPE-B 평균H"/>
      <sheetName val="PIPE (SG)-발수"/>
      <sheetName val="E45(SG)-발수"/>
      <sheetName val="E90(SG)-발수"/>
      <sheetName val="도"/>
      <sheetName val="BID"/>
      <sheetName val="D-623D"/>
      <sheetName val="Macro"/>
      <sheetName val="Taux"/>
      <sheetName val="F4-F7"/>
      <sheetName val="월별"/>
      <sheetName val="ANA&amp;DESIGN&amp;REINF ."/>
      <sheetName val="PRIMARY LOAD"/>
      <sheetName val="DIMENSION"/>
      <sheetName val="EXT.CHECK"/>
      <sheetName val="SUMMARY"/>
      <sheetName val="공사비예산서(토목분)"/>
      <sheetName val="집계표"/>
      <sheetName val="할증 "/>
      <sheetName val="내역"/>
      <sheetName val="DATA1"/>
      <sheetName val="OIL SYST DATA SHTS"/>
      <sheetName val="Compressors"/>
      <sheetName val="TTL"/>
      <sheetName val="Default"/>
      <sheetName val="원본"/>
      <sheetName val="뜃맟뭁돽띿맟?-BLDG"/>
      <sheetName val="Cash2"/>
      <sheetName val="Z"/>
      <sheetName val="cable-data"/>
      <sheetName val="금융비용"/>
      <sheetName val="Prioriry"/>
      <sheetName val="피벗테이블"/>
      <sheetName val="95삼성급(본사)"/>
      <sheetName val="trf(36%)"/>
      <sheetName val="공사비 분석표"/>
      <sheetName val="MEXICO-C"/>
      <sheetName val="FitOutConfCentre"/>
      <sheetName val="기준"/>
      <sheetName val="연돌일위집계"/>
      <sheetName val="금액내역서"/>
      <sheetName val="전기공사"/>
      <sheetName val="Food court "/>
      <sheetName val="무시"/>
      <sheetName val="상반기손익차2총괄"/>
      <sheetName val="9-1차이내역"/>
      <sheetName val="97 사업추정(WEKI)"/>
      <sheetName val="손익차9월2"/>
      <sheetName val="회사99"/>
      <sheetName val="주관사업"/>
      <sheetName val="A"/>
      <sheetName val="노원열병합  건축공사기성내역서"/>
      <sheetName val="K"/>
      <sheetName val="BACK DATA"/>
      <sheetName val="영업소실적"/>
      <sheetName val="IT-BAT"/>
      <sheetName val="TOEC"/>
      <sheetName val="을지"/>
      <sheetName val="세금자료"/>
      <sheetName val="사업부배부A"/>
      <sheetName val="직원동원계획"/>
      <sheetName val="인원계획"/>
      <sheetName val="요약배부"/>
      <sheetName val="수입"/>
      <sheetName val="WBS"/>
      <sheetName val="Inst_Type"/>
      <sheetName val="Loop Type"/>
      <sheetName val="인사자료총집계"/>
      <sheetName val="MAN-STD"/>
      <sheetName val="간접비 총괄표"/>
      <sheetName val="parts-V2"/>
      <sheetName val="REINF."/>
      <sheetName val="SKETCH"/>
      <sheetName val="BOQ"/>
      <sheetName val="LENTH"/>
      <sheetName val="Resource table"/>
      <sheetName val="L V Separator"/>
      <sheetName val="Import"/>
      <sheetName val="Invoice (Summary)"/>
      <sheetName val="Invoice (IBL)"/>
      <sheetName val="Invoice (OBL)"/>
      <sheetName val="HO_ENG_MH_CAL2"/>
      <sheetName val="7_2세부_부하계산서2"/>
      <sheetName val="INPUT_DATA2"/>
      <sheetName val="_갑지2"/>
      <sheetName val="EQ_Total"/>
      <sheetName val="CIVIL_BOQ1"/>
      <sheetName val="RAW_COST_SUMMARY1"/>
      <sheetName val="BLDG_BOQ1"/>
      <sheetName val="rate_analyses1"/>
      <sheetName val="Price_Detail"/>
      <sheetName val="DS_Oil_System"/>
      <sheetName val="ITB_COST1"/>
      <sheetName val="노임_단가"/>
      <sheetName val="AOP_Summary-2"/>
      <sheetName val="Pjt_Data"/>
      <sheetName val="plan&amp;section_of_foundation"/>
      <sheetName val="pile_bearing_capa_&amp;_arrenge"/>
      <sheetName val="design_load"/>
      <sheetName val="working_load_at_the_btm_ft_"/>
      <sheetName val="stability_check"/>
      <sheetName val="design_criteria"/>
      <sheetName val="2_배관"/>
      <sheetName val="SG"/>
      <sheetName val="[TDIBM1.X೺_x0000_ഈ_x0000__x0000__x0000__x0000__x0000_G_MH_CAL"/>
      <sheetName val="말뚝지지력산정"/>
      <sheetName val="실행(1)"/>
      <sheetName val="Overall Status"/>
      <sheetName val="wagerate"/>
      <sheetName val="ENG_prog"/>
      <sheetName val="Resource summary"/>
      <sheetName val="bdown"/>
      <sheetName val="CostDB"/>
      <sheetName val="실행자재"/>
      <sheetName val="Resource"/>
      <sheetName val="Break Down"/>
      <sheetName val="BQ"/>
      <sheetName val="3.Breakdown Direct Instrument"/>
      <sheetName val="Inside building Summary"/>
      <sheetName val="HO_ENG_MH_CAL3"/>
      <sheetName val="INPUT_DATA3"/>
      <sheetName val="7_2세부_부하계산서3"/>
      <sheetName val="Eq__Mobilization2"/>
      <sheetName val="_갑지3"/>
      <sheetName val="EQ_Total1"/>
      <sheetName val="CIVIL_BOQ2"/>
      <sheetName val="RAW_COST_SUMMARY2"/>
      <sheetName val="BLDG_BOQ2"/>
      <sheetName val="rate_analyses2"/>
      <sheetName val="Price_Detail1"/>
      <sheetName val="ITB_COST2"/>
      <sheetName val="DS_Oil_System1"/>
      <sheetName val="노임_단가1"/>
      <sheetName val="AOP_Summary-21"/>
      <sheetName val="plan&amp;section_of_foundation1"/>
      <sheetName val="pile_bearing_capa_&amp;_arrenge1"/>
      <sheetName val="design_load1"/>
      <sheetName val="working_load_at_the_btm_ft_1"/>
      <sheetName val="stability_check1"/>
      <sheetName val="design_criteria1"/>
      <sheetName val="Pjt_Data1"/>
      <sheetName val="2_배관1"/>
      <sheetName val="M_11"/>
      <sheetName val="PIPE_(SG)-발수"/>
      <sheetName val="TYPE-B_평균H"/>
      <sheetName val="ANA&amp;DESIGN&amp;REINF__"/>
      <sheetName val="PRIMARY_LOAD"/>
      <sheetName val="EXT_CHECK"/>
      <sheetName val="할증_"/>
      <sheetName val="Invoice_(Summary)"/>
      <sheetName val="Invoice_(IBL)"/>
      <sheetName val="Invoice_(OBL)"/>
      <sheetName val="OIL_SYST_DATA_SHTS"/>
      <sheetName val="Loop_Type"/>
      <sheetName val="공사비_분석표"/>
      <sheetName val="Resource_table"/>
      <sheetName val="간접비_총괄표"/>
      <sheetName val="[TDIBM1_X೺ഈG_MH_CAL"/>
      <sheetName val="REINF_"/>
      <sheetName val="Food_court_"/>
      <sheetName val="97_사업추정(WEKI)"/>
      <sheetName val="노원열병합__건축공사기성내역서"/>
      <sheetName val="BACK_DATA"/>
      <sheetName val="Sheet6"/>
      <sheetName val="골조시행"/>
      <sheetName val="March"/>
      <sheetName val="LEGEND"/>
      <sheetName val="SYS_DB"/>
      <sheetName val="CB"/>
      <sheetName val="뜃맟뭁돽띿맟_-BLDG"/>
      <sheetName val="inter"/>
      <sheetName val="12CGOU"/>
      <sheetName val="Rate Analysis"/>
      <sheetName val="BQMP"/>
      <sheetName val="sheet"/>
      <sheetName val="DATE"/>
      <sheetName val="총괄내역서"/>
      <sheetName val="_TDIBM1.X೺"/>
      <sheetName val="Vertical FDN-12"/>
      <sheetName val="Pump FDN-1"/>
      <sheetName val="Horizontal Vessel FDN-1"/>
      <sheetName val="상세내역"/>
      <sheetName val="시간별적산"/>
      <sheetName val="NO.3.PTA PLANT SD COST"/>
      <sheetName val="비교원RD-S"/>
      <sheetName val="9904"/>
      <sheetName val="9908"/>
      <sheetName val="9912"/>
      <sheetName val="9902"/>
      <sheetName val="9901"/>
      <sheetName val="9907"/>
      <sheetName val="9906"/>
      <sheetName val="9903"/>
      <sheetName val="9905"/>
      <sheetName val="9911"/>
      <sheetName val="9910"/>
      <sheetName val="9909"/>
      <sheetName val="STA &amp; SEC"/>
      <sheetName val="GRACE"/>
      <sheetName val="major"/>
      <sheetName val="창고"/>
      <sheetName val="intake"/>
      <sheetName val="_TDIBM1_X೺ഈG_MH_CAL"/>
      <sheetName val="Sheet2"/>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단면가정"/>
      <sheetName val="설계조건"/>
      <sheetName val="_TDIBM1.X೺_x005f_x0000_ഈ_x005f_x0000__x0000"/>
      <sheetName val="DESIGN"/>
      <sheetName val="OCT.FDN"/>
      <sheetName val="Valve List (Priced)"/>
      <sheetName val="Tbl 1y 4"/>
      <sheetName val="BELİRLENECEKLER"/>
      <sheetName val="Database"/>
      <sheetName val="PROGRESS"/>
      <sheetName val="명판"/>
      <sheetName val="노임"/>
      <sheetName val="[TDIBM1.X೺"/>
      <sheetName val="CDU (성창) Master"/>
      <sheetName val="RFP002"/>
      <sheetName val=""/>
      <sheetName val="실행산출근거"/>
      <sheetName val="_TDIBM1.X೺_x0000_ഈ_x0000__x0000__x0000__x0000__x0000_G_MH_CAL"/>
      <sheetName val="Inert Balls"/>
      <sheetName val="Rates"/>
      <sheetName val="_TDIBM1.X೺_x005f_x005f_x005f_x0000_ഈ_x005f_x005f_"/>
      <sheetName val="토목주소"/>
      <sheetName val="프랜트면허"/>
      <sheetName val="투찰"/>
      <sheetName val="내"/>
      <sheetName val="[TDIBM1.X೺_x005f_x0000_ഈ_x005f_x0000__x0000"/>
      <sheetName val="activity"/>
      <sheetName val="Kredi Risk Alt_Grup"/>
      <sheetName val="Banka"/>
      <sheetName val="Tür"/>
      <sheetName val="Ana Gruplar"/>
      <sheetName val="ÖdemeTahsilat"/>
      <sheetName val="Kullanıcı"/>
      <sheetName val="Attachment 1"/>
      <sheetName val="Ex Rate"/>
      <sheetName val="B.5_Control Valve"/>
      <sheetName val="코드"/>
      <sheetName val="양수장(기계)"/>
      <sheetName val="자바라1"/>
      <sheetName val="해외 연수비용 계산-삭제"/>
      <sheetName val="해외 기술훈련비 (합계)"/>
      <sheetName val="cwork"/>
      <sheetName val="환율"/>
      <sheetName val="TC"/>
      <sheetName val="토목 Utility Schedule (2)"/>
      <sheetName val="A(Rev.3)"/>
      <sheetName val=" "/>
      <sheetName val="노임단가"/>
      <sheetName val="LOB"/>
      <sheetName val="단중"/>
      <sheetName val="품셈표"/>
      <sheetName val="주행"/>
      <sheetName val="choose"/>
      <sheetName val="Eng_Hrs (HO)"/>
      <sheetName val="노단"/>
      <sheetName val="36단가"/>
      <sheetName val="36수량"/>
      <sheetName val="HO_ENG_MH_CAL4"/>
      <sheetName val="7_2세부_부하계산서4"/>
      <sheetName val="INPUT_DATA4"/>
      <sheetName val="Eq__Mobilization3"/>
      <sheetName val="_갑지4"/>
      <sheetName val="EQ_Total2"/>
      <sheetName val="CIVIL_BOQ3"/>
      <sheetName val="RAW_COST_SUMMARY3"/>
      <sheetName val="BLDG_BOQ3"/>
      <sheetName val="rate_analyses3"/>
      <sheetName val="ITB_COST3"/>
      <sheetName val="DS_Oil_System2"/>
      <sheetName val="Price_Detail2"/>
      <sheetName val="노임_단가2"/>
      <sheetName val="Pjt_Data2"/>
      <sheetName val="M_111"/>
      <sheetName val="공사비_분석표1"/>
      <sheetName val="plan&amp;section_of_foundation2"/>
      <sheetName val="pile_bearing_capa_&amp;_arrenge2"/>
      <sheetName val="design_load2"/>
      <sheetName val="working_load_at_the_btm_ft_2"/>
      <sheetName val="stability_check2"/>
      <sheetName val="design_criteria2"/>
      <sheetName val="2_배관2"/>
      <sheetName val="AOP_Summary-22"/>
      <sheetName val="PIPE_(SG)-발수1"/>
      <sheetName val="TYPE-B_평균H1"/>
      <sheetName val="ANA&amp;DESIGN&amp;REINF__1"/>
      <sheetName val="PRIMARY_LOAD1"/>
      <sheetName val="EXT_CHECK1"/>
      <sheetName val="OIL_SYST_DATA_SHTS1"/>
      <sheetName val="할증_1"/>
      <sheetName val="Loop_Type1"/>
      <sheetName val="Resource_table1"/>
      <sheetName val="Invoice_(Summary)1"/>
      <sheetName val="Invoice_(IBL)1"/>
      <sheetName val="Invoice_(OBL)1"/>
      <sheetName val="간접비_총괄표1"/>
      <sheetName val="REINF_1"/>
      <sheetName val="Food_court_1"/>
      <sheetName val="97_사업추정(WEKI)1"/>
      <sheetName val="노원열병합__건축공사기성내역서1"/>
      <sheetName val="BACK_DATA1"/>
      <sheetName val="Rate_Analysis"/>
      <sheetName val="3_Breakdown_Direct_Instrument"/>
      <sheetName val="Inside_building_Summary"/>
      <sheetName val="L_V_Separator"/>
      <sheetName val="_TDIBM1_X೺"/>
      <sheetName val="Vertical_FDN-12"/>
      <sheetName val="Pump_FDN-1"/>
      <sheetName val="Horizontal_Vessel_FDN-1"/>
      <sheetName val="NO_3_PTA_PLANT_SD_COST"/>
      <sheetName val="STA_&amp;_SEC"/>
      <sheetName val="_TDIBM1_X೺_x005f_x0000_ഈ_x005f_x0000__x0000"/>
      <sheetName val="OCT_FDN"/>
      <sheetName val="Valve_List_(Priced)"/>
      <sheetName val="Flaer_Area"/>
      <sheetName val="Tbl_1y_4"/>
      <sheetName val="[TDIBM1_X೺"/>
      <sheetName val="Resource_summary"/>
      <sheetName val="Break_Down"/>
      <sheetName val="Inert_Balls"/>
      <sheetName val="CDU_(성창)_Master"/>
      <sheetName val="Overall_Status"/>
      <sheetName val="[TDIBM1_X೺_x005f_x0000_ഈ_x005f_x0000__x0000"/>
      <sheetName val="_TDIBM1_X೺_x005f_x005f_x005f_x0000_ഈ_x005f_x005f_"/>
      <sheetName val="Kredi_Risk_Alt_Grup"/>
      <sheetName val="Ana_Gruplar"/>
      <sheetName val="Attachment_1"/>
      <sheetName val="Ex_Rate"/>
      <sheetName val="B_5_Control_Valve"/>
      <sheetName val="해외_연수비용_계산-삭제"/>
      <sheetName val="해외_기술훈련비_(합계)"/>
      <sheetName val="A(Rev_3)"/>
      <sheetName val="Currency &amp; Other Cost"/>
      <sheetName val=" Sum"/>
      <sheetName val="Sheeta"/>
      <sheetName val="Units+rev"/>
      <sheetName val="HO_ENG_MH_CAL5"/>
      <sheetName val="7_2세부_부하계산서5"/>
      <sheetName val="INPUT_DATA5"/>
      <sheetName val="Eq__Mobilization4"/>
      <sheetName val="_갑지5"/>
      <sheetName val="EQ_Total3"/>
      <sheetName val="CIVIL_BOQ4"/>
      <sheetName val="RAW_COST_SUMMARY4"/>
      <sheetName val="BLDG_BOQ4"/>
      <sheetName val="rate_analyses4"/>
      <sheetName val="ITB_COST4"/>
      <sheetName val="DS_Oil_System3"/>
      <sheetName val="Price_Detail3"/>
      <sheetName val="노임_단가3"/>
      <sheetName val="Pjt_Data3"/>
      <sheetName val="M_112"/>
      <sheetName val="공사비_분석표2"/>
      <sheetName val="plan&amp;section_of_foundation3"/>
      <sheetName val="pile_bearing_capa_&amp;_arrenge3"/>
      <sheetName val="design_load3"/>
      <sheetName val="working_load_at_the_btm_ft_3"/>
      <sheetName val="stability_check3"/>
      <sheetName val="design_criteria3"/>
      <sheetName val="2_배관3"/>
      <sheetName val="AOP_Summary-23"/>
      <sheetName val="PIPE_(SG)-발수2"/>
      <sheetName val="TYPE-B_평균H2"/>
      <sheetName val="ANA&amp;DESIGN&amp;REINF__2"/>
      <sheetName val="PRIMARY_LOAD2"/>
      <sheetName val="EXT_CHECK2"/>
      <sheetName val="OIL_SYST_DATA_SHTS2"/>
      <sheetName val="할증_2"/>
      <sheetName val="Loop_Type2"/>
      <sheetName val="Resource_table2"/>
      <sheetName val="Invoice_(Summary)2"/>
      <sheetName val="Invoice_(IBL)2"/>
      <sheetName val="Invoice_(OBL)2"/>
      <sheetName val="간접비_총괄표2"/>
      <sheetName val="REINF_2"/>
      <sheetName val="Food_court_2"/>
      <sheetName val="97_사업추정(WEKI)2"/>
      <sheetName val="노원열병합__건축공사기성내역서2"/>
      <sheetName val="BACK_DATA2"/>
      <sheetName val="현장관리비 산출내역"/>
    </sheetNames>
    <definedNames>
      <definedName name="[SettleOut Module].main"/>
    </defined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sheetData sheetId="296" refreshError="1"/>
      <sheetData sheetId="297" refreshError="1"/>
      <sheetData sheetId="298" refreshError="1"/>
      <sheetData sheetId="299" refreshError="1"/>
      <sheetData sheetId="300"/>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sheetData sheetId="364"/>
      <sheetData sheetId="365" refreshError="1"/>
      <sheetData sheetId="366" refreshError="1"/>
      <sheetData sheetId="367"/>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refreshError="1"/>
      <sheetData sheetId="459" refreshError="1"/>
      <sheetData sheetId="460" refreshError="1"/>
      <sheetData sheetId="461" refreshError="1"/>
      <sheetData sheetId="462" refreshError="1"/>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efreshError="1"/>
      <sheetData sheetId="495"/>
      <sheetData sheetId="496" refreshError="1"/>
      <sheetData sheetId="497" refreshError="1"/>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refreshError="1"/>
      <sheetData sheetId="540" refreshError="1"/>
      <sheetData sheetId="54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V Separator"/>
      <sheetName val="eq_data"/>
      <sheetName val="Cover"/>
      <sheetName val="Code"/>
      <sheetName val="h-013211-2"/>
      <sheetName val="INSTR"/>
      <sheetName val="DWTables"/>
      <sheetName val="PRC-SUM"/>
      <sheetName val="PRO_DCI"/>
      <sheetName val="INST_DCI"/>
      <sheetName val="HVAC_DCI"/>
      <sheetName val="PIPE_DCI"/>
      <sheetName val="sum3"/>
      <sheetName val="Sheet1"/>
      <sheetName val="Connections"/>
      <sheetName val="Sheet2"/>
      <sheetName val="Proj Cost Sumry"/>
      <sheetName val="L_V_Separator"/>
      <sheetName val="L_V_Separator1"/>
      <sheetName val="DRUM"/>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입"/>
      <sheetName val="DRUM"/>
      <sheetName val="Sheet1"/>
      <sheetName val="Sheet2"/>
      <sheetName val="Sheet3"/>
      <sheetName val="97 사업추정(WEKI)"/>
      <sheetName val="영업소실적"/>
    </sheetNames>
    <sheetDataSet>
      <sheetData sheetId="0"/>
      <sheetData sheetId="1" refreshError="1"/>
      <sheetData sheetId="2"/>
      <sheetData sheetId="3"/>
      <sheetData sheetId="4" refreshError="1"/>
      <sheetData sheetId="5" refreshError="1"/>
      <sheetData sheetId="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_DCI"/>
      <sheetName val="FF_DCI"/>
      <sheetName val="MECH_DCI"/>
      <sheetName val="HVAC_DCI"/>
      <sheetName val="PIPE_DCI"/>
      <sheetName val="INST_DCI"/>
      <sheetName val="CIVIL_DCI"/>
      <sheetName val="BLDG_DCI"/>
      <sheetName val="ELEC_DCI"/>
      <sheetName val="Testing"/>
      <sheetName val="DCI_010417_EL"/>
      <sheetName val="정부노임단가"/>
      <sheetName val="BQ"/>
      <sheetName val="본지점중"/>
      <sheetName val="Wkly04"/>
      <sheetName val="7.5.2 BOQ Summary "/>
      <sheetName val="공사비PK5월"/>
      <sheetName val="SE-611"/>
      <sheetName val="예산서"/>
      <sheetName val="TABLE"/>
      <sheetName val="Base_Data"/>
      <sheetName val="BB2현대건설견적"/>
      <sheetName val="BM"/>
      <sheetName val="건내용"/>
      <sheetName val="Sheet2"/>
      <sheetName val="DU&amp;B"/>
      <sheetName val="INSTR"/>
      <sheetName val="SOHAR(2nd)"/>
      <sheetName val="#REF"/>
      <sheetName val="회사99"/>
      <sheetName val="간접비내역-1"/>
      <sheetName val="MEAS"/>
      <sheetName val="mat list"/>
      <sheetName val="TIE-INS"/>
      <sheetName val="Material and Manpower data"/>
      <sheetName val="Pricing Summary"/>
      <sheetName val="영업소실적"/>
      <sheetName val="상반기손익차2총괄"/>
      <sheetName val="data_dci"/>
      <sheetName val="data_mci"/>
      <sheetName val="behind"/>
      <sheetName val="Main"/>
      <sheetName val="세금자료"/>
      <sheetName val="경제지표"/>
      <sheetName val="공통비"/>
      <sheetName val="fitting"/>
      <sheetName val="IMP(MAIN)"/>
      <sheetName val="IMP (REACTOR)"/>
      <sheetName val="경비2내역"/>
      <sheetName val="소업1교"/>
      <sheetName val="eq_data"/>
      <sheetName val="cable"/>
      <sheetName val="도"/>
      <sheetName val="ITB COST"/>
      <sheetName val="95삼성급(본사)"/>
      <sheetName val="BLDG_MCI"/>
      <sheetName val="working load at the btm ft."/>
      <sheetName val="stability check"/>
      <sheetName val="design criteria"/>
      <sheetName val="plan&amp;section of foundation"/>
      <sheetName val="산근"/>
      <sheetName val="갑지"/>
      <sheetName val="97 사업추정(WEKI)"/>
      <sheetName val="h-013211-2"/>
      <sheetName val="PumpSpec"/>
      <sheetName val="간접비(1)"/>
      <sheetName val="TABLE2-2 OSBL(total)"/>
      <sheetName val="IN"/>
    </sheetNames>
    <sheetDataSet>
      <sheetData sheetId="0"/>
      <sheetData sheetId="1" refreshError="1"/>
      <sheetData sheetId="2" refreshError="1"/>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013211-2"/>
      <sheetName val="h-013201-2"/>
      <sheetName val="h-113003-3"/>
      <sheetName val="h-213002-3"/>
      <sheetName val="h-13101-3"/>
      <sheetName val="h-013001-3"/>
      <sheetName val="013301-2"/>
      <sheetName val="h-013202-2"/>
      <sheetName val="Total"/>
      <sheetName val="PumpSpec"/>
      <sheetName val="Testing"/>
      <sheetName val="h_013211_2"/>
      <sheetName val="design criteria"/>
      <sheetName val="working load at the btm ft_"/>
      <sheetName val="plan_section of foundation"/>
      <sheetName val="member design"/>
      <sheetName val="soil bearing check"/>
      <sheetName val="TO  MEST"/>
      <sheetName val="TRANSPORT"/>
      <sheetName val="Est-Trench1"/>
      <sheetName val="PRO_DCI"/>
      <sheetName val="INST_DCI"/>
      <sheetName val="HVAC_DCI"/>
      <sheetName val="PIPE_DCI"/>
      <sheetName val="mhrrate"/>
      <sheetName val="Ind"/>
      <sheetName val="Proposal"/>
      <sheetName val="간접비내역-1"/>
      <sheetName val="AABS내역"/>
      <sheetName val="Main Code"/>
      <sheetName val="Sheet1"/>
      <sheetName val="직원동원SCH"/>
      <sheetName val="Sheet4"/>
      <sheetName val="집계표(OPTION)"/>
      <sheetName val="ELEC_DCI"/>
      <sheetName val="eq_data"/>
      <sheetName val="변수데이타"/>
      <sheetName val="C급보 "/>
      <sheetName val="Sheet2"/>
      <sheetName val="할증 "/>
      <sheetName val="CAT_5"/>
      <sheetName val="집계표"/>
      <sheetName val="BQ List"/>
      <sheetName val="INSTR"/>
      <sheetName val="정부노임단가"/>
      <sheetName val="PHALAIDUCT "/>
      <sheetName val="RENUN"/>
      <sheetName val="BM DATA SHEET"/>
      <sheetName val="개시대사 (2)"/>
      <sheetName val="공사내역"/>
      <sheetName val="설계조건"/>
      <sheetName val="단면검토"/>
      <sheetName val="2월가격"/>
      <sheetName val="사업계획"/>
      <sheetName val="TOEC"/>
      <sheetName val="Define"/>
      <sheetName val="DESIGN"/>
      <sheetName val="OCT.FDN"/>
      <sheetName val="INSPECTOR (EPC-1)"/>
      <sheetName val="analisa"/>
      <sheetName val="Pipe Classes"/>
      <sheetName val="SPEC"/>
      <sheetName val="영업소실적"/>
      <sheetName val="Basic"/>
      <sheetName val="견적기준"/>
      <sheetName val="DATA"/>
      <sheetName val="REINF."/>
      <sheetName val="LOADS"/>
      <sheetName val="CHECK1"/>
      <sheetName val="MAIN"/>
      <sheetName val="PRO_A"/>
      <sheetName val="PRO"/>
      <sheetName val="Cover"/>
      <sheetName val="Base_Data"/>
      <sheetName val="최민영집계25"/>
      <sheetName val="Rekap A"/>
      <sheetName val="piping"/>
      <sheetName val="투입실적"/>
      <sheetName val="VL"/>
      <sheetName val="Cash2"/>
      <sheetName val="Z"/>
      <sheetName val="일위대가표(DEEP)"/>
      <sheetName val="NEWDRAW"/>
      <sheetName val="3.현장배치"/>
      <sheetName val="상반기손익차2총괄"/>
      <sheetName val="연돌일위집계"/>
      <sheetName val="ACTDATA"/>
      <sheetName val="영업2"/>
      <sheetName val="Ox-Air"/>
      <sheetName val="인원현황"/>
      <sheetName val="131COMP"/>
      <sheetName val="ITstk"/>
      <sheetName val="BQ"/>
      <sheetName val="plan&amp;section of foundation"/>
      <sheetName val="수입"/>
      <sheetName val="Instruction"/>
      <sheetName val="U+SRU 5UG"/>
      <sheetName val="개시전표"/>
      <sheetName val="ECC Master Title"/>
      <sheetName val="SE-611"/>
      <sheetName val="인원동원계획"/>
      <sheetName val="생산계획"/>
      <sheetName val="95삼성급(본사)"/>
      <sheetName val="EQUIP"/>
      <sheetName val="BQMPALOC"/>
      <sheetName val="steam table"/>
      <sheetName val="갑지"/>
      <sheetName val="PUMP"/>
      <sheetName val="산근"/>
      <sheetName val="#REF"/>
      <sheetName val="PI"/>
      <sheetName val="PROCURE"/>
      <sheetName val="Seals"/>
      <sheetName val="4K - (6a) Non Manual Breakdown"/>
      <sheetName val="투입인력"/>
      <sheetName val="wagerate"/>
      <sheetName val="Macro"/>
      <sheetName val="Taux"/>
      <sheetName val="IT-BAT"/>
      <sheetName val="jobhist"/>
      <sheetName val="PipWT"/>
      <sheetName val="INPUT DATA"/>
      <sheetName val="Summary Sheets"/>
      <sheetName val="cal"/>
      <sheetName val="내역서"/>
      <sheetName val="7.6.3(B) UG Piping"/>
      <sheetName val="수량산출서"/>
      <sheetName val="BOQ"/>
      <sheetName val=" Sum"/>
      <sheetName val="LOOKUP"/>
      <sheetName val="ANALYSER"/>
      <sheetName val="SPrep_E4TK(R187)"/>
      <sheetName val="U00"/>
      <sheetName val="U01"/>
      <sheetName val="U02"/>
      <sheetName val="U03"/>
      <sheetName val="U06"/>
      <sheetName val="U07"/>
      <sheetName val="U08"/>
      <sheetName val="U09"/>
      <sheetName val="U10"/>
      <sheetName val="U11"/>
      <sheetName val="U13"/>
      <sheetName val="U21"/>
      <sheetName val="U25"/>
      <sheetName val="U26"/>
      <sheetName val="U29"/>
      <sheetName val="U30"/>
      <sheetName val="U31_Base"/>
      <sheetName val="U40"/>
      <sheetName val="U42"/>
      <sheetName val="U43"/>
      <sheetName val="U45"/>
      <sheetName val="U47"/>
      <sheetName val="U48"/>
      <sheetName val="U60"/>
      <sheetName val="말뚝물량"/>
      <sheetName val="8.현장관리비"/>
      <sheetName val="7.안전관리비"/>
      <sheetName val="노임단가"/>
      <sheetName val="w't table"/>
      <sheetName val="CondPol"/>
      <sheetName val="경제지표"/>
      <sheetName val="세금자료"/>
      <sheetName val="cable"/>
      <sheetName val="DESIGN(77C-102A)-2"/>
      <sheetName val="RFP007"/>
      <sheetName val="0.갑지"/>
      <sheetName val="제출sche(Basic)"/>
      <sheetName val="5"/>
      <sheetName val="Database"/>
      <sheetName val="Gia vat tu"/>
      <sheetName val="PDS U-1400"/>
      <sheetName val="Summary"/>
      <sheetName val="대치판정"/>
      <sheetName val="AILC004"/>
      <sheetName val="MR"/>
      <sheetName val="EQT-ESTN"/>
      <sheetName val="ZAR SAZ"/>
      <sheetName val="Unit 49_분개표"/>
      <sheetName val="Unit 76_분개표"/>
      <sheetName val="rates"/>
      <sheetName val="구조물철거타공정이월"/>
      <sheetName val="HVAC"/>
      <sheetName val="Lab-Rate"/>
      <sheetName val="SITE EST"/>
      <sheetName val="단중표"/>
      <sheetName val="TABLE2-2 OSBL-(SITE PREP)"/>
      <sheetName val="견적의뢰"/>
      <sheetName val="B"/>
      <sheetName val="TANK"/>
      <sheetName val="nde_request"/>
      <sheetName val="Piping(Methanol)"/>
      <sheetName val="예산M12A"/>
      <sheetName val="자동이름-삽입-시트"/>
      <sheetName val="Hangers"/>
      <sheetName val="Read Me"/>
      <sheetName val="Tb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INNER FULE"/>
      <sheetName val="적용할증"/>
      <sheetName val="연돌일위집계"/>
      <sheetName val="일위대가"/>
      <sheetName val="고소할증품"/>
      <sheetName val="특수비계공품"/>
      <sheetName val="수량산출서"/>
      <sheetName val="플랫폼집계"/>
      <sheetName val="플랫폼수량"/>
      <sheetName val="계단집계"/>
      <sheetName val="계단수량"/>
      <sheetName val="랜딩집계"/>
      <sheetName val="랜딩수량"/>
      <sheetName val="사다리집계"/>
      <sheetName val="사다리수량"/>
      <sheetName val="Sheet1"/>
      <sheetName val="연돌내역서"/>
      <sheetName val="연돌"/>
      <sheetName val="Sheet2"/>
      <sheetName val="Sheet3"/>
      <sheetName val="(76)배관총괄"/>
      <sheetName val="M2-1-1"/>
      <sheetName val="M2-1-2"/>
      <sheetName val="M2-1-3"/>
      <sheetName val="M2-1-4"/>
      <sheetName val="M2-1-5"/>
      <sheetName val="M2-1-6"/>
      <sheetName val="M2-1-7"/>
      <sheetName val="M2-1-8"/>
      <sheetName val="M2-1-9"/>
      <sheetName val="M2-1-10"/>
      <sheetName val="정산"/>
      <sheetName val="관리비"/>
      <sheetName val="기성공제"/>
      <sheetName val="실행내역"/>
      <sheetName val="1월보고(99종합)"/>
      <sheetName val="00년 1월"/>
      <sheetName val="00년 2월"/>
      <sheetName val="00년 3월"/>
      <sheetName val="00년 4월"/>
      <sheetName val="00년 5월"/>
      <sheetName val="00년상반기"/>
      <sheetName val="00년 7월"/>
      <sheetName val="00년 8월"/>
      <sheetName val="00년 9월"/>
      <sheetName val="00년10월"/>
      <sheetName val="12월가공서비스"/>
      <sheetName val="Sheet10"/>
      <sheetName val="Sheet11"/>
      <sheetName val="Sheet12"/>
      <sheetName val="Sheet13"/>
      <sheetName val="Sheet14"/>
      <sheetName val="Sheet15"/>
      <sheetName val="Sheet16"/>
      <sheetName val="그래프data"/>
      <sheetName val="정부노임단가"/>
      <sheetName val="갑지(추정)"/>
      <sheetName val="㽓다리수량"/>
      <sheetName val="실행(1)"/>
      <sheetName val="공문"/>
      <sheetName val="단가표"/>
      <sheetName val="설계예산서"/>
      <sheetName val="SG"/>
      <sheetName val="노원열병합  건축공사기성내역서"/>
      <sheetName val="01"/>
      <sheetName val="PIPE내역(FCN)"/>
      <sheetName val="목표세부명세"/>
      <sheetName val="금액내역서"/>
      <sheetName val="품셈"/>
      <sheetName val="DRUM"/>
      <sheetName val="배관(TDI ISBL)"/>
      <sheetName val="건축집계"/>
      <sheetName val="일위대가-목록"/>
      <sheetName val="TOWER 12TON"/>
      <sheetName val="TOWER 10TON"/>
      <sheetName val="CAT_5"/>
      <sheetName val="가시설흙막이"/>
      <sheetName val="직재"/>
      <sheetName val="결과조달"/>
      <sheetName val="3.공통공사대비"/>
      <sheetName val="0226"/>
      <sheetName val="실행"/>
      <sheetName val="당초"/>
      <sheetName val="PBS"/>
      <sheetName val="노임단가"/>
      <sheetName val="연돌내역일위"/>
      <sheetName val="1단계"/>
      <sheetName val="h-013211-2"/>
      <sheetName val="TDI ISBL"/>
      <sheetName val="청산공사"/>
      <sheetName val="예가표"/>
      <sheetName val="도"/>
      <sheetName val="견적"/>
      <sheetName val="#REF"/>
      <sheetName val="내"/>
      <sheetName val=" 견적서"/>
      <sheetName val="소비자가"/>
      <sheetName val="1ST"/>
      <sheetName val="단중"/>
      <sheetName val="품셈표"/>
      <sheetName val="기계설비"/>
      <sheetName val="공사내역"/>
      <sheetName val="D-3109"/>
      <sheetName val="misc"/>
      <sheetName val="부표총괄"/>
      <sheetName val="동축분 종합설계서"/>
      <sheetName val="TB-내역서"/>
      <sheetName val="Sheet5"/>
      <sheetName val="MINA BM"/>
      <sheetName val="INNER_FULE"/>
      <sheetName val="00년_1월"/>
      <sheetName val="00년_2월"/>
      <sheetName val="00년_3월"/>
      <sheetName val="00년_4월"/>
      <sheetName val="00년_5월"/>
      <sheetName val="00년_7월"/>
      <sheetName val="00년_8월"/>
      <sheetName val="00년_9월"/>
      <sheetName val="노원열병합__건축공사기성내역서"/>
      <sheetName val="배관(TDI_ISBL)"/>
      <sheetName val="TOWER_12TON"/>
      <sheetName val="TOWER_10TON"/>
      <sheetName val="동축분_종합설계서"/>
      <sheetName val="3_공통공사대비"/>
      <sheetName val="TDI_ISBL"/>
      <sheetName val="MINA_BM"/>
      <sheetName val="S003031"/>
      <sheetName val="유림골조"/>
      <sheetName val="IW-LIST"/>
      <sheetName val="안국연체"/>
      <sheetName val="현장경상비"/>
      <sheetName val="6호기"/>
      <sheetName val="PIPE"/>
      <sheetName val="FLANGE"/>
      <sheetName val="VALVE"/>
      <sheetName val="지급자재"/>
      <sheetName val="수주전망영업부"/>
      <sheetName val="전기일위대가"/>
      <sheetName val="C3"/>
      <sheetName val="기준"/>
      <sheetName val="APT"/>
      <sheetName val="수금 "/>
      <sheetName val="12월정산수금현황"/>
      <sheetName val="수정시산표"/>
      <sheetName val="B"/>
      <sheetName val="BACKDATA"/>
      <sheetName val="A"/>
      <sheetName val="외화"/>
      <sheetName val="2 카드채권(대출포함)"/>
      <sheetName val="자금동향"/>
      <sheetName val="Back data Table"/>
      <sheetName val="CONC SLAB"/>
      <sheetName val="Summary"/>
      <sheetName val="24V"/>
      <sheetName val="일위대가(여기까지)"/>
      <sheetName val="집계"/>
      <sheetName val="기본일위"/>
      <sheetName val="직노"/>
      <sheetName val="I一般比"/>
      <sheetName val="내역서2안"/>
      <sheetName val="설직재-1"/>
      <sheetName val="Sheet4"/>
      <sheetName val="내역서(총)"/>
      <sheetName val="세대내부"/>
      <sheetName val="조건표"/>
      <sheetName val="ELECTRIC"/>
      <sheetName val="CTEMCOST"/>
      <sheetName val="SCHEDULE"/>
      <sheetName val="ERECIN"/>
      <sheetName val="수입"/>
      <sheetName val="제직재"/>
      <sheetName val="설치공사"/>
      <sheetName val="CALCULATION"/>
      <sheetName val="설계예시"/>
      <sheetName val="INSTR"/>
      <sheetName val="전기"/>
      <sheetName val="건축(광주)"/>
      <sheetName val="일반부표"/>
      <sheetName val="집계표"/>
      <sheetName val="C-301E~305E"/>
      <sheetName val="노임"/>
      <sheetName val="기준표"/>
      <sheetName val="도면자료제출일정"/>
      <sheetName val="갑지"/>
      <sheetName val="입상내역"/>
      <sheetName val="수문일위1"/>
      <sheetName val="공사비증감"/>
      <sheetName val="월별cashflow"/>
      <sheetName val="사업검토"/>
      <sheetName val="월별경비집행"/>
      <sheetName val="trf(36%)"/>
      <sheetName val="견적조건"/>
      <sheetName val="NYS"/>
      <sheetName val="SOS_PLC &amp; Panel"/>
      <sheetName val="Supplement2"/>
      <sheetName val="수로단위수량"/>
      <sheetName val="설계조건"/>
      <sheetName val="건축-물가변동"/>
      <sheetName val="nde_request"/>
      <sheetName val="표지"/>
      <sheetName val="REFTABLE"/>
      <sheetName val="KMX(현대토목)"/>
      <sheetName val="PIPE(UG)내역"/>
      <sheetName val="일위대가(계측기설치)"/>
      <sheetName val="일위"/>
      <sheetName val="Y-WORK"/>
      <sheetName val="COVER-P"/>
      <sheetName val="금융비용"/>
      <sheetName val="카메라(TO양식변경)"/>
      <sheetName val="공통비총괄표"/>
      <sheetName val="매출"/>
      <sheetName val="1.설계기준"/>
      <sheetName val="0708"/>
      <sheetName val="Sheet9"/>
      <sheetName val="발전기"/>
      <sheetName val="간선"/>
      <sheetName val="전기자료"/>
      <sheetName val="INNER_FULE1"/>
      <sheetName val="00년_1월1"/>
      <sheetName val="00년_2월1"/>
      <sheetName val="00년_3월1"/>
      <sheetName val="00년_4월1"/>
      <sheetName val="00년_5월1"/>
      <sheetName val="00년_7월1"/>
      <sheetName val="00년_8월1"/>
      <sheetName val="00년_9월1"/>
      <sheetName val="노원열병합__건축공사기성내역서1"/>
      <sheetName val="배관(TDI_ISBL)1"/>
      <sheetName val="TOWER_12TON1"/>
      <sheetName val="TOWER_10TON1"/>
      <sheetName val="_견적서"/>
      <sheetName val="7.1유효폭"/>
      <sheetName val="현장관리비"/>
      <sheetName val="노임이"/>
      <sheetName val="골프장예산"/>
      <sheetName val="실행내역서 "/>
      <sheetName val="설계명세서"/>
      <sheetName val="IMPEADENCE MAP 취수장"/>
      <sheetName val="내역서"/>
      <sheetName val="앉음벽 (2)"/>
      <sheetName val="원가계산서(남측)"/>
      <sheetName val="MIBK원단위"/>
      <sheetName val="KUNGDEVI"/>
      <sheetName val="NAMES"/>
      <sheetName val="D-623D"/>
      <sheetName val="BQ"/>
      <sheetName val="TCF"/>
      <sheetName val="人力"/>
      <sheetName val="分析2-安装包"/>
      <sheetName val="할증 "/>
      <sheetName val="6PILE  (돌출)"/>
      <sheetName val="sum1 (2)"/>
      <sheetName val="5.소재"/>
      <sheetName val="LinerWt"/>
      <sheetName val="토공정보"/>
      <sheetName val="두앙"/>
      <sheetName val="BQMPALOC"/>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ulti Section Settle Out Condit"/>
    </sheetNames>
    <definedNames>
      <definedName name="[Etc code].BtnCancel_Click"/>
      <definedName name="[Etc code].BtnOK_Click"/>
      <definedName name="[Part Code].BtnCancel_Click"/>
      <definedName name="[Part Code].BtnOK_Click"/>
      <definedName name="[Section Code].BtnCancel_Click"/>
      <definedName name="[Section Code].BtnOK_Click"/>
      <definedName name="[Section Data Code].BtnCancel_Click"/>
      <definedName name="[Section Data Code].BtnOK_Click"/>
    </defined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013211-2"/>
      <sheetName val="h-013201-2"/>
      <sheetName val="h-113003-3"/>
      <sheetName val="h-213002-3"/>
      <sheetName val="h-13101-3"/>
      <sheetName val="h-013001-3"/>
      <sheetName val="013301-2"/>
      <sheetName val="h-013202-2"/>
      <sheetName val="Cover"/>
      <sheetName val="jobhist"/>
      <sheetName val="수입"/>
      <sheetName val="h_013211_2"/>
      <sheetName val="PipWT"/>
      <sheetName val="cal"/>
      <sheetName val="내역서"/>
      <sheetName val="INPUT DATA"/>
      <sheetName val="Summary Sheets"/>
      <sheetName val="eq_data"/>
      <sheetName val="7.6.3(B) UG Piping"/>
      <sheetName val="CAT_5"/>
      <sheetName val="INSTR"/>
      <sheetName val="ANALYSER"/>
      <sheetName val="#REF"/>
      <sheetName val="BOQ"/>
      <sheetName val="Sheet1"/>
      <sheetName val=" Sum"/>
      <sheetName val="SPrep_E4TK(R187)"/>
      <sheetName val="U00"/>
      <sheetName val="U01"/>
      <sheetName val="U02"/>
      <sheetName val="U03"/>
      <sheetName val="U06"/>
      <sheetName val="U07"/>
      <sheetName val="U08"/>
      <sheetName val="U09"/>
      <sheetName val="U10"/>
      <sheetName val="U11"/>
      <sheetName val="U13"/>
      <sheetName val="U21"/>
      <sheetName val="U25"/>
      <sheetName val="U26"/>
      <sheetName val="U29"/>
      <sheetName val="U30"/>
      <sheetName val="U31_Base"/>
      <sheetName val="U40"/>
      <sheetName val="U42"/>
      <sheetName val="U43"/>
      <sheetName val="U45"/>
      <sheetName val="U47"/>
      <sheetName val="U48"/>
      <sheetName val="U60"/>
      <sheetName val="상반기손익차2총괄"/>
      <sheetName val="IT-BAT"/>
      <sheetName val="노임단가"/>
      <sheetName val="최민영집계25"/>
      <sheetName val="말뚝물량"/>
      <sheetName val="BQ"/>
      <sheetName val="w't table"/>
      <sheetName val="8.현장관리비"/>
      <sheetName val="7.안전관리비"/>
      <sheetName val="CondPol"/>
      <sheetName val="Database"/>
      <sheetName val="Gia vat tu"/>
      <sheetName val="경제지표"/>
      <sheetName val="영업소실적"/>
      <sheetName val="DESIGN(77C-102A)-2"/>
      <sheetName val="ZAR SAZ"/>
      <sheetName val="AILC004"/>
      <sheetName val="세금자료"/>
      <sheetName val="cable"/>
      <sheetName val="RFP007"/>
      <sheetName val="0.갑지"/>
      <sheetName val="Summary"/>
      <sheetName val="대치판정"/>
      <sheetName val="LOOKUP"/>
      <sheetName val="수량산출서"/>
      <sheetName val="제출sche(Basic)"/>
      <sheetName val="PHALAIDUCT "/>
      <sheetName val="5"/>
      <sheetName val="PDS U-1400"/>
      <sheetName val="Sheet4"/>
      <sheetName val="MR"/>
      <sheetName val="EQT-ESTN"/>
      <sheetName val="Macro"/>
      <sheetName val="Taux"/>
      <sheetName val="Unit 49_분개표"/>
      <sheetName val="Unit 76_분개표"/>
      <sheetName val="공사비 내역 (가)"/>
      <sheetName val="rates"/>
      <sheetName val="구조물철거타공정이월"/>
      <sheetName val="요약배부"/>
      <sheetName val="주관사업"/>
      <sheetName val="HVAC"/>
      <sheetName val="정부노임단가"/>
      <sheetName val="내역"/>
      <sheetName val="DATE"/>
      <sheetName val="12CGOU"/>
      <sheetName val="X17-TOTAL"/>
      <sheetName val="간접비 총괄표"/>
      <sheetName val="FDM TOT"/>
      <sheetName val="VC2 8.98"/>
      <sheetName val="Factor"/>
      <sheetName val="물량집계(전기)"/>
      <sheetName val="물량집계(계장)"/>
      <sheetName val="TOTAL"/>
      <sheetName val="98TSON4A"/>
      <sheetName val="단중표-ST"/>
      <sheetName val="CIVIL WORK"/>
      <sheetName val="환율"/>
      <sheetName val="costing_CV"/>
      <sheetName val="PAINT"/>
      <sheetName val="공정계획(내부계획25%,내부w.f)"/>
      <sheetName val="PIPE"/>
      <sheetName val="DESIGN CRETERIA"/>
      <sheetName val="DESIGN CRITERIA"/>
      <sheetName val="COVERSHEET"/>
      <sheetName val="DESIGN_CRETERIA"/>
      <sheetName val="Graph (LGEN)"/>
      <sheetName val="out_prog"/>
      <sheetName val="선적schedule (2)"/>
      <sheetName val="조도계산서 (도서)"/>
      <sheetName val="인원계획"/>
      <sheetName val="Desal-E&amp;I"/>
      <sheetName val="UnitList"/>
      <sheetName val="Testing"/>
      <sheetName val="working load at the btm ft_"/>
      <sheetName val="plan_section of foundation"/>
      <sheetName val="member design"/>
      <sheetName val="soil bearing check"/>
      <sheetName val="TO  MEST"/>
      <sheetName val="PumpSpec"/>
      <sheetName val="TRANSPORT"/>
      <sheetName val="Est-Trench1"/>
      <sheetName val="PRO_DCI"/>
      <sheetName val="INST_DCI"/>
      <sheetName val="HVAC_DCI"/>
      <sheetName val="PIPE_DCI"/>
      <sheetName val="mhrrate"/>
      <sheetName val="Ind"/>
      <sheetName val="Proposal"/>
      <sheetName val="변수데이타"/>
      <sheetName val="C급보 "/>
      <sheetName val="집계표(OPTION)"/>
      <sheetName val="직원동원SCH"/>
      <sheetName val="AABS내역"/>
      <sheetName val="Main Code"/>
      <sheetName val="공사내역"/>
      <sheetName val="간접비내역-1"/>
      <sheetName val="ELEC_DCI"/>
      <sheetName val="집계표"/>
      <sheetName val="BQ List"/>
      <sheetName val="설계조건"/>
      <sheetName val="단면검토"/>
      <sheetName val="PI"/>
      <sheetName val="Staff,Labor Wage &amp; Salary"/>
      <sheetName val="실행(1)"/>
      <sheetName val="SS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자가발전)"/>
      <sheetName val="갑지(임시동력)"/>
      <sheetName val="구조_건축"/>
      <sheetName val="기계"/>
      <sheetName val="배관"/>
      <sheetName val="계장"/>
      <sheetName val="전기"/>
      <sheetName val="도장"/>
      <sheetName val="Fire Proofing"/>
      <sheetName val="보온"/>
      <sheetName val="가설(자가발전)"/>
      <sheetName val="가설(임시동력)"/>
      <sheetName val="수입"/>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경제지표"/>
      <sheetName val="인원"/>
      <sheetName val="부서면적"/>
      <sheetName val="부서면적1"/>
      <sheetName val="임대면적"/>
      <sheetName val="출장교통"/>
      <sheetName val="세금자료"/>
      <sheetName val="인원계획"/>
      <sheetName val="공사비_NDE"/>
      <sheetName val="POL6차-PIPING"/>
      <sheetName val="h-013211-2"/>
      <sheetName val="공사비 내역 (가)"/>
      <sheetName val="Sheet1"/>
      <sheetName val="INPUT DATA"/>
      <sheetName val="산근"/>
      <sheetName val="BOJUNGGM"/>
      <sheetName val="정부노임단가"/>
      <sheetName val="수입"/>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입"/>
      <sheetName val="eq_data"/>
      <sheetName val="Backdata"/>
      <sheetName val="SubCon"/>
      <sheetName val="요약배부"/>
      <sheetName val="주관사업"/>
      <sheetName val="IT-BA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5삼성급(총괄)"/>
      <sheetName val="95삼성급(본사)"/>
      <sheetName val="95삼성급_본사_"/>
      <sheetName val="삼성초임"/>
      <sheetName val="B"/>
      <sheetName val="수입"/>
    </sheetNames>
    <sheetDataSet>
      <sheetData sheetId="0"/>
      <sheetData sheetId="1"/>
      <sheetData sheetId="2"/>
      <sheetData sheetId="3" refreshError="1"/>
      <sheetData sheetId="4" refreshError="1"/>
      <sheetData sheetId="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
      <sheetName val="t"/>
      <sheetName val="os"/>
      <sheetName val="Sheet1"/>
      <sheetName val="Sheet2"/>
      <sheetName val="INSTR"/>
      <sheetName val="Orbit"/>
      <sheetName val="Pag. 1"/>
      <sheetName val="Code"/>
      <sheetName val="IO Mod List (2)"/>
      <sheetName val="IO Mod List (1)"/>
      <sheetName val="080-HIS-159"/>
      <sheetName val="080-HIS-160"/>
      <sheetName val="080-HIS-161"/>
      <sheetName val="080-HIS-162"/>
      <sheetName val="080-HIS-257"/>
      <sheetName val="080-HIS-258"/>
      <sheetName val="080-HIS-259"/>
      <sheetName val="080-HIS-260"/>
      <sheetName val="080-HIS-261"/>
      <sheetName val="080-HIS-262"/>
      <sheetName val="080-HIS-263"/>
      <sheetName val="080-HIS-264"/>
      <sheetName val="080-DCS-101"/>
      <sheetName val="080-DCS-102"/>
      <sheetName val="080-DCS-103"/>
      <sheetName val="080-DCS-104"/>
      <sheetName val="080-DCS-201"/>
      <sheetName val="080-DCS-202"/>
      <sheetName val="080-DCS-203"/>
      <sheetName val="080-DCS-204"/>
      <sheetName val="080-DCS-205"/>
      <sheetName val="080-DCS-206"/>
      <sheetName val="080-DCS-207"/>
      <sheetName val="14962"/>
      <sheetName val="14963"/>
      <sheetName val="14923"/>
      <sheetName val="55010"/>
      <sheetName val="[Command not available][Command"/>
      <sheetName val="#REF!"/>
      <sheetName val="INST_DCI"/>
      <sheetName val="HVAC_DCI"/>
      <sheetName val="PIPE_DCI"/>
      <sheetName val="PRO_DCI"/>
      <sheetName val="7.6.3(B) UG Piping"/>
      <sheetName val="BQ"/>
      <sheetName val="Testing"/>
      <sheetName val="예산서"/>
      <sheetName val="REQDELTA"/>
      <sheetName val="Base_Data"/>
      <sheetName val="6.3.E.Insul (2)"/>
      <sheetName val="[Command_not_available][Command"/>
      <sheetName val="7_6_3(B)_UG_Piping"/>
      <sheetName val="PUMP SHT"/>
      <sheetName val="공사비 내역 (가)"/>
      <sheetName val="2.PPS SLV(320EP)"/>
      <sheetName val=""/>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refreshError="1"/>
      <sheetData sheetId="54" refreshError="1"/>
      <sheetData sheetId="55" refreshError="1"/>
      <sheetData sheetId="5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RVP (1)"/>
      <sheetName val="LRVP (2)"/>
      <sheetName val="L V Separator"/>
    </sheetNames>
    <sheetDataSet>
      <sheetData sheetId="0"/>
      <sheetData sheetId="1"/>
      <sheetData sheetId="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1차이내역"/>
      <sheetName val="공문1"/>
      <sheetName val="표지"/>
      <sheetName val="1총괄(上)"/>
      <sheetName val="1총괄(下)"/>
      <sheetName val="2손익"/>
      <sheetName val="3대차"/>
      <sheetName val="4법인세(上)"/>
      <sheetName val="4법인세(下)"/>
      <sheetName val="5잉여금"/>
      <sheetName val="6준비금"/>
      <sheetName val="6부가"/>
      <sheetName val="7여신"/>
      <sheetName val="8주평"/>
      <sheetName val="9확정실적"/>
      <sheetName val="9_1차이내역"/>
      <sheetName val="97 사업추정(WEKI)"/>
      <sheetName val="손익차총괄2"/>
      <sheetName val="상반기손익차2총괄"/>
      <sheetName val="P.M 별"/>
      <sheetName val="현금흐름표"/>
      <sheetName val="수입"/>
      <sheetName val="97_사업추정(WEKI)"/>
      <sheetName val="P_M_별"/>
      <sheetName val="환율"/>
      <sheetName val="#REF"/>
      <sheetName val="신대방33(적용)"/>
      <sheetName val="투입"/>
      <sheetName val="7. 매출 투입 취하"/>
      <sheetName val="BQMPALOC"/>
      <sheetName val="수주현황2월"/>
      <sheetName val="95WBS"/>
      <sheetName val="공통"/>
      <sheetName val="토목주소"/>
      <sheetName val="PRO_DCI"/>
      <sheetName val="INST_DCI"/>
      <sheetName val="HVAC_DCI"/>
      <sheetName val="PIPE_DCI"/>
      <sheetName val="경비"/>
      <sheetName val="h_013211_2"/>
      <sheetName val="SG"/>
      <sheetName val="주관사업"/>
      <sheetName val="alat"/>
      <sheetName val="Upah"/>
      <sheetName val="납부내역"/>
      <sheetName val="전기"/>
      <sheetName val="기기리스트"/>
      <sheetName val="집계표"/>
      <sheetName val="개시대사 (2)"/>
      <sheetName val="合成単価作成表-BLDG"/>
      <sheetName val="세금자료"/>
      <sheetName val="경제지표"/>
      <sheetName val="사업부배부A"/>
      <sheetName val="요약배부"/>
      <sheetName val="Cover"/>
      <sheetName val="영업소실적"/>
      <sheetName val="계측 내역서"/>
      <sheetName val="Sheet1"/>
      <sheetName val="LABTOTAL"/>
      <sheetName val="Sheet 1"/>
      <sheetName val="구의33고"/>
      <sheetName val="손익차9월2"/>
      <sheetName val="97_사업추정(WEKI)1"/>
      <sheetName val="P_M_별1"/>
      <sheetName val="7__매출_투입_취하"/>
      <sheetName val="개시대사_(2)"/>
      <sheetName val="예정(3)"/>
      <sheetName val="동원(3)"/>
      <sheetName val="INSTR"/>
      <sheetName val="인사자료총집계"/>
      <sheetName val="소화실적"/>
      <sheetName val="인상효1"/>
      <sheetName val="96결산"/>
      <sheetName val="준검 내역서"/>
      <sheetName val="교각계산"/>
      <sheetName val="기자재집계"/>
      <sheetName val="토목"/>
      <sheetName val="inter"/>
      <sheetName val="차수"/>
      <sheetName val="전체내역서"/>
      <sheetName val="공통부대비"/>
      <sheetName val="BQ"/>
      <sheetName val="PIPE"/>
      <sheetName val="교각1"/>
      <sheetName val="INPUT"/>
      <sheetName val="Regenerator  Concrete Structure"/>
      <sheetName val="일위대가(가설)"/>
      <sheetName val="D-623D"/>
      <sheetName val="member design"/>
      <sheetName val="design criteria"/>
      <sheetName val="working load at the btm ft."/>
      <sheetName val="plan&amp;section of foundation"/>
      <sheetName val="soil bearing check"/>
      <sheetName val="기둥(원형)"/>
      <sheetName val="찍기"/>
      <sheetName val="단면 (2)"/>
      <sheetName val="단가산출서"/>
      <sheetName val="97_사업추정(WEKI)2"/>
      <sheetName val="P_M_별2"/>
      <sheetName val="7__매출_투입_취하1"/>
      <sheetName val="개시대사_(2)1"/>
      <sheetName val="계측_내역서"/>
      <sheetName val="Sheet_1"/>
      <sheetName val="준검_내역서"/>
      <sheetName val="Regenerator__Concrete_Structure"/>
      <sheetName val="내역서(당초변경)"/>
      <sheetName val="비교1"/>
      <sheetName val="Asset9809CAK"/>
      <sheetName val="BREAKDOWN(철거설치)"/>
      <sheetName val="리비아견적작업"/>
      <sheetName val="뜃맟뭁돽띿맟?-BLDG"/>
      <sheetName val="BREAKDOWN(신규설치)"/>
      <sheetName val="SUMMARY_철거"/>
      <sheetName val="REDUCER"/>
      <sheetName val="BCPAB"/>
      <sheetName val="SPT vs PHI"/>
      <sheetName val="RFP007"/>
      <sheetName val="출자한도"/>
      <sheetName val="뜃맟뭁돽띿맟_-BLDG"/>
      <sheetName val="주차구획선수량"/>
      <sheetName val="날개벽"/>
      <sheetName val="개산견적원본"/>
      <sheetName val="기본자료"/>
      <sheetName val="ITB 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상반기손익차2총괄"/>
      <sheetName val="영업소실적"/>
      <sheetName val="손익차9월2"/>
    </sheetNames>
    <sheetDataSet>
      <sheetData sheetId="0"/>
      <sheetData sheetId="1" refreshError="1"/>
      <sheetData sheetId="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상반기손익차2총괄"/>
      <sheetName val="9-1차이내역"/>
    </sheetNames>
    <sheetDataSet>
      <sheetData sheetId="0"/>
      <sheetData sheetId="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7 사업추정(WEKI)"/>
      <sheetName val="상반기손익차2총괄"/>
    </sheetNames>
    <sheetDataSet>
      <sheetData sheetId="0"/>
      <sheetData sheetId="1"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상반기손익차2총괄"/>
      <sheetName val="수입"/>
      <sheetName val="INPUT DATA"/>
    </sheetNames>
    <sheetDataSet>
      <sheetData sheetId="0"/>
      <sheetData sheetId="1" refreshError="1"/>
      <sheetData sheetId="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사업부배부"/>
      <sheetName val="9901사업부배부"/>
      <sheetName val="Sheet1"/>
      <sheetName val="계정실적"/>
      <sheetName val="계정보고"/>
      <sheetName val="계정보고 (2)"/>
      <sheetName val="99년1월추정실적 (2)"/>
      <sheetName val="요약배부"/>
      <sheetName val="요약배부 (보고)"/>
      <sheetName val="요약배부 (보고) (2)"/>
      <sheetName val="12월계정별 (2)"/>
      <sheetName val="배부부별"/>
      <sheetName val="배부비목"/>
      <sheetName val="임대원가"/>
      <sheetName val="기타매출"/>
      <sheetName val="기타매출 (2)"/>
      <sheetName val="기타매출 (3)"/>
      <sheetName val="기타매출 (4)"/>
      <sheetName val="영업소실적"/>
      <sheetName val="새마을금고"/>
      <sheetName val="Module1"/>
      <sheetName val="참고인원"/>
      <sheetName val="주관사업"/>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P"/>
      <sheetName val="Main"/>
      <sheetName val="DCI"/>
      <sheetName val="Progress"/>
      <sheetName val="S-Curve"/>
      <sheetName val="Sum"/>
      <sheetName val="Sum_dci"/>
      <sheetName val="Sum_mci"/>
      <sheetName val="Sum_FT"/>
      <sheetName val="data_dci"/>
      <sheetName val="data_mci"/>
      <sheetName val="dci_sch"/>
      <sheetName val="dci_act"/>
      <sheetName val="mci_sch"/>
      <sheetName val="mci_act"/>
      <sheetName val="behind"/>
      <sheetName val="DATA"/>
      <sheetName val="영업소실적"/>
      <sheetName val="주관사업"/>
      <sheetName val="요약배부"/>
      <sheetName val="CalCu"/>
      <sheetName val="BQ List"/>
      <sheetName val="PipWT"/>
      <sheetName val="VLOOKUP"/>
      <sheetName val="cal-foamglass"/>
      <sheetName val="7.6.3(B) UG Pip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
      <sheetName val="7.6.1.A(INPUT)"/>
      <sheetName val="7.6.1.B(BREAKDN)"/>
      <sheetName val="7.6.1.C(SCOPE)"/>
      <sheetName val="7.6.1.D(TECH)"/>
      <sheetName val="7.6.1.E(ALLOW)"/>
      <sheetName val="7.6.2(SUMMARY)"/>
      <sheetName val="7.6.3.BOQ"/>
      <sheetName val="7.6.3(A) AG Piping"/>
      <sheetName val="7.6.3(A) AG Piping(증감)"/>
      <sheetName val="7.6.3(B) UG Piping"/>
      <sheetName val="7.6.3(B) UG Piping(증감)"/>
      <sheetName val="7.6.3 (C) Insulation"/>
      <sheetName val="7.6.3 (C) Insulation(증감)"/>
      <sheetName val="7.6.3 (D) Paint"/>
      <sheetName val="7.6.3 (E) PFP"/>
      <sheetName val="7.6.3(F) Pipe Support"/>
      <sheetName val="7.6.3 (G) Modification"/>
      <sheetName val="공사내역"/>
      <sheetName val="#REF"/>
      <sheetName val="공사비_NDE"/>
      <sheetName val="수입"/>
      <sheetName val="요약배부"/>
      <sheetName val="주관사업"/>
      <sheetName val="산출근거#2-3"/>
      <sheetName val="IMPEADENCE MAP 취수장"/>
      <sheetName val="연습"/>
      <sheetName val="eq_data"/>
      <sheetName val="표지_"/>
      <sheetName val="7_6_1_A(INPUT)"/>
      <sheetName val="7_6_1_B(BREAKDN)"/>
      <sheetName val="7_6_1_C(SCOPE)"/>
      <sheetName val="7_6_1_D(TECH)"/>
      <sheetName val="7_6_1_E(ALLOW)"/>
      <sheetName val="7_6_2(SUMMARY)"/>
      <sheetName val="7_6_3_BOQ"/>
      <sheetName val="7_6_3(A)_AG_Piping"/>
      <sheetName val="7_6_3(A)_AG_Piping(증감)"/>
      <sheetName val="7_6_3(B)_UG_Piping"/>
      <sheetName val="7_6_3(B)_UG_Piping(증감)"/>
      <sheetName val="7_6_3_(C)_Insulation"/>
      <sheetName val="7_6_3_(C)_Insulation(증감)"/>
      <sheetName val="7_6_3_(D)_Paint"/>
      <sheetName val="7_6_3_(E)_PFP"/>
      <sheetName val="7_6_3(F)_Pipe_Support"/>
      <sheetName val="7_6_3_(G)_Modification"/>
      <sheetName val="내역"/>
      <sheetName val="영업소실적"/>
      <sheetName val="choose"/>
      <sheetName val="DCS"/>
      <sheetName val="FWBS7000,8000"/>
      <sheetName val="ANALYSER"/>
      <sheetName val="사업부배부A"/>
      <sheetName val="EQUIPMENT -2"/>
      <sheetName val="Desal-E&amp;I"/>
      <sheetName val="BOQ for HRSG &amp; BOP-mech."/>
      <sheetName val="DATE"/>
      <sheetName val="97 사업추정(WEKI)"/>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4-3LEVEL-5 epic.4"/>
      <sheetName val="inter"/>
      <sheetName val="조건표"/>
      <sheetName val="data_dci"/>
      <sheetName val="data_mci"/>
      <sheetName val="behind"/>
      <sheetName val="Main"/>
      <sheetName val="POWER"/>
      <sheetName val="토목주소"/>
      <sheetName val="프랜트면허"/>
      <sheetName val="표지_1"/>
      <sheetName val="7_6_1_A(INPUT)1"/>
      <sheetName val="7_6_1_B(BREAKDN)1"/>
      <sheetName val="7_6_1_C(SCOPE)1"/>
      <sheetName val="7_6_1_D(TECH)1"/>
      <sheetName val="7_6_1_E(ALLOW)1"/>
      <sheetName val="7_6_2(SUMMARY)1"/>
      <sheetName val="7_6_3_BOQ1"/>
      <sheetName val="7_6_3(A)_AG_Piping1"/>
      <sheetName val="7_6_3(A)_AG_Piping(증감)1"/>
      <sheetName val="7_6_3(B)_UG_Piping1"/>
      <sheetName val="7_6_3(B)_UG_Piping(증감)1"/>
      <sheetName val="7_6_3_(C)_Insulation1"/>
      <sheetName val="7_6_3_(C)_Insulation(증감)1"/>
      <sheetName val="7_6_3_(D)_Paint1"/>
      <sheetName val="7_6_3_(E)_PFP1"/>
      <sheetName val="7_6_3(F)_Pipe_Support1"/>
      <sheetName val="7_6_3_(G)_Modification1"/>
      <sheetName val="IMPEADENCE_MAP_취수장"/>
      <sheetName val="EQUIPMENT_-2"/>
      <sheetName val="BOQ_for_HRSG_&amp;_BOP-mech_"/>
      <sheetName val="Flaer_Area"/>
      <sheetName val="97_사업추정(WEKI)"/>
      <sheetName val="4-3LEVEL-5_epic_4"/>
      <sheetName val="VA_code"/>
      <sheetName val="OCT"/>
      <sheetName val="간접비 총괄표"/>
      <sheetName val="환율change"/>
      <sheetName val="4.TANK Farm"/>
      <sheetName val="Sheet1"/>
      <sheetName val="C급보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2월계정별"/>
      <sheetName val="VXXXX"/>
      <sheetName val="#REF"/>
      <sheetName val="영업소실적"/>
      <sheetName val="#REF!"/>
      <sheetName val="현황CODE"/>
      <sheetName val="손익현황"/>
      <sheetName val="VA_code"/>
      <sheetName val="data_dci"/>
      <sheetName val="data_mci"/>
      <sheetName val="behind"/>
      <sheetName val="Main"/>
      <sheetName val="2JEJO2"/>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P"/>
      <sheetName val="Main"/>
      <sheetName val="DCI"/>
      <sheetName val="Progress"/>
      <sheetName val="S-Curve"/>
      <sheetName val="Sum"/>
      <sheetName val="Sum_dci"/>
      <sheetName val="Sum_mci"/>
      <sheetName val="Sum_FT"/>
      <sheetName val="data_dci"/>
      <sheetName val="data_mci"/>
      <sheetName val="dci_sch"/>
      <sheetName val="dci_act"/>
      <sheetName val="mci_sch"/>
      <sheetName val="mci_act"/>
      <sheetName val="behind"/>
      <sheetName val="주관사업"/>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efreshError="1"/>
      <sheetData sheetId="14"/>
      <sheetData sheetId="15" refreshError="1"/>
      <sheetData sheetId="16"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1차이내역"/>
      <sheetName val="VA_code"/>
    </sheetNames>
    <sheetDataSet>
      <sheetData sheetId="0"/>
      <sheetData sheetId="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_code"/>
      <sheetName val="Sheet1"/>
      <sheetName val="Sheet1 (2)"/>
      <sheetName val="CAT_5"/>
      <sheetName val="Elec_BOQ"/>
      <sheetName val="95삼성급(본사)"/>
      <sheetName val="집계표"/>
      <sheetName val="개시대사 (2)"/>
      <sheetName val="95삼성급_본사_"/>
      <sheetName val="valve_code"/>
      <sheetName val="Titles"/>
      <sheetName val="Information"/>
      <sheetName val="LV CDB"/>
      <sheetName val="전차선로 물량표"/>
      <sheetName val="MixBed"/>
      <sheetName val="CondPol"/>
      <sheetName val="7.6.3(B) UG Piping"/>
      <sheetName val="B31.1"/>
      <sheetName val="PSIZE"/>
      <sheetName val="ASA"/>
      <sheetName val="MC-1"/>
      <sheetName val="교각1"/>
      <sheetName val="BQ"/>
      <sheetName val="Sheet1_(2)"/>
      <sheetName val="개시대사_(2)"/>
      <sheetName val="LV_CDB"/>
      <sheetName val="원가현황"/>
      <sheetName val="EQUIP-H"/>
      <sheetName val="경제성분석"/>
      <sheetName val="CB"/>
      <sheetName val="DATA"/>
      <sheetName val="단가 및 재료비"/>
      <sheetName val="data_dci"/>
      <sheetName val="data_mci"/>
      <sheetName val="behind"/>
      <sheetName val="Main"/>
      <sheetName val="eq_data"/>
      <sheetName val="작성기준"/>
      <sheetName val="내역"/>
      <sheetName val="´çÃÊ"/>
      <sheetName val="Pipe"/>
      <sheetName val="Valve"/>
      <sheetName val="Specialty Item"/>
      <sheetName val="영업소실적"/>
      <sheetName val="TDC_ADMIN"/>
      <sheetName val="Requisitions"/>
      <sheetName val="ICDS"/>
      <sheetName val="Sheet6"/>
      <sheetName val="XZLC004_PART2"/>
      <sheetName val="ABAD"/>
      <sheetName val="A1기성"/>
      <sheetName val="BGT"/>
      <sheetName val="CHAVOSH"/>
      <sheetName val="ZAR SAZ"/>
      <sheetName val="기계내역서"/>
      <sheetName val="I一般比"/>
      <sheetName val="N賃率-職"/>
      <sheetName val="요약배부"/>
      <sheetName val="주관사업"/>
      <sheetName val="Sum by Departments (3)"/>
      <sheetName val="Data Complete (2)"/>
      <sheetName val="Sheet1_(2)1"/>
      <sheetName val="개시대사_(2)1"/>
      <sheetName val="전차선로_물량표"/>
      <sheetName val="B31_1"/>
      <sheetName val="LV_CDB1"/>
      <sheetName val="7_6_3(B)_UG_Piping"/>
      <sheetName val="단가_및_재료비"/>
      <sheetName val="ZAR_SAZ"/>
      <sheetName val="Specialty_Item"/>
      <sheetName val="GTG TR"/>
      <sheetName val="내역서"/>
      <sheetName val="소일위대가코드표"/>
      <sheetName val="공사내역"/>
      <sheetName val="RENUN"/>
      <sheetName val="포장복구집계"/>
      <sheetName val="CAMP - CONSTRUCTION"/>
      <sheetName val="DRUM"/>
      <sheetName val="LEGEND"/>
      <sheetName val="PARAMETER"/>
      <sheetName val="간선계산"/>
      <sheetName val="공사비 내역 (가)"/>
      <sheetName val="상반기손익차2총괄"/>
      <sheetName val="Activity(new)"/>
      <sheetName val="jobhist"/>
      <sheetName val="공문"/>
      <sheetName val="TIE-IN"/>
      <sheetName val="수입"/>
      <sheetName val="Sheet5"/>
      <sheetName val="노임단가"/>
      <sheetName val="Sheet2"/>
      <sheetName val="Z"/>
      <sheetName val="choose"/>
      <sheetName val="Sheet1_(2)2"/>
      <sheetName val="개시대사_(2)2"/>
      <sheetName val="전차선로_물량표1"/>
      <sheetName val="B31_11"/>
      <sheetName val="LV_CDB2"/>
      <sheetName val="7_6_3(B)_UG_Piping1"/>
      <sheetName val="PRICE-COMP"/>
      <sheetName val="4.TANK Farm"/>
      <sheetName val="환율표"/>
      <sheetName val="EQUIPMENT"/>
      <sheetName val="Insts"/>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5-보온(배관)_D"/>
      <sheetName val="BLDG_DCI"/>
      <sheetName val="BLDG_MCI"/>
      <sheetName val="9-1차이내역"/>
    </sheetNames>
    <sheetDataSet>
      <sheetData sheetId="0"/>
      <sheetData sheetId="1" refreshError="1"/>
      <sheetData sheetId="2" refreshError="1"/>
      <sheetData sheetId="3"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9-1차이내역"/>
      <sheetName val="9_1차이내역"/>
      <sheetName val="9-1Â÷ÀÌ³»¿ª"/>
      <sheetName val="주관사업"/>
      <sheetName val="산출근거#2-3"/>
    </sheetNames>
    <sheetDataSet>
      <sheetData sheetId="0"/>
      <sheetData sheetId="1"/>
      <sheetData sheetId="2"/>
      <sheetData sheetId="3" refreshError="1"/>
      <sheetData sheetId="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IT_1000"/>
      <sheetName val="UNIT_2000"/>
      <sheetName val="UNIT_3000"/>
      <sheetName val="UNIT_4000"/>
      <sheetName val="UNIT_5000"/>
      <sheetName val="UNIT_6000"/>
      <sheetName val="UNIT_7000"/>
      <sheetName val="UNIT_OSBL"/>
      <sheetName val="CONTROL"/>
      <sheetName val="TDC_ADMIN"/>
      <sheetName val="Requisitions"/>
      <sheetName val="ICDS"/>
      <sheetName val="PRO_A"/>
      <sheetName val="MAIN"/>
      <sheetName val="PRO"/>
      <sheetName val="BLDG_DCI"/>
      <sheetName val="BLDG_MCI"/>
      <sheetName val="Units"/>
      <sheetName val="Instructions"/>
      <sheetName val="환율"/>
      <sheetName val="BATCH"/>
      <sheetName val="data_dci"/>
      <sheetName val="data_mci"/>
      <sheetName val="behind"/>
      <sheetName val="실행내역"/>
      <sheetName val="Connections"/>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DG_DCI"/>
      <sheetName val="BLDG_MCI"/>
      <sheetName val="data_dci"/>
      <sheetName val="data_mci"/>
      <sheetName val="behind"/>
      <sheetName val="Main"/>
      <sheetName val="#REF!"/>
      <sheetName val="#REF"/>
      <sheetName val="9-1차이내역"/>
      <sheetName val="Cal"/>
      <sheetName val="집계표"/>
      <sheetName val="개시대사 (2)"/>
      <sheetName val="B31.1"/>
      <sheetName val="PSIZE"/>
      <sheetName val="VA_code"/>
      <sheetName val="BREAKDOWN"/>
      <sheetName val="Sheet5"/>
      <sheetName val="Data"/>
      <sheetName val="Calc"/>
      <sheetName val="Staff"/>
      <sheetName val="Regenerator  Concrete Structure"/>
      <sheetName val="LEGEND"/>
      <sheetName val="BLDG_0323"/>
      <sheetName val="본지점중"/>
      <sheetName val="기계내역서"/>
      <sheetName val="Base"/>
      <sheetName val="AILC004"/>
      <sheetName val="5-Digit"/>
      <sheetName val="95삼성급(본사)"/>
      <sheetName val="anls_alat"/>
      <sheetName val="계측 내역서"/>
      <sheetName val="7.6.3(B) UG Piping"/>
      <sheetName val="203 Eqpt r1"/>
      <sheetName val="교각1"/>
      <sheetName val="간선계산"/>
      <sheetName val="8-1차이내역"/>
      <sheetName val="개시대사_(2)"/>
      <sheetName val="B31_1"/>
      <sheetName val="Regenerator__Concrete_Structure"/>
      <sheetName val="수입"/>
      <sheetName val="C3"/>
      <sheetName val="EXCHANGE RATE"/>
      <sheetName val="Comparison_rA"/>
      <sheetName val="Sheet1"/>
      <sheetName val="CBE-VSL"/>
      <sheetName val="choose"/>
      <sheetName val="화성이화모듈공장"/>
      <sheetName val="원효펌프교체020812"/>
      <sheetName val="주관사업"/>
      <sheetName val="요약배부"/>
      <sheetName val="DWG DATA"/>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D"/>
      <sheetName val="BSD 1"/>
      <sheetName val="BSD (2)"/>
      <sheetName val="BSD _2_"/>
      <sheetName val="Summary Sheets"/>
    </sheetNames>
    <sheetDataSet>
      <sheetData sheetId="0"/>
      <sheetData sheetId="1"/>
      <sheetData sheetId="2"/>
      <sheetData sheetId="3" refreshError="1"/>
      <sheetData sheetId="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주관사업"/>
      <sheetName val="사업부배부"/>
      <sheetName val="계정실적"/>
      <sheetName val="계정보고"/>
      <sheetName val="계정보고 (2)"/>
      <sheetName val="요약배부"/>
      <sheetName val="요약배부 (보고)"/>
      <sheetName val="요약배부 (보고) (2)"/>
      <sheetName val="10월계정별"/>
      <sheetName val="10월년간추정"/>
      <sheetName val="배부부별"/>
      <sheetName val="배부비목"/>
      <sheetName val="임대원가"/>
      <sheetName val="기타매출"/>
      <sheetName val="기타매출 (2)"/>
      <sheetName val="기타매출 (3)"/>
      <sheetName val="영업소실적"/>
      <sheetName val="새마을금고"/>
      <sheetName val="Module1"/>
      <sheetName val="참고인원"/>
      <sheetName val="표지"/>
      <sheetName val="content(내부)"/>
      <sheetName val="7.4.1.A(input)"/>
      <sheetName val="7.4.1(B) BOQ Breakdown"/>
      <sheetName val="7.4.1.C(scope)"/>
      <sheetName val="7.4.1.D(Basis)"/>
      <sheetName val="7.4.1.E(allow)"/>
      <sheetName val="7.4.2.A-Build(list)"/>
      <sheetName val="7.4.3.B-BOQ-SUM"/>
      <sheetName val="7.4.3(BOQ_각표지)"/>
      <sheetName val="7.4.3.A(Shelter)"/>
      <sheetName val="7.4.3.B(Module)"/>
      <sheetName val="7.4.3.C(Shelter-FLB)"/>
      <sheetName val="7.4.3.D(Brief Spec.)"/>
      <sheetName val="인원계획"/>
      <sheetName val="평균인원"/>
      <sheetName val="PRO_A"/>
      <sheetName val="MAIN"/>
      <sheetName val="PR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Monitor"/>
      <sheetName val="Progress"/>
      <sheetName val="Progress Summary"/>
      <sheetName val="Drawing Status"/>
      <sheetName val="Procurement Status"/>
      <sheetName val="Progress_ACT"/>
      <sheetName val="MTO"/>
      <sheetName val="PRO_DCI"/>
      <sheetName val="FF_DCI"/>
      <sheetName val="MECH_DCI"/>
      <sheetName val="HVAC_DCI"/>
      <sheetName val="PIPE_DCI"/>
      <sheetName val="ELEC_DCI"/>
      <sheetName val="INST_DCI"/>
      <sheetName val="CIVIL_DCI"/>
      <sheetName val="BLDG_DCI"/>
      <sheetName val="MECH_MCI"/>
      <sheetName val="HVAC_MCI"/>
      <sheetName val="PIPING_MCI"/>
      <sheetName val="ELEC_MCI"/>
      <sheetName val="INST_MCI"/>
      <sheetName val="CIVIL_MCI"/>
      <sheetName val="BLDG_MCI"/>
      <sheetName val="DWG_A"/>
      <sheetName val="DWG"/>
      <sheetName val="PRO_A"/>
      <sheetName val="PRO"/>
      <sheetName val="Module1"/>
      <sheetName val="Module2"/>
      <sheetName val="Module3"/>
      <sheetName val="Module4"/>
      <sheetName val="data_dci"/>
      <sheetName val="data_mci"/>
      <sheetName val="작성기준"/>
      <sheetName val="PIPE"/>
      <sheetName val="BSD _2_"/>
      <sheetName val="집계표"/>
      <sheetName val="Summary Sheets"/>
      <sheetName val="15100"/>
      <sheetName val="BSD (2)"/>
      <sheetName val="VA_code"/>
      <sheetName val="BRICK"/>
      <sheetName val="LEGEND"/>
      <sheetName val="95삼성급(본사)"/>
      <sheetName val="RENUN"/>
      <sheetName val="FLANGE"/>
      <sheetName val="VALVE"/>
      <sheetName val="9-1차이내역"/>
      <sheetName val="ERECTION"/>
      <sheetName val="BREAKDOWN"/>
      <sheetName val="#REF"/>
      <sheetName val="eq_data"/>
      <sheetName val="SILICATE"/>
      <sheetName val="PAGE 2"/>
      <sheetName val="#3E1_GCR"/>
      <sheetName val="behind"/>
      <sheetName val="요약배부"/>
      <sheetName val="주관사업"/>
      <sheetName val="표지"/>
      <sheetName val="기둥(원형)"/>
      <sheetName val="COPING"/>
      <sheetName val="단가"/>
      <sheetName val="PBS"/>
      <sheetName val="BalanceSheet"/>
      <sheetName val="CashFlow"/>
      <sheetName val="Summary"/>
      <sheetName val="CAT_5"/>
      <sheetName val="남양시작동자105노65기1.3화1.2"/>
      <sheetName val="Progress_Summary"/>
      <sheetName val="Drawing_Status"/>
      <sheetName val="Procurement_Status"/>
      <sheetName val="BSD__2_"/>
      <sheetName val="Summary_Sheets"/>
      <sheetName val="BSD_(2)"/>
      <sheetName val="PAGE_2"/>
      <sheetName val="계산내역"/>
      <sheetName val="VLOOKUP"/>
      <sheetName val="cal-foamglass"/>
      <sheetName val="MonthlyProgress"/>
      <sheetName val="INSTR"/>
      <sheetName val="개시대사 (2)"/>
      <sheetName val="찍기"/>
      <sheetName val="대치판정"/>
      <sheetName val="TOEC"/>
      <sheetName val="인원계획"/>
      <sheetName val="guard(mac)"/>
      <sheetName val="h-013211-2"/>
      <sheetName val="AILC004"/>
      <sheetName val="Engrg Est"/>
      <sheetName val="계화배수(3대)"/>
      <sheetName val="수입"/>
      <sheetName val="직급별 신상명세"/>
      <sheetName val="main_db"/>
      <sheetName val="부서별 신상명세"/>
      <sheetName val="산근"/>
      <sheetName val="화성이화모듈공장"/>
      <sheetName val="CARBOLINE분석"/>
      <sheetName val="해외 연수비용 계산-삭제"/>
      <sheetName val="카메라"/>
      <sheetName val="해외 기술훈련비 (합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refreshError="1"/>
      <sheetData sheetId="72" refreshError="1"/>
      <sheetData sheetId="73" refreshError="1"/>
      <sheetData sheetId="74" refreshError="1"/>
      <sheetData sheetId="75" refreshError="1"/>
      <sheetData sheetId="76" refreshError="1"/>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sheetName val="제1안"/>
      <sheetName val="제2안"/>
      <sheetName val="토공"/>
      <sheetName val="금액대비"/>
      <sheetName val="토공가실행"/>
      <sheetName val="Sheet5"/>
      <sheetName val="BSD (2)"/>
      <sheetName val="PRO_A"/>
      <sheetName val="DWG"/>
      <sheetName val="ELEC_MCI"/>
      <sheetName val="MAIN"/>
      <sheetName val="INST_MCI"/>
      <sheetName val="MECH_MCI"/>
      <sheetName val="PRO"/>
      <sheetName val="cable"/>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RVP (1)"/>
      <sheetName val="LRVP (2)"/>
      <sheetName val="sc0314 Index"/>
      <sheetName val="Page2"/>
      <sheetName val="eq_data"/>
      <sheetName val="주관사업"/>
      <sheetName val="요약배부"/>
    </sheetNames>
    <sheetDataSet>
      <sheetData sheetId="0"/>
      <sheetData sheetId="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주관사업"/>
      <sheetName val="사업부배부"/>
      <sheetName val="계정실적"/>
      <sheetName val="계정보고"/>
      <sheetName val="계정보고 (2)"/>
      <sheetName val="요약배부"/>
      <sheetName val="요약배부 (보고)"/>
      <sheetName val="요약배부 (보고) (2)"/>
      <sheetName val="10월계정별"/>
      <sheetName val="10월년간추정"/>
      <sheetName val="배부부별"/>
      <sheetName val="배부비목"/>
      <sheetName val="임대원가"/>
      <sheetName val="기타매출"/>
      <sheetName val="기타매출 (2)"/>
      <sheetName val="기타매출 (3)"/>
      <sheetName val="영업소실적"/>
      <sheetName val="새마을금고"/>
      <sheetName val="Module1"/>
      <sheetName val="참고인원"/>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amp;WIRE"/>
      <sheetName val="FITTING"/>
      <sheetName val="PBS"/>
      <sheetName val="BULK"/>
      <sheetName val="LTG(PROCESS)"/>
      <sheetName val="LTG(CONTROLBLDG)"/>
      <sheetName val="PANELBOARD"/>
      <sheetName val="CONDUIT"/>
      <sheetName val="SHRINKABLE"/>
      <sheetName val="TERMINATIONKIT"/>
      <sheetName val="TB&amp;SPEAKER"/>
      <sheetName val="GND사급"/>
      <sheetName val="GND도급"/>
      <sheetName val="MCI"/>
      <sheetName val="#REF"/>
      <sheetName val="Sheet1"/>
      <sheetName val="Code"/>
      <sheetName val="Connections"/>
      <sheetName val="DWTables"/>
      <sheetName val="Y-MOV2011"/>
      <sheetName val="Corrib Haz"/>
      <sheetName val="Input"/>
      <sheetName val="Sheet2"/>
      <sheetName val="BQ List"/>
      <sheetName val="Proposal"/>
      <sheetName val="POWERBM"/>
      <sheetName val="환율"/>
      <sheetName val="Sheet5"/>
      <sheetName val="UXSLCNK4"/>
      <sheetName val="Dsndata"/>
      <sheetName val="StrucData"/>
      <sheetName val="부표총괄"/>
      <sheetName val="CommSpare"/>
      <sheetName val="eGAP Work Sht"/>
      <sheetName val="PRICE-COMP"/>
      <sheetName val="적용환율"/>
      <sheetName val="RFP002"/>
      <sheetName val="DGchitiet "/>
      <sheetName val="PBS?)."/>
      <sheetName val="주관사업"/>
      <sheetName val="요약배부"/>
      <sheetName val="FACTOR"/>
      <sheetName val="COA-17"/>
      <sheetName val="C-18"/>
      <sheetName val="ANALYSER"/>
      <sheetName val="FWBS7000,8000"/>
      <sheetName val="LABTOTAL"/>
      <sheetName val="BQ_List"/>
      <sheetName val="COMPARISON(TOTAL)"/>
      <sheetName val="COMPARISON(PKG1)"/>
      <sheetName val="COMPARISON(PKG2)"/>
      <sheetName val="COMPARISON(PKG3)"/>
      <sheetName val="BQ_List1"/>
      <sheetName val="7_3_2_D(BASE)_Sorting1"/>
      <sheetName val="7_3_2_E(OPTION)_Sorting1"/>
      <sheetName val="PRO_A"/>
      <sheetName val="MAIN"/>
      <sheetName val="PRO"/>
      <sheetName val="datalist"/>
      <sheetName val="spare(MCC)"/>
      <sheetName val="TECO"/>
      <sheetName val="작성기준"/>
      <sheetName val="CONTROL"/>
      <sheetName val="LV SWGR"/>
      <sheetName val="MV SWG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7 사업추정(WEKI)"/>
      <sheetName val="eq_data"/>
    </sheetNames>
    <sheetDataSet>
      <sheetData sheetId="0"/>
      <sheetData sheetId="1"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개시대사 (2)"/>
      <sheetName val="고자T-B"/>
      <sheetName val="환차,JJ비용 반영"/>
      <sheetName val="공사집계"/>
      <sheetName val="정산표14"/>
      <sheetName val="Sheet2"/>
      <sheetName val="고자현황"/>
      <sheetName val="상각현황"/>
      <sheetName val="개시최"/>
      <sheetName val="개시대사"/>
      <sheetName val="정산최"/>
      <sheetName val="정산표實"/>
      <sheetName val="data_dci"/>
      <sheetName val="data_mci"/>
      <sheetName val="behind"/>
      <sheetName val="Main"/>
      <sheetName val="본지점중"/>
      <sheetName val="fitting"/>
      <sheetName val="VLOOKUP"/>
      <sheetName val="cal-foamglass"/>
      <sheetName val="정산표"/>
      <sheetName val="ABAD"/>
      <sheetName val="A1기성"/>
      <sheetName val="BGT"/>
      <sheetName val="CHAVOSH"/>
      <sheetName val="ZAR SAZ"/>
      <sheetName val="#REF"/>
      <sheetName val="ARP2"/>
      <sheetName val="CHA REV"/>
      <sheetName val="FJK 0"/>
      <sheetName val="GAMMA 1"/>
      <sheetName val="RENUN"/>
      <sheetName val="개시전표"/>
      <sheetName val="h-013211-2"/>
      <sheetName val="97 사업추정(WEKI)"/>
      <sheetName val="공사비_ND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97 사업추정(WEKI)"/>
      <sheetName val="97 사업추정_WEKI_"/>
      <sheetName val="9-1차이내역"/>
      <sheetName val="PumpSpec"/>
      <sheetName val="투찰가"/>
      <sheetName val="수량집계"/>
      <sheetName val="총괄집계표"/>
      <sheetName val="상반기손익차2총괄"/>
      <sheetName val="97SAUPCU"/>
      <sheetName val="RCF CLAIMED"/>
      <sheetName val="Expat Conditions"/>
      <sheetName val="eq_data"/>
      <sheetName val="수입"/>
      <sheetName val="손익차9월2"/>
      <sheetName val="시행예산"/>
      <sheetName val="단면가정"/>
      <sheetName val="fitting"/>
      <sheetName val="VENDOR LIST"/>
      <sheetName val="공통비"/>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수입"/>
      <sheetName val="Sheet1"/>
      <sheetName val="Sheet2"/>
      <sheetName val="Sheet3"/>
      <sheetName val="상반기손익차2총괄"/>
      <sheetName val="SPEC-DT2"/>
      <sheetName val="DESCRIPTION"/>
      <sheetName val="우각부보강"/>
      <sheetName val="BM DATA SHEET"/>
      <sheetName val="PIPE"/>
      <sheetName val="FLANGE"/>
      <sheetName val="VALVE"/>
      <sheetName val="96.12"/>
      <sheetName val="Details"/>
      <sheetName val="NEWCPS"/>
      <sheetName val="97 사업추정(WEKI)"/>
      <sheetName val="IndectCostBreakdown"/>
      <sheetName val="PRO_A"/>
      <sheetName val="DWG"/>
      <sheetName val="MAIN"/>
      <sheetName val="PRO"/>
      <sheetName val="BQ"/>
      <sheetName val="h-013211-2"/>
      <sheetName val="주관사업"/>
      <sheetName val="ANALYSER"/>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013211-2"/>
      <sheetName val="h-013201-2"/>
      <sheetName val="h-113003-3"/>
      <sheetName val="h-213002-3"/>
      <sheetName val="h-13101-3"/>
      <sheetName val="h-013001-3"/>
      <sheetName val="013301-2"/>
      <sheetName val="h-013202-2"/>
      <sheetName val="PumpSpec"/>
      <sheetName val="steam table"/>
      <sheetName val="수량산출서"/>
      <sheetName val="97 사업추정(WEKI)"/>
      <sheetName val="본지점중"/>
      <sheetName val="eq_data"/>
      <sheetName val="견적의뢰"/>
      <sheetName val="수입"/>
      <sheetName val="PROCESS"/>
      <sheetName val="TOEC"/>
      <sheetName val="h_013211_2"/>
      <sheetName val="Expat Conditions"/>
      <sheetName val="공문"/>
      <sheetName val="REINF_"/>
      <sheetName val="SKETCH"/>
      <sheetName val="LOADS"/>
      <sheetName val="BQ(Piping)"/>
      <sheetName val="PipWT"/>
      <sheetName val="PHALAIDUCT dwg- h-013201-2"/>
      <sheetName val="Sheet1"/>
      <sheetName val="내역서"/>
      <sheetName val="details"/>
      <sheetName val="투입실적"/>
      <sheetName val="REINF."/>
      <sheetName val="소화실적"/>
      <sheetName val="M1"/>
      <sheetName val="BQ List"/>
      <sheetName val="CWP"/>
      <sheetName val="PIPE"/>
      <sheetName val="상반기손익차2총괄"/>
      <sheetName val="CHECK1"/>
      <sheetName val="Prefab"/>
      <sheetName val="new급여T(4을-운전)"/>
      <sheetName val="전기일위대가"/>
      <sheetName val="노임"/>
      <sheetName val="DATA"/>
      <sheetName val="CAT_5"/>
      <sheetName val="철수현황"/>
      <sheetName val="고자현황"/>
      <sheetName val="직원동원SCH"/>
      <sheetName val="Total"/>
      <sheetName val="Graph (LGEN)"/>
      <sheetName val="out_prog"/>
      <sheetName val="DCS_EDIT"/>
      <sheetName val="BM DATA SHEET"/>
      <sheetName val="fitting"/>
      <sheetName val="환율"/>
      <sheetName val="BLR 1"/>
      <sheetName val="GEN"/>
      <sheetName val="GAS"/>
      <sheetName val="DEAE"/>
      <sheetName val="BLR2"/>
      <sheetName val="BLR3"/>
      <sheetName val="BLR4"/>
      <sheetName val="BLR5"/>
      <sheetName val="DEM"/>
      <sheetName val="SAM"/>
      <sheetName val="CHEM"/>
      <sheetName val="COP"/>
      <sheetName val="현장지지물물량"/>
      <sheetName val="정부노임단가"/>
      <sheetName val="영업소실적"/>
      <sheetName val="경제지표"/>
      <sheetName val="PBS"/>
      <sheetName val="관세,통관수수료,운반비"/>
      <sheetName val="Ex-Rate"/>
      <sheetName val="DESCRIPTION"/>
      <sheetName val="CODE"/>
      <sheetName val="Sheet5"/>
      <sheetName val="dnc4"/>
      <sheetName val="IN"/>
      <sheetName val="CAPITULOS"/>
      <sheetName val=""/>
      <sheetName val="Quantity"/>
      <sheetName val="Sheet4"/>
      <sheetName val="General Data"/>
      <sheetName val="costing_CV"/>
      <sheetName val="costing_ESDV"/>
      <sheetName val="costing_FE"/>
      <sheetName val="costing_Misc"/>
      <sheetName val="costing_MOV"/>
      <sheetName val="costing_Press"/>
      <sheetName val="Elect (3)"/>
      <sheetName val="선적schedule (2)"/>
      <sheetName val="VA_code"/>
      <sheetName val="#REF"/>
      <sheetName val="터널조도"/>
      <sheetName val="PAGE 1"/>
      <sheetName val="plan&amp;section of foundation"/>
      <sheetName val="design criteria"/>
      <sheetName val="COVER"/>
      <sheetName val="DOWNLOAD"/>
      <sheetName val="PRO_DCI"/>
      <sheetName val="INST_DCI"/>
      <sheetName val="HVAC_DCI"/>
      <sheetName val="PIPE_DCI"/>
      <sheetName val="Price Comparison"/>
      <sheetName val="Y-WORK"/>
      <sheetName val="ITB COST"/>
      <sheetName val="LABTOTAL"/>
      <sheetName val="Contents"/>
      <sheetName val="Summary Shee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F_DCI"/>
      <sheetName val="MECH_DCI"/>
      <sheetName val="HVAC_DCI"/>
      <sheetName val="PIPE_DCI"/>
      <sheetName val="ELEC_DCI"/>
      <sheetName val="INST_DCI"/>
      <sheetName val="CIVIL_DCI"/>
      <sheetName val="BLDG_DCI"/>
      <sheetName val="BLDG_MCI"/>
      <sheetName val="97 사업추정(WEKI)"/>
      <sheetName val="설계조건"/>
      <sheetName val="BB2현대건설견적"/>
      <sheetName val="h_013211_2"/>
      <sheetName val="h-013211-2"/>
      <sheetName val="투입실적"/>
      <sheetName val="전력"/>
      <sheetName val="REINF."/>
      <sheetName val="LOADS"/>
      <sheetName val="crude.SLAB RE-bar"/>
      <sheetName val="CRUDE RE-bar"/>
      <sheetName val="견적의뢰"/>
      <sheetName val="Resource summary"/>
      <sheetName val="9-1차이내역"/>
      <sheetName val="상반기손익차2총괄"/>
      <sheetName val="ACTDATA"/>
      <sheetName val="수입"/>
      <sheetName val="labor"/>
      <sheetName val="환율"/>
      <sheetName val="Lookup"/>
      <sheetName val="일위대가"/>
      <sheetName val="LinerWt"/>
      <sheetName val="DCI_010419"/>
      <sheetName val="도"/>
      <sheetName val="area-table"/>
      <sheetName val="Thk-table"/>
      <sheetName val="전기일위대가"/>
      <sheetName val="Assumptions"/>
      <sheetName val="VESSEL Sh. 1"/>
      <sheetName val="CAT_5"/>
      <sheetName val="대비"/>
      <sheetName val="eq_data"/>
      <sheetName val="인원계획"/>
      <sheetName val="Cover"/>
      <sheetName val="세금자료"/>
      <sheetName val="경제지표"/>
      <sheetName val="LEGEND"/>
      <sheetName val="Data"/>
      <sheetName val="Estimate"/>
      <sheetName val="Major"/>
      <sheetName val="Sheet1"/>
      <sheetName val="PRO_A"/>
      <sheetName val="DWG"/>
      <sheetName val="ELEC_MCI"/>
      <sheetName val="MAIN"/>
      <sheetName val="INST_MCI"/>
      <sheetName val="MECH_MCI"/>
      <sheetName val="PRO"/>
      <sheetName val="VA_code"/>
    </sheetNames>
    <sheetDataSet>
      <sheetData sheetId="0" refreshError="1"/>
      <sheetData sheetId="1" refreshError="1"/>
      <sheetData sheetId="2"/>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ual"/>
      <sheetName val="equipment"/>
      <sheetName val="eq_data"/>
      <sheetName val="out_put"/>
      <sheetName val="drawing"/>
      <sheetName val="Loading"/>
      <sheetName val="Content"/>
      <sheetName val="7.5.1(A) Data"/>
      <sheetName val="7.5.1(B) BOQ Breakdown"/>
      <sheetName val="7.5.1(C) Scope"/>
      <sheetName val="7.5.1(D) Basis"/>
      <sheetName val="7.5.1(E) Allowance"/>
      <sheetName val="7.5.2 BOQ Summary"/>
      <sheetName val="7.5.3 BOQ"/>
      <sheetName val="A. Erec_BOQ(Shop)"/>
      <sheetName val="B. Erec_BOQ(Field)"/>
      <sheetName val="C. Surface_Protection"/>
      <sheetName val="A. Erec_BOQ(Shop) (2)"/>
      <sheetName val="B. Erec_BOQ(Field) (2)"/>
      <sheetName val="C. Surf_Protection"/>
      <sheetName val="Attachment #1"/>
      <sheetName val="Attachment #2"/>
      <sheetName val="LIST"/>
      <sheetName val="301"/>
      <sheetName val="302 C1"/>
      <sheetName val="302 C2"/>
      <sheetName val="302"/>
      <sheetName val="SUPPLY (2)"/>
      <sheetName val="RETURN (2)"/>
      <sheetName val="SUPPLY"/>
      <sheetName val="RETURN"/>
      <sheetName val="303"/>
      <sheetName val="303 (2)"/>
      <sheetName val="304"/>
      <sheetName val="305"/>
      <sheetName val="306"/>
      <sheetName val="307"/>
      <sheetName val="308"/>
      <sheetName val="308 (2)"/>
      <sheetName val="309"/>
      <sheetName val="309 (2)"/>
      <sheetName val="예산서"/>
      <sheetName val="Cover"/>
      <sheetName val="산출기준"/>
      <sheetName val="CABLE"/>
      <sheetName val="JUNCTION BOX"/>
      <sheetName val="TRAY"/>
      <sheetName val="PIPE"/>
      <sheetName val="PIPE FITTING"/>
      <sheetName val="TUBE"/>
      <sheetName val="TUBE FITTING"/>
      <sheetName val="CABLE GLAND"/>
      <sheetName val="VALVE"/>
      <sheetName val="MCT"/>
      <sheetName val="SUPPORT"/>
      <sheetName val="수입"/>
      <sheetName val="fdn_bm_pro"/>
      <sheetName val="P3"/>
      <sheetName val="Sheet1"/>
      <sheetName val="전기일위대가"/>
      <sheetName val="갑지(추정)"/>
      <sheetName val="CAT_5"/>
      <sheetName val="CONS. EQUIP.  "/>
      <sheetName val="투입실적"/>
      <sheetName val="A"/>
      <sheetName val="BLR 1"/>
      <sheetName val="GEN"/>
      <sheetName val="GAS"/>
      <sheetName val="DEAE"/>
      <sheetName val="BLR2"/>
      <sheetName val="BLR3"/>
      <sheetName val="BLR4"/>
      <sheetName val="BLR5"/>
      <sheetName val="DEM"/>
      <sheetName val="SAM"/>
      <sheetName val="CHEM"/>
      <sheetName val="COP"/>
      <sheetName val="TOEC"/>
      <sheetName val="T1"/>
      <sheetName val="일위대가"/>
      <sheetName val="VA_code"/>
      <sheetName val="가시설공"/>
      <sheetName val="REINF."/>
      <sheetName val="SKETCH"/>
      <sheetName val="LOADS"/>
      <sheetName val="CHECK1"/>
      <sheetName val="기별수량산출서"/>
      <sheetName val="출력X"/>
      <sheetName val="PRO_A"/>
      <sheetName val="DWG"/>
      <sheetName val="ELEC_MCI"/>
      <sheetName val="MAIN"/>
      <sheetName val="INST_MCI"/>
      <sheetName val="MECH_MCI"/>
      <sheetName val="PRO"/>
      <sheetName val="ELEC_DCI"/>
      <sheetName val="INST_DCI"/>
      <sheetName val="SPEC"/>
      <sheetName val="ACTDATA"/>
      <sheetName val="ITB COST"/>
      <sheetName val="97 사업추정(WEKI)"/>
      <sheetName val="건축"/>
      <sheetName val="PIP"/>
      <sheetName val="환율표"/>
      <sheetName val="90EL JACKET"/>
      <sheetName val="BAND(200)"/>
      <sheetName val="보온재"/>
      <sheetName val="FACTOR"/>
      <sheetName val="인건비"/>
      <sheetName val="보온 회사분"/>
      <sheetName val="7_5_1(A)_Data"/>
      <sheetName val="7_5_1(B)_BOQ_Breakdown"/>
      <sheetName val="7_5_1(C)_Scope"/>
      <sheetName val="7_5_1(D)_Basis"/>
      <sheetName val="7_5_1(E)_Allowance"/>
      <sheetName val="7_5_2_BOQ_Summary"/>
      <sheetName val="7_5_3_BOQ"/>
      <sheetName val="A__Erec_BOQ(Shop)"/>
      <sheetName val="B__Erec_BOQ(Field)"/>
      <sheetName val="C__Surface_Protection"/>
      <sheetName val="A__Erec_BOQ(Shop)_(2)"/>
      <sheetName val="B__Erec_BOQ(Field)_(2)"/>
      <sheetName val="C__Surf_Protection"/>
      <sheetName val="Attachment_#1"/>
      <sheetName val="Attachment_#2"/>
      <sheetName val="302_C1"/>
      <sheetName val="302_C2"/>
      <sheetName val="SUPPLY_(2)"/>
      <sheetName val="RETURN_(2)"/>
      <sheetName val="303_(2)"/>
      <sheetName val="308_(2)"/>
      <sheetName val="309_(2)"/>
      <sheetName val="JUNCTION_BOX"/>
      <sheetName val="PIPE_FITTING"/>
      <sheetName val="TUBE_FITTING"/>
      <sheetName val="CABLE_GLAND"/>
      <sheetName val="BLR_1"/>
      <sheetName val="CONS__EQUIP___"/>
      <sheetName val="REINF_"/>
      <sheetName val="토공"/>
      <sheetName val="TL,Termination"/>
      <sheetName val="Cable,Conduit"/>
      <sheetName val="WORK"/>
      <sheetName val="h-013211-2"/>
      <sheetName val="예산"/>
      <sheetName val="Cost control"/>
      <sheetName val="#REF"/>
      <sheetName val="부표총괄"/>
      <sheetName val="Elect"/>
      <sheetName val="FIRE FIGHTING"/>
      <sheetName val="소비자가"/>
      <sheetName val="을"/>
      <sheetName val="내역"/>
      <sheetName val="내역서"/>
      <sheetName val="Macro(전선)"/>
      <sheetName val="Tipo Terzi"/>
      <sheetName val="plan&amp;section of foundation"/>
      <sheetName val="design criteria"/>
      <sheetName val="주관사업"/>
      <sheetName val="요약배부"/>
      <sheetName val="9-1차이내역"/>
      <sheetName val="도"/>
      <sheetName val="CIVIL"/>
      <sheetName val="SHL"/>
      <sheetName val="Y-WORK"/>
      <sheetName val="DESCRIPTION"/>
      <sheetName val="BM DATA SHEET"/>
      <sheetName val="배관"/>
      <sheetName val="working load at the btm ft."/>
      <sheetName val="stability check"/>
      <sheetName val="BB2현대건설견적"/>
      <sheetName val="DATA"/>
      <sheetName val="PBS"/>
      <sheetName val="costing_CV"/>
      <sheetName val="costing_ESDV"/>
      <sheetName val="costing_FE"/>
      <sheetName val="costing_Misc"/>
      <sheetName val="costing_MOV"/>
      <sheetName val="costing_Press"/>
      <sheetName val="PRC-SUM"/>
      <sheetName val="Dati"/>
      <sheetName val="DN"/>
      <sheetName val="Fluidi"/>
      <sheetName val="Temperatura"/>
      <sheetName val="Mat Stelo"/>
      <sheetName val="N+"/>
      <sheetName val="CHK_OUT_BM_090914"/>
      <sheetName val="Unit SUM"/>
      <sheetName val="AILC004"/>
      <sheetName val="BREAKDOWN"/>
      <sheetName val="조경"/>
      <sheetName val="환율"/>
      <sheetName val="DWTables"/>
      <sheetName val="1.설계기준"/>
      <sheetName val="R2_0908"/>
      <sheetName val="BAP"/>
      <sheetName val="HRS"/>
      <sheetName val="방유제용량 계산서"/>
      <sheetName val="bill 2"/>
      <sheetName val="Resource"/>
      <sheetName val="95삼성급(본사)"/>
      <sheetName val="Break Dw"/>
      <sheetName val="TblPriceDB"/>
      <sheetName val="Total"/>
      <sheetName val="MOTOR"/>
      <sheetName val="Page2"/>
      <sheetName val="OUTER AREA(겹침없음)"/>
      <sheetName val="JACKET(50,50)"/>
      <sheetName val="FLANGE"/>
      <sheetName val="Tables"/>
      <sheetName val="dnc4"/>
      <sheetName val="DATA1"/>
      <sheetName val="Sheet2"/>
      <sheetName val="제품현황"/>
      <sheetName val="pile bearing capa &amp; arrenge"/>
      <sheetName val="design load"/>
      <sheetName val="oper_load"/>
      <sheetName val="evap"/>
      <sheetName val="Fab. Skid"/>
      <sheetName val="Material Specification"/>
      <sheetName val="special item 양진규 작성"/>
      <sheetName val="CODE"/>
      <sheetName val="정부노임단가"/>
      <sheetName val="인원계획"/>
      <sheetName val="lookup"/>
      <sheetName val="SILICATE"/>
      <sheetName val="CAMP OPERATING COST"/>
      <sheetName val="PERSONNEL SETUP"/>
      <sheetName val="LIST OF OFFICE EQUIPMENT"/>
      <sheetName val="STAFF&amp;INDIRECT SALARY - SUMMARY"/>
      <sheetName val="KOREAN STAFF SALARY_BREAKDOWN"/>
      <sheetName val="WELFARE COST - SITE"/>
      <sheetName val="표지 (2)"/>
      <sheetName val="자료"/>
      <sheetName val="Condition"/>
      <sheetName val="Sheet5"/>
      <sheetName val="ITB_COST"/>
      <sheetName val="Mat_Stelo"/>
      <sheetName val="Unit_SUM"/>
      <sheetName val="CAPVC"/>
      <sheetName val="CAL"/>
      <sheetName val="Sch.6"/>
      <sheetName val="세금자료"/>
      <sheetName val="경제지표"/>
      <sheetName val="대비내역"/>
      <sheetName val="Schedule(1)"/>
      <sheetName val="개시대사 (2)"/>
      <sheetName val="집계표"/>
      <sheetName val="A-4"/>
      <sheetName val="단가정보"/>
      <sheetName val="INPUT DATA"/>
      <sheetName val="CSTSUM"/>
      <sheetName val="UNSTEADY"/>
      <sheetName val="data_dci"/>
      <sheetName val="data_mci"/>
      <sheetName val="behind"/>
      <sheetName val="combi(wall)"/>
      <sheetName val="평3"/>
      <sheetName val="입고장부 (4)"/>
      <sheetName val="공통비"/>
      <sheetName val="FEUILLE INTERNE"/>
      <sheetName val="역T형"/>
      <sheetName val="IT-BAT"/>
      <sheetName val="sum"/>
      <sheetName val="sheeet2"/>
      <sheetName val="7_5_1(A)_Data1"/>
      <sheetName val="7_5_1(B)_BOQ_Breakdown1"/>
      <sheetName val="7_5_1(C)_Scope1"/>
      <sheetName val="7_5_1(D)_Basis1"/>
      <sheetName val="7_5_1(E)_Allowance1"/>
      <sheetName val="7_5_2_BOQ_Summary1"/>
      <sheetName val="7_5_3_BOQ1"/>
      <sheetName val="A__Erec_BOQ(Shop)1"/>
      <sheetName val="B__Erec_BOQ(Field)1"/>
      <sheetName val="C__Surface_Protection1"/>
      <sheetName val="A__Erec_BOQ(Shop)_(2)1"/>
      <sheetName val="B__Erec_BOQ(Field)_(2)1"/>
      <sheetName val="C__Surf_Protection1"/>
      <sheetName val="Attachment_#11"/>
      <sheetName val="Attachment_#21"/>
      <sheetName val="302_C11"/>
      <sheetName val="302_C21"/>
      <sheetName val="SUPPLY_(2)1"/>
      <sheetName val="RETURN_(2)1"/>
      <sheetName val="303_(2)1"/>
      <sheetName val="308_(2)1"/>
      <sheetName val="309_(2)1"/>
      <sheetName val="JUNCTION_BOX1"/>
      <sheetName val="PIPE_FITTING1"/>
      <sheetName val="TUBE_FITTING1"/>
      <sheetName val="CABLE_GLAND1"/>
      <sheetName val="CONS__EQUIP___1"/>
      <sheetName val="REINF_1"/>
      <sheetName val="BLR_11"/>
      <sheetName val="97_사업추정(WEKI)"/>
      <sheetName val="Cost_control"/>
      <sheetName val="90EL_JACKET"/>
      <sheetName val="보온_회사분"/>
      <sheetName val="FIRE_FIGHTING"/>
      <sheetName val="Tipo_Terzi"/>
      <sheetName val="plan&amp;section_of_foundation"/>
      <sheetName val="design_criteria"/>
      <sheetName val="BM_DATA_SHEET"/>
      <sheetName val="仪表分析表"/>
      <sheetName val="인원현황"/>
      <sheetName val="CAMP - CONSTRUCTION"/>
      <sheetName val="eq_data _x0000__x0000__x0000__x0000_"/>
      <sheetName val="IBL-C"/>
      <sheetName val="BLDG_MCI"/>
      <sheetName val="변수적용"/>
      <sheetName val="e4-6-%"/>
      <sheetName val="설계조건"/>
      <sheetName val="조명시설"/>
      <sheetName val="심사계산"/>
      <sheetName val="심사물량"/>
      <sheetName val="건축내역"/>
      <sheetName val="COMPARISON TABLE"/>
      <sheetName val="L V Separator"/>
      <sheetName val="EG-09"/>
      <sheetName val="총괄표양식"/>
      <sheetName val="차량운영비"/>
      <sheetName val="세부내역"/>
      <sheetName val="E_Rate PM"/>
      <sheetName val="Schedule 2 and 3"/>
      <sheetName val="갑지"/>
      <sheetName val="input"/>
      <sheetName val="CAL."/>
      <sheetName val="BOQ건축"/>
      <sheetName val="견적의뢰"/>
      <sheetName val="BSD (2)"/>
      <sheetName val="KLHT"/>
      <sheetName val="General"/>
      <sheetName val="Menus"/>
      <sheetName val="단가"/>
      <sheetName val="TRAY BM"/>
      <sheetName val="Set"/>
      <sheetName val="품셈1-17"/>
      <sheetName val="11.자재단가"/>
      <sheetName val="Imp-Data"/>
      <sheetName val="PROJECT"/>
      <sheetName val="1 OF 9"/>
      <sheetName val="품셈 "/>
      <sheetName val="PAINT"/>
      <sheetName val="방화도료"/>
      <sheetName val="Cover sheet"/>
      <sheetName val="원본"/>
      <sheetName val="EE-PROP"/>
      <sheetName val="LD-OVERALL"/>
      <sheetName val="BOQ"/>
      <sheetName val="7_5_1(A)_Data2"/>
      <sheetName val="7_5_1(B)_BOQ_Breakdown2"/>
      <sheetName val="7_5_1(C)_Scope2"/>
      <sheetName val="7_5_1(D)_Basis2"/>
      <sheetName val="7_5_1(E)_Allowance2"/>
      <sheetName val="7_5_2_BOQ_Summary2"/>
      <sheetName val="7_5_3_BOQ2"/>
      <sheetName val="A__Erec_BOQ(Shop)2"/>
      <sheetName val="B__Erec_BOQ(Field)2"/>
      <sheetName val="C__Surface_Protection2"/>
      <sheetName val="A__Erec_BOQ(Shop)_(2)2"/>
      <sheetName val="B__Erec_BOQ(Field)_(2)2"/>
      <sheetName val="C__Surf_Protection2"/>
      <sheetName val="Attachment_#12"/>
      <sheetName val="Attachment_#22"/>
      <sheetName val="302_C12"/>
      <sheetName val="302_C22"/>
      <sheetName val="SUPPLY_(2)2"/>
      <sheetName val="RETURN_(2)2"/>
      <sheetName val="303_(2)2"/>
      <sheetName val="308_(2)2"/>
      <sheetName val="309_(2)2"/>
      <sheetName val="JUNCTION_BOX2"/>
      <sheetName val="PIPE_FITTING2"/>
      <sheetName val="TUBE_FITTING2"/>
      <sheetName val="CABLE_GLAND2"/>
      <sheetName val="CONS__EQUIP___2"/>
      <sheetName val="BLR_12"/>
      <sheetName val="REINF_2"/>
      <sheetName val="ITB_COST1"/>
      <sheetName val="97_사업추정(WEKI)1"/>
      <sheetName val="Cost_control1"/>
      <sheetName val="90EL_JACKET1"/>
      <sheetName val="보온_회사분1"/>
      <sheetName val="FIRE_FIGHTING1"/>
      <sheetName val="NDOCBT"/>
      <sheetName val="Summary"/>
      <sheetName val="Definitions"/>
      <sheetName val="예산M11A"/>
      <sheetName val="기둥(원형)"/>
      <sheetName val="기계공사비집계(원안)"/>
      <sheetName val="10현장조직"/>
      <sheetName val="LABTOTAL"/>
      <sheetName val="산근"/>
      <sheetName val="을지"/>
      <sheetName val="Graph (LGEN)"/>
      <sheetName val="out_prog"/>
      <sheetName val="선적schedule (2)"/>
      <sheetName val="Sheet6"/>
      <sheetName val="실행내역"/>
      <sheetName val="Contents"/>
      <sheetName val="Summary Sheets"/>
      <sheetName val="Design"/>
      <sheetName val="RFP002"/>
      <sheetName val="대치판정"/>
      <sheetName val="가도공"/>
      <sheetName val="공사"/>
      <sheetName val="MyLists"/>
      <sheetName val="Sheet3"/>
      <sheetName val="영업2"/>
      <sheetName val="영업3"/>
      <sheetName val="Code_Magics"/>
      <sheetName val="Titel"/>
      <sheetName val="1_설계기준"/>
      <sheetName val="bill_2"/>
      <sheetName val="NAMES"/>
      <sheetName val="NPC500"/>
      <sheetName val="#3E1_GCR"/>
      <sheetName val="표지"/>
      <sheetName val="데이타"/>
      <sheetName val="11"/>
      <sheetName val="Sheet10"/>
      <sheetName val="plan&amp;section_of_foundation1"/>
      <sheetName val="design_criteria1"/>
      <sheetName val="Tipo_Terzi1"/>
      <sheetName val="BM_DATA_SHEET1"/>
      <sheetName val="Mat_Stelo1"/>
      <sheetName val="working_load_at_the_btm_ft_"/>
      <sheetName val="stability_check"/>
      <sheetName val="Unit_SUM1"/>
      <sheetName val="Break_Dw"/>
      <sheetName val="방유제용량_계산서"/>
      <sheetName val="INPUT_DATA"/>
      <sheetName val="special_item_양진규_작성"/>
      <sheetName val="OUTER_AREA(겹침없음)"/>
      <sheetName val="Material_Specification"/>
      <sheetName val="개시대사_(2)"/>
      <sheetName val="pile_bearing_capa_&amp;_arrenge"/>
      <sheetName val="design_load"/>
      <sheetName val="표지_(2)"/>
      <sheetName val="Sch_6"/>
      <sheetName val="Fab__Skid"/>
      <sheetName val="CAMP_OPERATING_COST"/>
      <sheetName val="PERSONNEL_SETUP"/>
      <sheetName val="LIST_OF_OFFICE_EQUIPMENT"/>
      <sheetName val="STAFF&amp;INDIRECT_SALARY_-_SUMMARY"/>
      <sheetName val="KOREAN_STAFF_SALARY_BREAKDOWN"/>
      <sheetName val="WELFARE_COST_-_SITE"/>
      <sheetName val="입고장부_(4)"/>
      <sheetName val="FEUILLE_INTERNE"/>
      <sheetName val="11_자재단가"/>
      <sheetName val="1_OF_9"/>
      <sheetName val="COMPARISON_TABLE"/>
      <sheetName val="L_V_Separator"/>
      <sheetName val="CAMP_-_CONSTRUCTION"/>
      <sheetName val="E_Rate_PM"/>
      <sheetName val="Schedule_2_and_3"/>
      <sheetName val="sc0314 Index"/>
      <sheetName val="종목코드"/>
      <sheetName val="COPING"/>
      <sheetName val="COA-17"/>
      <sheetName val="C-18"/>
      <sheetName val="작성기준"/>
      <sheetName val="SG"/>
      <sheetName val="Data_Vert"/>
      <sheetName val="Rebar"/>
      <sheetName val="Data_ST"/>
      <sheetName val="Load"/>
      <sheetName val="NC"/>
      <sheetName val="Resource summary"/>
      <sheetName val="TB-내역서"/>
      <sheetName val="new급여T(4을-운전)"/>
      <sheetName val="건축집계"/>
      <sheetName val="Diainch"/>
      <sheetName val="Source"/>
      <sheetName val="Preface"/>
      <sheetName val="급여일반"/>
      <sheetName val="Lists"/>
      <sheetName val="B"/>
      <sheetName val="INSTR"/>
      <sheetName val="공사비_NDE"/>
      <sheetName val="OUT"/>
      <sheetName val="영업소실적"/>
      <sheetName val="직원동원계획"/>
      <sheetName val="CONTROL-100"/>
      <sheetName val="General Data"/>
      <sheetName val="PRICE COMP"/>
      <sheetName val="본지점중"/>
      <sheetName val="A(Rev.3)"/>
      <sheetName val="static.cal"/>
      <sheetName val="crude.SLAB RE-bar"/>
      <sheetName val="ANX3A65"/>
      <sheetName val="BOQ0822"/>
      <sheetName val="7.6.3(B) UG Piping"/>
      <sheetName val="Lup"/>
      <sheetName val="Information"/>
      <sheetName val="WORKER"/>
      <sheetName val="PRICE LIST"/>
      <sheetName val="PipWT"/>
      <sheetName val="IBASE"/>
      <sheetName val="내역(한신APT)"/>
      <sheetName val="현황CODE"/>
      <sheetName val="손익현황"/>
      <sheetName val="BOM_DWG"/>
      <sheetName val="회사99"/>
      <sheetName val="laroux"/>
      <sheetName val="7.5.2 BOQ Summary "/>
      <sheetName val="Perfiles"/>
      <sheetName val="PumpSpec"/>
      <sheetName val="Rekap A"/>
      <sheetName val="RFP009"/>
      <sheetName val="RFP007"/>
      <sheetName val="NP"/>
      <sheetName val="견적기준"/>
      <sheetName val="OD5000"/>
      <sheetName val="upah"/>
      <sheetName val="bahan"/>
      <sheetName val="measure"/>
      <sheetName val="paint mat"/>
      <sheetName val="工완성공사율"/>
      <sheetName val="IN"/>
      <sheetName val="TTL"/>
      <sheetName val="VE Estimate"/>
      <sheetName val="CALCULATION"/>
      <sheetName val="COMPRESSOR"/>
      <sheetName val="D=700"/>
      <sheetName val="TABLE2-2 OSBL-(SITE PREP)"/>
      <sheetName val="Units"/>
      <sheetName val="Instructions"/>
      <sheetName val="OFFER RATE"/>
      <sheetName val="Job Data"/>
      <sheetName val="Piping Design Data"/>
      <sheetName val="BCPAB"/>
      <sheetName val="Summary 2002"/>
      <sheetName val="98TSON4A"/>
      <sheetName val="Feuil2"/>
      <sheetName val="노임"/>
      <sheetName val="총괄표"/>
      <sheetName val="ANALYSER"/>
      <sheetName val="ASME B 36.10 M"/>
      <sheetName val="일위대가표"/>
      <sheetName val="D-3"/>
      <sheetName val="w't table"/>
      <sheetName val="Tiburon"/>
      <sheetName val="차액보증"/>
      <sheetName val="말뚝지지력산정"/>
      <sheetName val="단중표"/>
      <sheetName val="choose"/>
      <sheetName val="당초"/>
      <sheetName val="eq_data _x005f_x0000__x005f_x0000__x005f_x0000__x"/>
      <sheetName val="cashflow"/>
      <sheetName val="Quotation"/>
      <sheetName val="Info"/>
      <sheetName val="SORTING"/>
      <sheetName val="배관물량 (STEEL)"/>
      <sheetName val="Sheet 1"/>
      <sheetName val="Offertemodel"/>
      <sheetName val="3.0 Overall Progress S-curve"/>
      <sheetName val="3-4 SPI"/>
      <sheetName val="VV-REV2"/>
      <sheetName val="-15.0"/>
      <sheetName val="부재치수입력"/>
      <sheetName val="BLDG_DCI"/>
      <sheetName val="BREAKDOWN(철거설치)"/>
      <sheetName val="맨홀수량산출"/>
      <sheetName val="단가비교"/>
      <sheetName val="Basic"/>
      <sheetName val="견적 집계"/>
      <sheetName val="PULLING SUPT등"/>
      <sheetName val="Sheet1 (2)"/>
      <sheetName val="SHIPPING"/>
      <sheetName val="DATE"/>
      <sheetName val="PAGE 1"/>
      <sheetName val="대공종"/>
      <sheetName val="_생산성_분석_체계_절차.xlsx"/>
      <sheetName val="Quantity"/>
      <sheetName val="General_Data"/>
      <sheetName val="PRICE_COMP"/>
      <sheetName val="A(Rev_3)"/>
      <sheetName val="단가비교(TOTAL)"/>
      <sheetName val="General_Data1"/>
      <sheetName val="PRICE_COMP1"/>
      <sheetName val="A(Rev_3)1"/>
      <sheetName val="pri-com"/>
      <sheetName val="기준"/>
      <sheetName val="BQ List"/>
      <sheetName val="노임단가"/>
      <sheetName val="SPEC-DT2"/>
      <sheetName val="북제주-표지"/>
      <sheetName val="Struct-Grass root"/>
      <sheetName val="미입고자재목록_설계1과"/>
      <sheetName val="PAGE 2"/>
      <sheetName val="CRUDE RE-bar"/>
      <sheetName val="database-emp"/>
      <sheetName val="평균환율-USD"/>
      <sheetName val="DUTCH CONE"/>
      <sheetName val="harga"/>
      <sheetName val="koef"/>
      <sheetName val="Resume"/>
      <sheetName val="연돌일위집계"/>
      <sheetName val="품셈"/>
      <sheetName val="Break Down"/>
      <sheetName val="BQ"/>
      <sheetName val="22-Plant"/>
      <sheetName val="Supervision List"/>
      <sheetName val="Equip_Pipe_Insulation"/>
      <sheetName val="BQ_Piping"/>
      <sheetName val="PROCURE"/>
      <sheetName val="labor"/>
      <sheetName val="_x0000_è"/>
      <sheetName val="BQLIST"/>
      <sheetName val="제출계산서"/>
      <sheetName val="품셈1-26"/>
      <sheetName val="LEGEND"/>
      <sheetName val="KP1590_E"/>
      <sheetName val="한계원가"/>
      <sheetName val="Page 10"/>
      <sheetName val="입력값"/>
      <sheetName val="요율"/>
      <sheetName val="C급보 "/>
      <sheetName val="Rectangular Beam"/>
      <sheetName val="현금"/>
      <sheetName val="자재군별"/>
      <sheetName val="재료내역"/>
      <sheetName val="간접비 총괄표"/>
      <sheetName val="Macro"/>
      <sheetName val="Taux"/>
      <sheetName val="Eng.hour_DB"/>
      <sheetName val="POWER"/>
      <sheetName val="SBR_CR"/>
      <sheetName val="ITEM"/>
      <sheetName val="COST UP"/>
      <sheetName val="DDC"/>
      <sheetName val="공수"/>
      <sheetName val="EXCHANGE_RATE"/>
      <sheetName val="Scaffold"/>
      <sheetName val="Access"/>
      <sheetName val="PAGE 3_GENERAL DETAILS"/>
      <sheetName val="Proposal"/>
      <sheetName val="적용 환율"/>
      <sheetName val="Assumptions"/>
      <sheetName val="TDC_ADMIN"/>
      <sheetName val="Requisitions"/>
      <sheetName val="ICDS"/>
      <sheetName val="CARBOLINE분석"/>
      <sheetName val="자재대"/>
      <sheetName val="eq_data _x0000__x0000__x0000__x"/>
      <sheetName val=""/>
      <sheetName val="나이대조표"/>
      <sheetName val="KP_List"/>
      <sheetName val="2.Calculation_1"/>
      <sheetName val="IBC(2006)DATA"/>
      <sheetName val="Elect (3)"/>
      <sheetName val="공사내역"/>
      <sheetName val="TIE-INS"/>
      <sheetName val="FLD"/>
      <sheetName val="norms"/>
      <sheetName val="HVAC"/>
      <sheetName val="八幡"/>
      <sheetName val="GM 000"/>
      <sheetName val="PRECAST lightconc-II"/>
      <sheetName val="csdim"/>
      <sheetName val="cdsload"/>
      <sheetName val="chsload"/>
      <sheetName val="CLAMP"/>
      <sheetName val="cvsload"/>
      <sheetName val="Cash2"/>
      <sheetName val="Z"/>
      <sheetName val="환산표"/>
      <sheetName val="Rev No"/>
      <sheetName val="COVER-P"/>
      <sheetName val="PUMP SHT"/>
      <sheetName val="FC-01"/>
      <sheetName val="FC-06"/>
      <sheetName val="El(Increased)"/>
      <sheetName val="MC-01"/>
      <sheetName val="Sal"/>
      <sheetName val="수량산출"/>
      <sheetName val="REG-BASIS"/>
      <sheetName val="TENDER PROG."/>
      <sheetName val="PROC.PROG"/>
      <sheetName val="DIAPHRAGM"/>
      <sheetName val="TG9504"/>
      <sheetName val="Block D"/>
      <sheetName val="PRICE-COMP"/>
      <sheetName val="Datasheet GLL double weir (1)"/>
      <sheetName val="단면가정"/>
      <sheetName val="Notes"/>
      <sheetName val="engg"/>
      <sheetName val=" "/>
      <sheetName val="간접비내역-1"/>
      <sheetName val="SALA-002"/>
      <sheetName val="eq_data _x005f_x0000__x00"/>
      <sheetName val="Table"/>
      <sheetName val="co-no.2"/>
      <sheetName val="물량집계(전기)"/>
      <sheetName val="물량집계(계장)"/>
      <sheetName val="bdown"/>
      <sheetName val="33628-Rev. A"/>
      <sheetName val="TYPE-B 평균H"/>
      <sheetName val="PSV"/>
      <sheetName val="명단"/>
      <sheetName val="EST-1"/>
      <sheetName val="6.공사비 내역 (가)"/>
      <sheetName val="Sheet2 (2)"/>
      <sheetName val="6호기"/>
      <sheetName val="Form A.1"/>
      <sheetName val="Form A.1.1"/>
      <sheetName val="BOM Indirect"/>
      <sheetName val="Form A.1.II.2"/>
      <sheetName val="노임이"/>
      <sheetName val="6.GSTG PIPING"/>
      <sheetName val="INDEX"/>
      <sheetName val="Sheet4"/>
      <sheetName val="NONS  2,189"/>
      <sheetName val="94D"/>
      <sheetName val="95D"/>
      <sheetName val="내역서 "/>
      <sheetName val="기초자료"/>
      <sheetName val="견적집계표"/>
      <sheetName val="P&amp;ID650"/>
      <sheetName val="Calculations"/>
      <sheetName val="대우단가(풍산)"/>
      <sheetName val="토공정보"/>
      <sheetName val="REF.ONLY"/>
      <sheetName val="LBR"/>
      <sheetName val="CONCRETE"/>
      <sheetName val="PRO_DCI"/>
      <sheetName val="HVAC_DCI"/>
      <sheetName val="PIPE_DCI"/>
      <sheetName val="BATCH"/>
      <sheetName val="RFP005"/>
      <sheetName val="RFP006"/>
      <sheetName val="CostDB"/>
      <sheetName val="FWBS7000,8000"/>
      <sheetName val="Reference Table"/>
      <sheetName val="Lookups"/>
      <sheetName val="CAL(1)."/>
      <sheetName val="Activity(new)"/>
      <sheetName val="7_5_1(A)_Data3"/>
      <sheetName val="7_5_1(B)_BOQ_Breakdown3"/>
      <sheetName val="7_5_1(C)_Scope3"/>
      <sheetName val="7_5_1(D)_Basis3"/>
      <sheetName val="7_5_1(E)_Allowance3"/>
      <sheetName val="7_5_2_BOQ_Summary3"/>
      <sheetName val="7_5_3_BOQ3"/>
      <sheetName val="A__Erec_BOQ(Shop)3"/>
      <sheetName val="B__Erec_BOQ(Field)3"/>
      <sheetName val="C__Surface_Protection3"/>
      <sheetName val="A__Erec_BOQ(Shop)_(2)3"/>
      <sheetName val="B__Erec_BOQ(Field)_(2)3"/>
      <sheetName val="C__Surf_Protection3"/>
      <sheetName val="Attachment_#13"/>
      <sheetName val="Attachment_#23"/>
      <sheetName val="302_C13"/>
      <sheetName val="302_C23"/>
      <sheetName val="SUPPLY_(2)3"/>
      <sheetName val="RETURN_(2)3"/>
      <sheetName val="303_(2)3"/>
      <sheetName val="308_(2)3"/>
      <sheetName val="309_(2)3"/>
      <sheetName val="JUNCTION_BOX3"/>
      <sheetName val="PIPE_FITTING3"/>
      <sheetName val="TUBE_FITTING3"/>
      <sheetName val="CABLE_GLAND3"/>
      <sheetName val="CONS__EQUIP___3"/>
      <sheetName val="BLR_13"/>
      <sheetName val="REINF_3"/>
      <sheetName val="ITB_COST2"/>
      <sheetName val="97_사업추정(WEKI)2"/>
      <sheetName val="90EL_JACKET2"/>
      <sheetName val="보온_회사분2"/>
      <sheetName val="Cost_control2"/>
      <sheetName val="FIRE_FIGHTING2"/>
      <sheetName val="Tipo_Terzi2"/>
      <sheetName val="plan&amp;section_of_foundation2"/>
      <sheetName val="design_criteria2"/>
      <sheetName val="BM_DATA_SHEET2"/>
      <sheetName val="working_load_at_the_btm_ft_1"/>
      <sheetName val="stability_check1"/>
      <sheetName val="Mat_Stelo2"/>
      <sheetName val="Unit_SUM2"/>
      <sheetName val="1_설계기준1"/>
      <sheetName val="OUTER_AREA(겹침없음)1"/>
      <sheetName val="bill_21"/>
      <sheetName val="표지_(2)1"/>
      <sheetName val="Break_Dw1"/>
      <sheetName val="방유제용량_계산서1"/>
      <sheetName val="Material_Specification1"/>
      <sheetName val="special_item_양진규_작성1"/>
      <sheetName val="Sch_61"/>
      <sheetName val="pile_bearing_capa_&amp;_arrenge1"/>
      <sheetName val="design_load1"/>
      <sheetName val="Fab__Skid1"/>
      <sheetName val="INPUT_DATA1"/>
      <sheetName val="CAMP_OPERATING_COST1"/>
      <sheetName val="PERSONNEL_SETUP1"/>
      <sheetName val="LIST_OF_OFFICE_EQUIPMENT1"/>
      <sheetName val="STAFF&amp;INDIRECT_SALARY_-_SUMMAR1"/>
      <sheetName val="KOREAN_STAFF_SALARY_BREAKDOWN1"/>
      <sheetName val="WELFARE_COST_-_SITE1"/>
      <sheetName val="개시대사_(2)1"/>
      <sheetName val="입고장부_(4)1"/>
      <sheetName val="FEUILLE_INTERNE1"/>
      <sheetName val="COMPARISON_TABLE1"/>
      <sheetName val="L_V_Separator1"/>
      <sheetName val="CAMP_-_CONSTRUCTION1"/>
      <sheetName val="E_Rate_PM1"/>
      <sheetName val="Schedule_2_and_31"/>
      <sheetName val="eq_data_"/>
      <sheetName val="Cover_sheet"/>
      <sheetName val="CAL_"/>
      <sheetName val="11_자재단가1"/>
      <sheetName val="1_OF_91"/>
      <sheetName val="BSD_(2)"/>
      <sheetName val="TRAY_BM"/>
      <sheetName val="Graph_(LGEN)"/>
      <sheetName val="선적schedule_(2)"/>
      <sheetName val="Summary_Sheets"/>
      <sheetName val="품셈_"/>
      <sheetName val="sc0314_Index"/>
      <sheetName val="Resource_summary"/>
      <sheetName val="w't_table"/>
      <sheetName val="eq_data__x005f_x0000__x005f_x0000__x005f_x0000__x"/>
      <sheetName val="static_cal"/>
      <sheetName val="crude_SLAB_RE-bar"/>
      <sheetName val="7_6_3(B)_UG_Piping"/>
      <sheetName val="PRICE_LIST"/>
      <sheetName val="7_5_2_BOQ_Summary_"/>
      <sheetName val="Rekap_A"/>
      <sheetName val="paint_mat"/>
      <sheetName val="VE_Estimate"/>
      <sheetName val="TABLE2-2_OSBL-(SITE_PREP)"/>
      <sheetName val="OFFER_RATE"/>
      <sheetName val="Job_Data"/>
      <sheetName val="Piping_Design_Data"/>
      <sheetName val="Summary_2002"/>
      <sheetName val="ASME_B_36_10_M"/>
      <sheetName val="3_0_Overall_Progress_S-curve"/>
      <sheetName val="3-4_SPI"/>
      <sheetName val="-15_0"/>
      <sheetName val="뜃맟뭁돽띿맟?-BLDG"/>
      <sheetName val="D-623D"/>
      <sheetName val="member design"/>
      <sheetName val="soil bearing check"/>
      <sheetName val="OCT.FDN"/>
      <sheetName val="PRI CIV"/>
      <sheetName val="FOR CIV"/>
      <sheetName val="SUB CIV"/>
      <sheetName val="ANA CIV"/>
      <sheetName val="AUX CIV"/>
      <sheetName val="hori. vessel(E-895)"/>
      <sheetName val="TS-TC"/>
      <sheetName val="DCS"/>
      <sheetName val="2.3"/>
      <sheetName val="Pipelines ASAB I-II Brownfield"/>
      <sheetName val="ORIGN"/>
      <sheetName val="P-Ph3-F-002"/>
      <sheetName val="전기"/>
      <sheetName val="200"/>
      <sheetName val="BM1"/>
      <sheetName val="REDUCER"/>
      <sheetName val="WE'T"/>
      <sheetName val="대기업"/>
      <sheetName val="각종자료"/>
      <sheetName val="견적"/>
      <sheetName val="S N"/>
      <sheetName val="Sheet_1"/>
      <sheetName val="배관물량_(STEEL)"/>
      <sheetName val="PAGE_2"/>
      <sheetName val="Struct-Grass_root"/>
      <sheetName val="General_Data2"/>
      <sheetName val="PRICE_COMP2"/>
      <sheetName val="A(Rev_3)2"/>
      <sheetName val="견적_집계"/>
      <sheetName val="PULLING_SUPT등"/>
      <sheetName val="Sheet1_(2)"/>
      <sheetName val="PAGE_1"/>
      <sheetName val="_생산성_분석_체계_절차_xlsx"/>
      <sheetName val="BQ_List"/>
      <sheetName val="Break_Down"/>
      <sheetName val="Supervision_List"/>
      <sheetName val="PREAM"/>
      <sheetName val="SUMMARY (0)"/>
      <sheetName val="PL-DATA"/>
      <sheetName val="FRP내역서"/>
      <sheetName val="7_5_1(A)_Data5"/>
      <sheetName val="7_5_1(B)_BOQ_Breakdown5"/>
      <sheetName val="7_5_1(C)_Scope5"/>
      <sheetName val="7_5_1(D)_Basis5"/>
      <sheetName val="7_5_1(E)_Allowance5"/>
      <sheetName val="7_5_2_BOQ_Summary5"/>
      <sheetName val="7_5_3_BOQ5"/>
      <sheetName val="A__Erec_BOQ(Shop)5"/>
      <sheetName val="B__Erec_BOQ(Field)5"/>
      <sheetName val="C__Surface_Protection5"/>
      <sheetName val="A__Erec_BOQ(Shop)_(2)5"/>
      <sheetName val="B__Erec_BOQ(Field)_(2)5"/>
      <sheetName val="C__Surf_Protection5"/>
      <sheetName val="Attachment_#15"/>
      <sheetName val="Attachment_#25"/>
      <sheetName val="302_C15"/>
      <sheetName val="302_C25"/>
      <sheetName val="SUPPLY_(2)5"/>
      <sheetName val="RETURN_(2)5"/>
      <sheetName val="303_(2)5"/>
      <sheetName val="308_(2)5"/>
      <sheetName val="309_(2)5"/>
      <sheetName val="JUNCTION_BOX5"/>
      <sheetName val="PIPE_FITTING5"/>
      <sheetName val="TUBE_FITTING5"/>
      <sheetName val="CABLE_GLAND5"/>
      <sheetName val="BLR_15"/>
      <sheetName val="CONS__EQUIP___5"/>
      <sheetName val="REINF_5"/>
      <sheetName val="ITB_COST4"/>
      <sheetName val="97_사업추정(WEKI)4"/>
      <sheetName val="FIRE_FIGHTING4"/>
      <sheetName val="Cost_control4"/>
      <sheetName val="90EL_JACKET4"/>
      <sheetName val="보온_회사분4"/>
      <sheetName val="plan&amp;section_of_foundation3"/>
      <sheetName val="design_criteria3"/>
      <sheetName val="BM_DATA_SHEET3"/>
      <sheetName val="Tipo_Terzi3"/>
      <sheetName val="Mat_Stelo3"/>
      <sheetName val="Sch_62"/>
      <sheetName val="bill_22"/>
      <sheetName val="1_설계기준2"/>
      <sheetName val="Unit_SUM3"/>
      <sheetName val="표지_(2)2"/>
      <sheetName val="Sheet_12"/>
      <sheetName val="배관물량_(STEEL)2"/>
      <sheetName val="working_load_at_the_btm_ft_2"/>
      <sheetName val="stability_check2"/>
      <sheetName val="Break_Dw2"/>
      <sheetName val="방유제용량_계산서2"/>
      <sheetName val="Material_Specification2"/>
      <sheetName val="special_item_양진규_작성2"/>
      <sheetName val="OUTER_AREA(겹침없음)2"/>
      <sheetName val="CAMP_OPERATING_COST2"/>
      <sheetName val="PERSONNEL_SETUP2"/>
      <sheetName val="LIST_OF_OFFICE_EQUIPMENT2"/>
      <sheetName val="STAFF&amp;INDIRECT_SALARY_-_SUMMAR2"/>
      <sheetName val="KOREAN_STAFF_SALARY_BREAKDOWN2"/>
      <sheetName val="WELFARE_COST_-_SITE2"/>
      <sheetName val="INPUT_DATA2"/>
      <sheetName val="개시대사_(2)2"/>
      <sheetName val="pile_bearing_capa_&amp;_arrenge2"/>
      <sheetName val="design_load2"/>
      <sheetName val="Fab__Skid2"/>
      <sheetName val="입고장부_(4)2"/>
      <sheetName val="FEUILLE_INTERNE2"/>
      <sheetName val="L_V_Separator2"/>
      <sheetName val="CAMP_-_CONSTRUCTION2"/>
      <sheetName val="E_Rate_PM2"/>
      <sheetName val="Schedule_2_and_32"/>
      <sheetName val="CAL_2"/>
      <sheetName val="COMPARISON_TABLE2"/>
      <sheetName val="3_0_Overall_Progress_S-curve2"/>
      <sheetName val="3-4_SPI2"/>
      <sheetName val="7_5_1(A)_Data4"/>
      <sheetName val="7_5_1(B)_BOQ_Breakdown4"/>
      <sheetName val="7_5_1(C)_Scope4"/>
      <sheetName val="7_5_1(D)_Basis4"/>
      <sheetName val="7_5_1(E)_Allowance4"/>
      <sheetName val="7_5_2_BOQ_Summary4"/>
      <sheetName val="7_5_3_BOQ4"/>
      <sheetName val="A__Erec_BOQ(Shop)4"/>
      <sheetName val="B__Erec_BOQ(Field)4"/>
      <sheetName val="C__Surface_Protection4"/>
      <sheetName val="A__Erec_BOQ(Shop)_(2)4"/>
      <sheetName val="B__Erec_BOQ(Field)_(2)4"/>
      <sheetName val="C__Surf_Protection4"/>
      <sheetName val="Attachment_#14"/>
      <sheetName val="Attachment_#24"/>
      <sheetName val="302_C14"/>
      <sheetName val="302_C24"/>
      <sheetName val="SUPPLY_(2)4"/>
      <sheetName val="RETURN_(2)4"/>
      <sheetName val="303_(2)4"/>
      <sheetName val="308_(2)4"/>
      <sheetName val="309_(2)4"/>
      <sheetName val="JUNCTION_BOX4"/>
      <sheetName val="PIPE_FITTING4"/>
      <sheetName val="TUBE_FITTING4"/>
      <sheetName val="CABLE_GLAND4"/>
      <sheetName val="BLR_14"/>
      <sheetName val="CONS__EQUIP___4"/>
      <sheetName val="REINF_4"/>
      <sheetName val="ITB_COST3"/>
      <sheetName val="97_사업추정(WEKI)3"/>
      <sheetName val="FIRE_FIGHTING3"/>
      <sheetName val="Cost_control3"/>
      <sheetName val="90EL_JACKET3"/>
      <sheetName val="보온_회사분3"/>
      <sheetName val="Sheet_11"/>
      <sheetName val="배관물량_(STEEL)1"/>
      <sheetName val="CAL_1"/>
      <sheetName val="3_0_Overall_Progress_S-curve1"/>
      <sheetName val="3-4_SPI1"/>
      <sheetName val="Loading Table"/>
      <sheetName val="공구"/>
      <sheetName val="PI"/>
      <sheetName val="input data-090908"/>
      <sheetName val="Expenses per Cost Code "/>
      <sheetName val="Vent Line size"/>
      <sheetName val="DOWNLOAD"/>
      <sheetName val="상반기손익차2총괄"/>
      <sheetName val="MH Estimation Guide"/>
      <sheetName val="CIV-DWG-ADA"/>
      <sheetName val="CIV-DOC-ADA"/>
      <sheetName val="공사비 내역 (가)"/>
      <sheetName val="STATIC"/>
      <sheetName val="diamètres"/>
      <sheetName val="설계예산서1"/>
      <sheetName val="내"/>
      <sheetName val="실행자재"/>
      <sheetName val="spinning1"/>
      <sheetName val="집계표(OPTION)"/>
      <sheetName val="HRG BHN"/>
      <sheetName val="LD-OVERA÷_x0000_"/>
      <sheetName val="LD-OVERA᯷㧓"/>
      <sheetName val="DIRECT-OFF"/>
      <sheetName val="PLAGCoct03"/>
      <sheetName val="表三甲"/>
      <sheetName val="调整"/>
      <sheetName val="Comp Rate "/>
      <sheetName val="4.1구조설계"/>
      <sheetName val="공문"/>
      <sheetName val="입사시직위"/>
      <sheetName val="MR"/>
      <sheetName val="COMB MNG&amp;STAFF (ALL)  (2)"/>
      <sheetName val="7.0 Crack Check"/>
      <sheetName val="축열조 기초"/>
      <sheetName val="REPORT"/>
      <sheetName val="Fill this out first..."/>
      <sheetName val="Fill this out first___"/>
      <sheetName val="MEASURE LIST"/>
      <sheetName val="Don gia"/>
      <sheetName val="공통가설"/>
      <sheetName val="Forecast Drivers"/>
      <sheetName val="Total_mem"/>
      <sheetName val="Log"/>
      <sheetName val="Section 1~4(1)"/>
      <sheetName val="Section 1~4 "/>
      <sheetName val="Section 5"/>
      <sheetName val="Section 5.2"/>
      <sheetName val="Section 5.3"/>
      <sheetName val="Section 6"/>
      <sheetName val="Section 6.2"/>
      <sheetName val="Attachment 1"/>
      <sheetName val="Attachmenet 2"/>
      <sheetName val="Moment_Con_Capa"/>
      <sheetName val="Moment"/>
      <sheetName val="Shear_Con_Capa"/>
      <sheetName val="Shear"/>
      <sheetName val="PUMP_SHT"/>
      <sheetName val="Elect_(3)"/>
      <sheetName val="C급보_"/>
      <sheetName val="Rev_No"/>
      <sheetName val="Page_10"/>
      <sheetName val="Rectangular_Beam"/>
      <sheetName val="COST_UP"/>
      <sheetName val="간접비_총괄표"/>
      <sheetName val="Eng_hour_DB"/>
      <sheetName val="CRUDE_RE-bar"/>
      <sheetName val="DUTCH_CONE"/>
      <sheetName val="eq_data__x"/>
      <sheetName val="_"/>
      <sheetName val="2_Calculation_1"/>
      <sheetName val="PAGE_3_GENERAL_DETAILS"/>
      <sheetName val="적용_환율"/>
      <sheetName val="GM_000"/>
      <sheetName val="PRECAST_lightconc-II"/>
      <sheetName val="TENDER_PROG_"/>
      <sheetName val="PROC_PROG"/>
      <sheetName val="Block_D"/>
      <sheetName val="Datasheet_GLL_double_weir_(1)"/>
      <sheetName val="eq_data__x005f_x0000__x00"/>
      <sheetName val="33628-Rev__A"/>
      <sheetName val="TYPE-B_평균H"/>
      <sheetName val="Sheet2_(2)"/>
      <sheetName val="6_공사비_내역_(가)"/>
      <sheetName val="기계공사비집계(珆꭭/"/>
      <sheetName val="FA"/>
      <sheetName val="Analisa HS"/>
      <sheetName val="Eng_Hrs"/>
      <sheetName val="NAME"/>
      <sheetName val="Coupling"/>
      <sheetName val="RAW MATERIALS "/>
      <sheetName val="COST-PERSON-J.O."/>
      <sheetName val="GT"/>
      <sheetName val="공량예산"/>
      <sheetName val="예산M6-B"/>
      <sheetName val="Tank"/>
      <sheetName val="Q5434 EQ LIST"/>
      <sheetName val="motor power"/>
      <sheetName val="Painting"/>
      <sheetName val="COST-EST LTI P5C"/>
      <sheetName val="기계시공"/>
      <sheetName val="SLEIPNER - ORMEN LANGE"/>
      <sheetName val="전기 BM_revA('090624).xls"/>
      <sheetName val="定额 (06)"/>
      <sheetName val="Data 1"/>
      <sheetName val="뜃맟뭁돽띿맟_-BLDG"/>
      <sheetName val="SUBCON"/>
      <sheetName val="4-3LEVEL-5 epic.4"/>
      <sheetName val="M_B"/>
      <sheetName val="01"/>
      <sheetName val="Unit Cost"/>
      <sheetName val="45,46"/>
      <sheetName val="COST-TZ"/>
      <sheetName val="Coeff."/>
      <sheetName val="대비"/>
      <sheetName val="TACE"/>
      <sheetName val="SPrep_E4TK(R187)"/>
      <sheetName val="U00"/>
      <sheetName val="U01"/>
      <sheetName val="U02"/>
      <sheetName val="U03"/>
      <sheetName val="U06"/>
      <sheetName val="U07"/>
      <sheetName val="U08"/>
      <sheetName val="U09"/>
      <sheetName val="U10"/>
      <sheetName val="U11"/>
      <sheetName val="U13"/>
      <sheetName val="U21"/>
      <sheetName val="U25"/>
      <sheetName val="U26"/>
      <sheetName val="U29"/>
      <sheetName val="U30"/>
      <sheetName val="U31_Base"/>
      <sheetName val="U40"/>
      <sheetName val="U42"/>
      <sheetName val="U43"/>
      <sheetName val="U45"/>
      <sheetName val="U47"/>
      <sheetName val="U48"/>
      <sheetName val="U60"/>
      <sheetName val="4.단락전류"/>
      <sheetName val="[fdn_bm_pro.xls]기계공사비집계(珆꭭/"/>
      <sheetName val="hvac내역서(제어동)"/>
      <sheetName val="Exchange rates"/>
      <sheetName val="P_x0007__x0000__x000e__x0000_"/>
      <sheetName val="96.12"/>
      <sheetName val="COST-SUM"/>
      <sheetName val="PAD-F"/>
      <sheetName val="LME"/>
      <sheetName val="Tie Beam GN"/>
      <sheetName val="PileCap"/>
      <sheetName val="06-Progress"/>
      <sheetName val="04-Safety"/>
      <sheetName val="BM"/>
      <sheetName val="현장배치"/>
      <sheetName val="system &amp; LOOK_UP_FUNC"/>
      <sheetName val="Base_Data"/>
      <sheetName val="Consumables"/>
      <sheetName val="LABT橿⿋_x0000__x0000_"/>
      <sheetName val="BID FORM"/>
      <sheetName val="Form of Bid"/>
      <sheetName val="건설성적"/>
      <sheetName val="삼성전기"/>
      <sheetName val="Grafenpa"/>
      <sheetName val="단가표"/>
      <sheetName val="노무비"/>
      <sheetName val="6-2차"/>
      <sheetName val="Code 02"/>
      <sheetName val="Code 03"/>
      <sheetName val="Code 04"/>
      <sheetName val="Code 05"/>
      <sheetName val="Code 06"/>
      <sheetName val="Code 07"/>
      <sheetName val="Code 09"/>
      <sheetName val="Code03"/>
      <sheetName val="5-Digit"/>
      <sheetName val="MixBed"/>
      <sheetName val="CondPol"/>
      <sheetName val="Inputs"/>
      <sheetName val="BD"/>
      <sheetName val="LAB"/>
      <sheetName val="4300 UTILITY BLDG (2)"/>
      <sheetName val="WT-LIST"/>
      <sheetName val="예가표"/>
      <sheetName val="자재단가"/>
      <sheetName val="Price Breakdown(Building)"/>
      <sheetName val="GM_0001"/>
      <sheetName val="PRECAST_lightconc-II1"/>
      <sheetName val="ECL"/>
      <sheetName val="가동비율"/>
      <sheetName val="INST LIST"/>
      <sheetName val="터널조도"/>
      <sheetName val="SUMMARY_(0)"/>
      <sheetName val="Thick"/>
      <sheetName val="기계공사비집계(᝔턀"/>
      <sheetName val="기계공사비집계(ࠀᝋ턀"/>
      <sheetName val="기계공사비집계("/>
      <sheetName val="기계공사비집계(﹗맕ԯ"/>
      <sheetName val="기계공사비집계(ၩ_x0000_堀"/>
      <sheetName val="P_x0007_"/>
      <sheetName val="기계공사비집계(թ_x0000_缀"/>
      <sheetName val="기계공사비집계(썩"/>
      <sheetName val="기계공사비집계(ၩ_x0000_렀"/>
      <sheetName val="기계공사비집계(౩⁯吀"/>
      <sheetName val="기계공사비집계(偩⑔鰀"/>
      <sheetName val="기계공사비집계(i_x0000_ꀀ"/>
      <sheetName val="기계공사비집계(桩♗洀"/>
      <sheetName val="MANPOWER DIRECT TRACKING"/>
      <sheetName val="Timescaled Data"/>
      <sheetName val="Home Office"/>
      <sheetName val="NPK_Gresik"/>
      <sheetName val="LOB"/>
      <sheetName val="Salary"/>
      <sheetName val="Rekapsub-total-ME"/>
      <sheetName val="Item Dominan"/>
      <sheetName val="7_5_1(A)_Data6"/>
      <sheetName val="7_5_1(B)_BOQ_Breakdown6"/>
      <sheetName val="7_5_1(C)_Scope6"/>
      <sheetName val="7_5_1(D)_Basis6"/>
      <sheetName val="7_5_1(E)_Allowance6"/>
      <sheetName val="7_5_2_BOQ_Summary6"/>
      <sheetName val="7_5_3_BOQ6"/>
      <sheetName val="A__Erec_BOQ(Shop)6"/>
      <sheetName val="B__Erec_BOQ(Field)6"/>
      <sheetName val="C__Surface_Protection6"/>
      <sheetName val="A__Erec_BOQ(Shop)_(2)6"/>
      <sheetName val="B__Erec_BOQ(Field)_(2)6"/>
      <sheetName val="C__Surf_Protection6"/>
      <sheetName val="Attachment_#16"/>
      <sheetName val="Attachment_#26"/>
      <sheetName val="302_C16"/>
      <sheetName val="302_C26"/>
      <sheetName val="SUPPLY_(2)6"/>
      <sheetName val="RETURN_(2)6"/>
      <sheetName val="303_(2)6"/>
      <sheetName val="308_(2)6"/>
      <sheetName val="309_(2)6"/>
      <sheetName val="JUNCTION_BOX6"/>
      <sheetName val="PIPE_FITTING6"/>
      <sheetName val="TUBE_FITTING6"/>
      <sheetName val="CABLE_GLAND6"/>
      <sheetName val="CONS__EQUIP___6"/>
      <sheetName val="BLR_16"/>
      <sheetName val="REINF_6"/>
      <sheetName val="ITB_COST5"/>
      <sheetName val="97_사업추정(WEKI)5"/>
      <sheetName val="Cost_control5"/>
      <sheetName val="90EL_JACKET5"/>
      <sheetName val="보온_회사분5"/>
      <sheetName val="FIRE_FIGHTING5"/>
      <sheetName val="Tipo_Terzi4"/>
      <sheetName val="plan&amp;section_of_foundation4"/>
      <sheetName val="design_criteria4"/>
      <sheetName val="BM_DATA_SHEET4"/>
      <sheetName val="Mat_Stelo4"/>
      <sheetName val="Unit_SUM4"/>
      <sheetName val="working_load_at_the_btm_ft_3"/>
      <sheetName val="stability_check3"/>
      <sheetName val="OUTER_AREA(겹침없음)3"/>
      <sheetName val="1_설계기준3"/>
      <sheetName val="bill_23"/>
      <sheetName val="표지_(2)3"/>
      <sheetName val="Break_Dw3"/>
      <sheetName val="방유제용량_계산서3"/>
      <sheetName val="Material_Specification3"/>
      <sheetName val="special_item_양진규_작성3"/>
      <sheetName val="Sch_63"/>
      <sheetName val="pile_bearing_capa_&amp;_arrenge3"/>
      <sheetName val="design_load3"/>
      <sheetName val="Fab__Skid3"/>
      <sheetName val="INPUT_DATA3"/>
      <sheetName val="CAMP_OPERATING_COST3"/>
      <sheetName val="PERSONNEL_SETUP3"/>
      <sheetName val="LIST_OF_OFFICE_EQUIPMENT3"/>
      <sheetName val="STAFF&amp;INDIRECT_SALARY_-_SUMMAR3"/>
      <sheetName val="KOREAN_STAFF_SALARY_BREAKDOWN3"/>
      <sheetName val="WELFARE_COST_-_SITE3"/>
      <sheetName val="개시대사_(2)3"/>
      <sheetName val="입고장부_(4)3"/>
      <sheetName val="FEUILLE_INTERNE3"/>
      <sheetName val="COMPARISON_TABLE3"/>
      <sheetName val="L_V_Separator3"/>
      <sheetName val="CAMP_-_CONSTRUCTION3"/>
      <sheetName val="E_Rate_PM3"/>
      <sheetName val="Schedule_2_and_33"/>
      <sheetName val="Cover_sheet1"/>
      <sheetName val="CAL_3"/>
      <sheetName val="Summary_Sheets1"/>
      <sheetName val="BSD_(2)1"/>
      <sheetName val="TRAY_BM1"/>
      <sheetName val="11_자재단가2"/>
      <sheetName val="1_OF_92"/>
      <sheetName val="품셈_1"/>
      <sheetName val="sc0314_Index1"/>
      <sheetName val="Graph_(LGEN)1"/>
      <sheetName val="선적schedule_(2)1"/>
      <sheetName val="Resource_summary1"/>
      <sheetName val="배관물량_(STEEL)3"/>
      <sheetName val="Sheet_13"/>
      <sheetName val="w't_table1"/>
      <sheetName val="eq_data__x005f_x0000__x005f_x0000__x005f_x0000__1"/>
      <sheetName val="Break_Down1"/>
      <sheetName val="Supervision_List1"/>
      <sheetName val="General_Data3"/>
      <sheetName val="PRICE_COMP3"/>
      <sheetName val="A(Rev_3)3"/>
      <sheetName val="static_cal1"/>
      <sheetName val="crude_SLAB_RE-bar1"/>
      <sheetName val="7_6_3(B)_UG_Piping1"/>
      <sheetName val="PRICE_LIST1"/>
      <sheetName val="7_5_2_BOQ_Summary_1"/>
      <sheetName val="Rekap_A1"/>
      <sheetName val="paint_mat1"/>
      <sheetName val="VE_Estimate1"/>
      <sheetName val="TABLE2-2_OSBL-(SITE_PREP)1"/>
      <sheetName val="OFFER_RATE1"/>
      <sheetName val="Job_Data1"/>
      <sheetName val="Piping_Design_Data1"/>
      <sheetName val="Summary_20021"/>
      <sheetName val="ASME_B_36_10_M1"/>
      <sheetName val="Struct-Grass_root1"/>
      <sheetName val="3_0_Overall_Progress_S-curve3"/>
      <sheetName val="3-4_SPI3"/>
      <sheetName val="-15_01"/>
      <sheetName val="견적_집계1"/>
      <sheetName val="PULLING_SUPT등1"/>
      <sheetName val="Sheet1_(2)1"/>
      <sheetName val="PAGE_11"/>
      <sheetName val="_생산성_분석_체계_절차_xlsx1"/>
      <sheetName val="BQ_List1"/>
      <sheetName val="PAGE_21"/>
      <sheetName val="Page_101"/>
      <sheetName val="C급보_1"/>
      <sheetName val="Rectangular_Beam1"/>
      <sheetName val="CRUDE_RE-bar1"/>
      <sheetName val="COST_UP1"/>
      <sheetName val="간접비_총괄표1"/>
      <sheetName val="Eng_hour_DB1"/>
      <sheetName val="DUTCH_CONE1"/>
      <sheetName val="2_Calculation_11"/>
      <sheetName val="PAGE_3_GENERAL_DETAILS1"/>
      <sheetName val="적용_환율1"/>
      <sheetName val="Elect_(3)1"/>
      <sheetName val="Rev_No1"/>
      <sheetName val="PUMP_SHT1"/>
      <sheetName val="Datasheet_GLL_double_weir_(1)1"/>
      <sheetName val="_1"/>
      <sheetName val="eq_data__x005f_x0000__x001"/>
      <sheetName val="TENDER_PROG_1"/>
      <sheetName val="PROC_PROG1"/>
      <sheetName val="Block_D1"/>
      <sheetName val="Sheet2_(2)1"/>
      <sheetName val="33628-Rev__A1"/>
      <sheetName val="TYPE-B_평균H1"/>
      <sheetName val="co-no_2"/>
      <sheetName val="6_공사비_내역_(가)1"/>
      <sheetName val="Form_A_1"/>
      <sheetName val="Form_A_1_1"/>
      <sheetName val="BOM_Indirect"/>
      <sheetName val="Form_A_1_II_2"/>
      <sheetName val="6_GSTG_PIPING"/>
      <sheetName val="NONS__2,189"/>
      <sheetName val="Reference_Table"/>
      <sheetName val="CAL(1)_"/>
      <sheetName val="member_design"/>
      <sheetName val="soil_bearing_check"/>
      <sheetName val="OCT_FDN"/>
      <sheetName val="PRI_CIV"/>
      <sheetName val="FOR_CIV"/>
      <sheetName val="SUB_CIV"/>
      <sheetName val="ANA_CIV"/>
      <sheetName val="AUX_CIV"/>
      <sheetName val="내역서_"/>
      <sheetName val="hori__vessel(E-895)"/>
      <sheetName val="2_3"/>
      <sheetName val="S_N"/>
      <sheetName val="REF_ONLY"/>
      <sheetName val="SUMMARY_(0)1"/>
      <sheetName val="Loading_Table"/>
      <sheetName val="Pipelines_ASAB_I-II_Brownfield"/>
      <sheetName val="Vent_Line_size"/>
      <sheetName val="4_1구조설계"/>
      <sheetName val="input_data-090908"/>
      <sheetName val="HRG_BHN"/>
      <sheetName val="MH_Estimation_Guide"/>
      <sheetName val="공사비_내역_(가)"/>
      <sheetName val="Comp_Rate_"/>
      <sheetName val="Expenses_per_Cost_Code_"/>
      <sheetName val="COMB_MNG&amp;STAFF_(ALL)__(2)"/>
      <sheetName val="Q5434_EQ_LIST"/>
      <sheetName val="motor_power"/>
      <sheetName val="Forecast_Drivers"/>
      <sheetName val="Fill_this_out_first___"/>
      <sheetName val="Fill_this_out_first___1"/>
      <sheetName val="7_0_Crack_Check"/>
      <sheetName val="축열조_기초"/>
      <sheetName val="Data_1"/>
      <sheetName val="Unit_Cost"/>
      <sheetName val="Section_1~4(1)"/>
      <sheetName val="Section_1~4_"/>
      <sheetName val="Section_5"/>
      <sheetName val="Section_5_2"/>
      <sheetName val="Section_5_3"/>
      <sheetName val="Section_6"/>
      <sheetName val="Section_6_2"/>
      <sheetName val="Attachment_1"/>
      <sheetName val="Attachmenet_2"/>
      <sheetName val="MEASURE_LIST"/>
      <sheetName val="Don_gia"/>
      <sheetName val="Analisa_HS"/>
      <sheetName val="COST-EST_LTI_P5C"/>
      <sheetName val="SLEIPNER_-_ORMEN_LANGE"/>
      <sheetName val="전기_BM_revA('090624)_xls"/>
      <sheetName val="定额_(06)"/>
      <sheetName val="Coeff_"/>
      <sheetName val="RAW_MATERIALS_"/>
      <sheetName val="COST-PERSON-J_O_"/>
      <sheetName val="4-3LEVEL-5_epic_4"/>
      <sheetName val="4_단락전류"/>
      <sheetName val="[fdn_bm_pro_xls]기계공사비집계(珆꭭/"/>
      <sheetName val="Exchange_rates"/>
      <sheetName val="P"/>
      <sheetName val="7_5_1(A)_Data7"/>
      <sheetName val="7_5_1(B)_BOQ_Breakdown7"/>
      <sheetName val="7_5_1(C)_Scope7"/>
      <sheetName val="7_5_1(D)_Basis7"/>
      <sheetName val="7_5_1(E)_Allowance7"/>
      <sheetName val="7_5_2_BOQ_Summary7"/>
      <sheetName val="7_5_3_BOQ7"/>
      <sheetName val="A__Erec_BOQ(Shop)7"/>
      <sheetName val="B__Erec_BOQ(Field)7"/>
      <sheetName val="C__Surface_Protection7"/>
      <sheetName val="A__Erec_BOQ(Shop)_(2)7"/>
      <sheetName val="B__Erec_BOQ(Field)_(2)7"/>
      <sheetName val="C__Surf_Protection7"/>
      <sheetName val="Attachment_#17"/>
      <sheetName val="Attachment_#27"/>
      <sheetName val="302_C17"/>
      <sheetName val="302_C27"/>
      <sheetName val="SUPPLY_(2)7"/>
      <sheetName val="RETURN_(2)7"/>
      <sheetName val="303_(2)7"/>
      <sheetName val="308_(2)7"/>
      <sheetName val="309_(2)7"/>
      <sheetName val="JUNCTION_BOX7"/>
      <sheetName val="PIPE_FITTING7"/>
      <sheetName val="TUBE_FITTING7"/>
      <sheetName val="CABLE_GLAND7"/>
      <sheetName val="CONS__EQUIP___7"/>
      <sheetName val="BLR_17"/>
      <sheetName val="REINF_7"/>
      <sheetName val="ITB_COST6"/>
      <sheetName val="97_사업추정(WEKI)6"/>
      <sheetName val="Cost_control6"/>
      <sheetName val="90EL_JACKET6"/>
      <sheetName val="보온_회사분6"/>
      <sheetName val="FIRE_FIGHTING6"/>
      <sheetName val="Tipo_Terzi5"/>
      <sheetName val="plan&amp;section_of_foundation5"/>
      <sheetName val="design_criteria5"/>
      <sheetName val="BM_DATA_SHEET5"/>
      <sheetName val="Mat_Stelo5"/>
      <sheetName val="Unit_SUM5"/>
      <sheetName val="working_load_at_the_btm_ft_4"/>
      <sheetName val="stability_check4"/>
      <sheetName val="OUTER_AREA(겹침없음)4"/>
      <sheetName val="1_설계기준4"/>
      <sheetName val="bill_24"/>
      <sheetName val="표지_(2)4"/>
      <sheetName val="Break_Dw4"/>
      <sheetName val="방유제용량_계산서4"/>
      <sheetName val="Material_Specification4"/>
      <sheetName val="special_item_양진규_작성4"/>
      <sheetName val="Sch_64"/>
      <sheetName val="pile_bearing_capa_&amp;_arrenge4"/>
      <sheetName val="design_load4"/>
      <sheetName val="Fab__Skid4"/>
      <sheetName val="INPUT_DATA4"/>
      <sheetName val="CAMP_OPERATING_COST4"/>
      <sheetName val="PERSONNEL_SETUP4"/>
      <sheetName val="LIST_OF_OFFICE_EQUIPMENT4"/>
      <sheetName val="STAFF&amp;INDIRECT_SALARY_-_SUMMAR4"/>
      <sheetName val="KOREAN_STAFF_SALARY_BREAKDOWN4"/>
      <sheetName val="WELFARE_COST_-_SITE4"/>
      <sheetName val="개시대사_(2)4"/>
      <sheetName val="입고장부_(4)4"/>
      <sheetName val="FEUILLE_INTERNE4"/>
      <sheetName val="COMPARISON_TABLE4"/>
      <sheetName val="L_V_Separator4"/>
      <sheetName val="CAMP_-_CONSTRUCTION4"/>
      <sheetName val="E_Rate_PM4"/>
      <sheetName val="Schedule_2_and_34"/>
      <sheetName val="Cover_sheet2"/>
      <sheetName val="CAL_4"/>
      <sheetName val="Summary_Sheets2"/>
      <sheetName val="BSD_(2)2"/>
      <sheetName val="TRAY_BM2"/>
      <sheetName val="11_자재단가3"/>
      <sheetName val="1_OF_93"/>
      <sheetName val="품셈_2"/>
      <sheetName val="sc0314_Index2"/>
      <sheetName val="Graph_(LGEN)2"/>
      <sheetName val="선적schedule_(2)2"/>
      <sheetName val="Resource_summary2"/>
      <sheetName val="배관물량_(STEEL)4"/>
      <sheetName val="Sheet_14"/>
      <sheetName val="w't_table2"/>
      <sheetName val="eq_data__x005f_x0000__x005f_x0000__x005f_x0000__2"/>
      <sheetName val="Break_Down2"/>
      <sheetName val="Supervision_List2"/>
      <sheetName val="General_Data4"/>
      <sheetName val="PRICE_COMP4"/>
      <sheetName val="A(Rev_3)4"/>
      <sheetName val="static_cal2"/>
      <sheetName val="crude_SLAB_RE-bar2"/>
      <sheetName val="7_6_3(B)_UG_Piping2"/>
      <sheetName val="PRICE_LIST2"/>
      <sheetName val="7_5_2_BOQ_Summary_2"/>
      <sheetName val="Rekap_A2"/>
      <sheetName val="paint_mat2"/>
      <sheetName val="VE_Estimate2"/>
      <sheetName val="TABLE2-2_OSBL-(SITE_PREP)2"/>
      <sheetName val="OFFER_RATE2"/>
      <sheetName val="Job_Data2"/>
      <sheetName val="Piping_Design_Data2"/>
      <sheetName val="Summary_20022"/>
      <sheetName val="ASME_B_36_10_M2"/>
      <sheetName val="Struct-Grass_root2"/>
      <sheetName val="3_0_Overall_Progress_S-curve4"/>
      <sheetName val="3-4_SPI4"/>
      <sheetName val="-15_02"/>
      <sheetName val="견적_집계2"/>
      <sheetName val="PULLING_SUPT등2"/>
      <sheetName val="Sheet1_(2)2"/>
      <sheetName val="PAGE_12"/>
      <sheetName val="_생산성_분석_체계_절차_xlsx2"/>
      <sheetName val="BQ_List2"/>
      <sheetName val="PAGE_22"/>
      <sheetName val="Page_102"/>
      <sheetName val="C급보_2"/>
      <sheetName val="Rectangular_Beam2"/>
      <sheetName val="CRUDE_RE-bar2"/>
      <sheetName val="COST_UP2"/>
      <sheetName val="간접비_총괄표2"/>
      <sheetName val="Eng_hour_DB2"/>
      <sheetName val="DUTCH_CONE2"/>
      <sheetName val="2_Calculation_12"/>
      <sheetName val="PAGE_3_GENERAL_DETAILS2"/>
      <sheetName val="적용_환율2"/>
      <sheetName val="Elect_(3)2"/>
      <sheetName val="GM_0002"/>
      <sheetName val="PRECAST_lightconc-II2"/>
      <sheetName val="Rev_No2"/>
      <sheetName val="PUMP_SHT2"/>
      <sheetName val="Datasheet_GLL_double_weir_(1)2"/>
      <sheetName val="_2"/>
      <sheetName val="eq_data__x005f_x0000__x002"/>
      <sheetName val="TENDER_PROG_2"/>
      <sheetName val="PROC_PROG2"/>
      <sheetName val="Block_D2"/>
      <sheetName val="Sheet2_(2)2"/>
      <sheetName val="33628-Rev__A2"/>
      <sheetName val="TYPE-B_평균H2"/>
      <sheetName val="co-no_21"/>
      <sheetName val="6_공사비_내역_(가)2"/>
      <sheetName val="Form_A_11"/>
      <sheetName val="Form_A_1_11"/>
      <sheetName val="BOM_Indirect1"/>
      <sheetName val="Form_A_1_II_21"/>
      <sheetName val="6_GSTG_PIPING1"/>
      <sheetName val="NONS__2,1891"/>
      <sheetName val="Reference_Table1"/>
      <sheetName val="CAL(1)_1"/>
      <sheetName val="member_design1"/>
      <sheetName val="soil_bearing_check1"/>
      <sheetName val="OCT_FDN1"/>
      <sheetName val="PRI_CIV1"/>
      <sheetName val="FOR_CIV1"/>
      <sheetName val="SUB_CIV1"/>
      <sheetName val="ANA_CIV1"/>
      <sheetName val="AUX_CIV1"/>
      <sheetName val="내역서_1"/>
      <sheetName val="hori__vessel(E-895)1"/>
      <sheetName val="2_31"/>
      <sheetName val="S_N1"/>
      <sheetName val="REF_ONLY1"/>
      <sheetName val="SUMMARY_(0)2"/>
      <sheetName val="Loading_Table1"/>
      <sheetName val="Pipelines_ASAB_I-II_Brownfield1"/>
      <sheetName val="Vent_Line_size1"/>
      <sheetName val="4_1구조설계1"/>
      <sheetName val="input_data-0909081"/>
      <sheetName val="HRG_BHN1"/>
      <sheetName val="MH_Estimation_Guide1"/>
      <sheetName val="공사비_내역_(가)1"/>
      <sheetName val="Comp_Rate_1"/>
      <sheetName val="Expenses_per_Cost_Code_1"/>
      <sheetName val="COMB_MNG&amp;STAFF_(ALL)__(2)1"/>
      <sheetName val="Q5434_EQ_LIST1"/>
      <sheetName val="motor_power1"/>
      <sheetName val="Forecast_Drivers1"/>
      <sheetName val="Fill_this_out_first___2"/>
      <sheetName val="Fill_this_out_first___3"/>
      <sheetName val="7_0_Crack_Check1"/>
      <sheetName val="축열조_기초1"/>
      <sheetName val="Data_11"/>
      <sheetName val="Unit_Cost1"/>
      <sheetName val="Section_1~4(1)1"/>
      <sheetName val="Section_1~4_1"/>
      <sheetName val="Section_51"/>
      <sheetName val="Section_5_21"/>
      <sheetName val="Section_5_31"/>
      <sheetName val="Section_61"/>
      <sheetName val="Section_6_21"/>
      <sheetName val="Attachment_11"/>
      <sheetName val="Attachmenet_21"/>
      <sheetName val="MEASURE_LIST1"/>
      <sheetName val="Don_gia1"/>
      <sheetName val="Analisa_HS1"/>
      <sheetName val="COST-EST_LTI_P5C1"/>
      <sheetName val="SLEIPNER_-_ORMEN_LANGE1"/>
      <sheetName val="전기_BM_revA('090624)_xls1"/>
      <sheetName val="定额_(06)1"/>
      <sheetName val="Coeff_1"/>
      <sheetName val="RAW_MATERIALS_1"/>
      <sheetName val="COST-PERSON-J_O_1"/>
      <sheetName val="4-3LEVEL-5_epic_41"/>
      <sheetName val="4_단락전류1"/>
      <sheetName val="[fdn_bm_pro_xls]기계공사비집계(珆꭭/1"/>
      <sheetName val="Exchange_rates1"/>
      <sheetName val="2-SITE "/>
      <sheetName val="등부표"/>
      <sheetName val="APP-9"/>
      <sheetName val="뜃맟뭁돽띿맟-BLDG"/>
      <sheetName val="기계공사비집계(珆꭭"/>
      <sheetName val="fdn_bm_pro.xls기계공사비집계(珆꭭"/>
      <sheetName val="PCC EAF"/>
      <sheetName val="PCC LF"/>
      <sheetName val="STD"/>
      <sheetName val="Indeks"/>
      <sheetName val="5-ALAT(1)"/>
      <sheetName val="4-Basic Price"/>
      <sheetName val="1-Rekap"/>
      <sheetName val="기계공사비집계(珆꭭_"/>
      <sheetName val="_fdn_bm_pro.xls_기계공사비집계(珆꭭_"/>
      <sheetName val="기계공사비집계(ၩ"/>
      <sheetName val="기계공사비집계(թ"/>
      <sheetName val="기계공사비집계(i"/>
      <sheetName val="eq_data ????"/>
      <sheetName val="?è"/>
      <sheetName val="Finish list"/>
      <sheetName val="Bldg정보"/>
      <sheetName val="sOURCES"/>
      <sheetName val="자재집계 &amp; 총괄표"/>
      <sheetName val="제직재"/>
      <sheetName val="설직재-1"/>
      <sheetName val="제-노임"/>
      <sheetName val="생산량"/>
      <sheetName val="Unit. Price"/>
      <sheetName val="Engrg Est"/>
      <sheetName val="7"/>
      <sheetName val="5_Peralatan"/>
      <sheetName val="Cover_Flex"/>
      <sheetName val="[fdn_bm_pro.xls]_fdn_bm_pro_x_2"/>
      <sheetName val="가설개략"/>
      <sheetName val="dlvoid"/>
      <sheetName val="Dati base"/>
      <sheetName val="US Inflation Factors"/>
      <sheetName val="Ratios"/>
      <sheetName val="Cover Page"/>
      <sheetName val="유림골조"/>
      <sheetName val="GASATAGG.XLS"/>
      <sheetName val="Informasi"/>
      <sheetName val="CBD"/>
      <sheetName val="BD-PP-OFF"/>
      <sheetName val="InsertListDrawing 1 "/>
      <sheetName val="M1"/>
      <sheetName val="SAT"/>
      <sheetName val="barTable"/>
      <sheetName val="Testing"/>
      <sheetName val="BILL Of QUANTITIES"/>
      <sheetName val="H.Satuan"/>
      <sheetName val="Div26 - Elect"/>
      <sheetName val="2.4.1 Elec_BOQ"/>
      <sheetName val="2.4.1 Inst_BOQ"/>
      <sheetName val="PTF Report"/>
      <sheetName val="page 142"/>
      <sheetName val="BEND LOSS"/>
      <sheetName val="Listenfelder"/>
      <sheetName val="6PILE  (돌출)"/>
      <sheetName val="Tie_Beam_GN"/>
      <sheetName val="system_&amp;_LOOK_UP_FUNC"/>
      <sheetName val="96_12"/>
      <sheetName val="tabulación final"/>
      <sheetName val="송강"/>
      <sheetName val="예정공정표 (2)"/>
      <sheetName val="選択リスト"/>
      <sheetName val="図面番号参照"/>
      <sheetName val="Sh_x0005__x0000__x0000_"/>
      <sheetName val="DTmpData"/>
      <sheetName val="Budget Weight Instructions A"/>
      <sheetName val="P-base-1"/>
      <sheetName val="E-base-1"/>
      <sheetName val="Forecast"/>
      <sheetName val="Basic data"/>
      <sheetName val="Isolasi Luar Dalam"/>
      <sheetName val="Isolasi Luar"/>
      <sheetName val="ADMIN TB-557066_00A"/>
      <sheetName val="LABORATORY TB-557091_00A"/>
      <sheetName val="OME5 TB-557088-001_00A"/>
      <sheetName val="OME4 TB-557087-001_00A"/>
      <sheetName val="OME3 TB-557086-001_00A"/>
      <sheetName val="CMB EMTS TB-557084_00A"/>
      <sheetName val="SLCB TB-557083-002_00B"/>
      <sheetName val="PIB9 TB-557082-003_00B"/>
      <sheetName val="PIB7 TB-557081-003_00B"/>
      <sheetName val="PIB6 TB-557080-003_00B"/>
      <sheetName val="PIB5 TB-557079-002_00B"/>
      <sheetName val="PIB4 TB-557078-002_00B"/>
      <sheetName val="PIB3 TB-557077-002_00B"/>
      <sheetName val="CCB TB-557075-001_00B"/>
      <sheetName val="CCB TB-557073-002_00B"/>
      <sheetName val="CCB TB-557072-001_00A"/>
      <sheetName val="CCB TB-557051_00B"/>
      <sheetName val="MASTER"/>
      <sheetName val="PDMP"/>
      <sheetName val="PCE"/>
      <sheetName val="PRODUK"/>
      <sheetName val="TOOL-ME"/>
      <sheetName val="Sh_x0005_"/>
      <sheetName val="NOC"/>
      <sheetName val="EMPLOYMENT CERTIFICATE"/>
      <sheetName val="Salary cer"/>
      <sheetName val="Master file"/>
      <sheetName val="AC"/>
      <sheetName val="암거공"/>
      <sheetName val="가수금대체"/>
      <sheetName val="손익예상"/>
      <sheetName val="working"/>
      <sheetName val="배관내역"/>
      <sheetName val="공정현황"/>
      <sheetName val="PPJan'06"/>
      <sheetName val="공사계획서"/>
      <sheetName val="품셈표"/>
      <sheetName val="Eq. Mobilization"/>
      <sheetName val="95WBS"/>
      <sheetName val="RDLEVLST"/>
      <sheetName val="Line dP"/>
      <sheetName val="Motor Table"/>
      <sheetName val="PkRp"/>
      <sheetName val="eq_data _x0000__x00"/>
      <sheetName val="DataFormat"/>
      <sheetName val="DataPrep"/>
      <sheetName val="77521"/>
      <sheetName val="Connections"/>
      <sheetName val="Calc"/>
      <sheetName val=" Input "/>
      <sheetName val="3514-HV-0201"/>
      <sheetName val="Table-1"/>
      <sheetName val="금융비용"/>
      <sheetName val="ELECTRIC"/>
      <sheetName val="CTEMCOST"/>
      <sheetName val="SCHEDULE"/>
      <sheetName val="chart"/>
      <sheetName val="Bend_fact "/>
      <sheetName val="Bend_fact_"/>
      <sheetName val="982-6B@"/>
      <sheetName val="간접비"/>
      <sheetName val="system_&amp;_LOOK_UP_FUNC1"/>
      <sheetName val="PROCESS"/>
      <sheetName val="E.1"/>
      <sheetName val="OD"/>
      <sheetName val="Estimate"/>
      <sheetName val="Unitwise breakup"/>
      <sheetName val="실행철강하도"/>
      <sheetName val="Droplist"/>
      <sheetName val="tunda2"/>
      <sheetName val="rekap.c"/>
      <sheetName val="HARGA MATERIAL"/>
      <sheetName val="H_param"/>
      <sheetName val="BQ Arsit"/>
      <sheetName val="An HarSatPek"/>
      <sheetName val="Sat Bah &amp; Up"/>
      <sheetName val="1.사업개요"/>
      <sheetName val="HT-INTROD"/>
      <sheetName val="Site Expenses"/>
      <sheetName val="Récapitulatif"/>
      <sheetName val="ABUT수량-A1"/>
      <sheetName val="steel-gr"/>
      <sheetName val="Cause&amp;Effects"/>
      <sheetName val="Paint - Mat Summ"/>
      <sheetName val="Paint_-_Mat_Summ"/>
      <sheetName val="Piling &amp; Tk Fdn"/>
      <sheetName val="Data Pembukaan_1.1"/>
      <sheetName val="특수선일위대가"/>
      <sheetName val="7_5_1(A)_Data8"/>
      <sheetName val="7_5_1(B)_BOQ_Breakdown8"/>
      <sheetName val="7_5_1(C)_Scope8"/>
      <sheetName val="7_5_1(D)_Basis8"/>
      <sheetName val="7_5_1(E)_Allowance8"/>
      <sheetName val="7_5_2_BOQ_Summary8"/>
      <sheetName val="7_5_3_BOQ8"/>
      <sheetName val="A__Erec_BOQ(Shop)8"/>
      <sheetName val="B__Erec_BOQ(Field)8"/>
      <sheetName val="C__Surface_Protection8"/>
      <sheetName val="A__Erec_BOQ(Shop)_(2)8"/>
      <sheetName val="B__Erec_BOQ(Field)_(2)8"/>
      <sheetName val="C__Surf_Protection8"/>
      <sheetName val="Attachment_#18"/>
      <sheetName val="Attachment_#28"/>
      <sheetName val="302_C18"/>
      <sheetName val="302_C28"/>
      <sheetName val="SUPPLY_(2)8"/>
      <sheetName val="RETURN_(2)8"/>
      <sheetName val="303_(2)8"/>
      <sheetName val="308_(2)8"/>
      <sheetName val="309_(2)8"/>
      <sheetName val="JUNCTION_BOX8"/>
      <sheetName val="PIPE_FITTING8"/>
      <sheetName val="TUBE_FITTING8"/>
      <sheetName val="CABLE_GLAND8"/>
      <sheetName val="CONS__EQUIP___8"/>
      <sheetName val="BLR_18"/>
      <sheetName val="REINF_8"/>
      <sheetName val="ITB_COST7"/>
      <sheetName val="97_사업추정(WEKI)7"/>
      <sheetName val="Cost_control7"/>
      <sheetName val="90EL_JACKET7"/>
      <sheetName val="보온_회사분7"/>
      <sheetName val="FIRE_FIGHTING7"/>
      <sheetName val="plan&amp;section_of_foundation6"/>
      <sheetName val="design_criteria6"/>
      <sheetName val="Sch_65"/>
      <sheetName val="bill_25"/>
      <sheetName val="Mat_Stelo6"/>
      <sheetName val="1_설계기준5"/>
      <sheetName val="Unit_SUM6"/>
      <sheetName val="표지_(2)5"/>
      <sheetName val="배관물량_(STEEL)5"/>
      <sheetName val="Sheet_15"/>
      <sheetName val="Tipo_Terzi6"/>
      <sheetName val="BM_DATA_SHEET6"/>
      <sheetName val="working_load_at_the_btm_ft_5"/>
      <sheetName val="stability_check5"/>
      <sheetName val="Break_Dw5"/>
      <sheetName val="방유제용량_계산서5"/>
      <sheetName val="Material_Specification5"/>
      <sheetName val="special_item_양진규_작성5"/>
      <sheetName val="OUTER_AREA(겹침없음)5"/>
      <sheetName val="CAMP_OPERATING_COST5"/>
      <sheetName val="PERSONNEL_SETUP5"/>
      <sheetName val="LIST_OF_OFFICE_EQUIPMENT5"/>
      <sheetName val="STAFF&amp;INDIRECT_SALARY_-_SUMMAR5"/>
      <sheetName val="KOREAN_STAFF_SALARY_BREAKDOWN5"/>
      <sheetName val="WELFARE_COST_-_SITE5"/>
      <sheetName val="INPUT_DATA5"/>
      <sheetName val="개시대사_(2)5"/>
      <sheetName val="pile_bearing_capa_&amp;_arrenge5"/>
      <sheetName val="design_load5"/>
      <sheetName val="Fab__Skid5"/>
      <sheetName val="입고장부_(4)5"/>
      <sheetName val="FEUILLE_INTERNE5"/>
      <sheetName val="L_V_Separator5"/>
      <sheetName val="CAMP_-_CONSTRUCTION5"/>
      <sheetName val="E_Rate_PM5"/>
      <sheetName val="Schedule_2_and_35"/>
      <sheetName val="CAL_5"/>
      <sheetName val="COMPARISON_TABLE5"/>
      <sheetName val="3_0_Overall_Progress_S-curve5"/>
      <sheetName val="3-4_SPI5"/>
      <sheetName val="BSD_(2)3"/>
      <sheetName val="TRAY_BM3"/>
      <sheetName val="Summary_Sheets3"/>
      <sheetName val="Cover_sheet3"/>
      <sheetName val="11_자재단가4"/>
      <sheetName val="1_OF_94"/>
      <sheetName val="품셈_3"/>
      <sheetName val="sc0314_Index3"/>
      <sheetName val="Graph_(LGEN)3"/>
      <sheetName val="선적schedule_(2)3"/>
      <sheetName val="Resource_summary3"/>
      <sheetName val="w't_table3"/>
      <sheetName val="Struct-Grass_root3"/>
      <sheetName val="PAGE_23"/>
      <sheetName val="7_5_2_BOQ_Summary_3"/>
      <sheetName val="Rekap_A3"/>
      <sheetName val="General_Data5"/>
      <sheetName val="PRICE_COMP5"/>
      <sheetName val="A(Rev_3)5"/>
      <sheetName val="static_cal3"/>
      <sheetName val="crude_SLAB_RE-bar3"/>
      <sheetName val="7_6_3(B)_UG_Piping3"/>
      <sheetName val="PRICE_LIST3"/>
      <sheetName val="paint_mat3"/>
      <sheetName val="VE_Estimate3"/>
      <sheetName val="TABLE2-2_OSBL-(SITE_PREP)3"/>
      <sheetName val="OFFER_RATE3"/>
      <sheetName val="Job_Data3"/>
      <sheetName val="Piping_Design_Data3"/>
      <sheetName val="Summary_20023"/>
      <sheetName val="ASME_B_36_10_M3"/>
      <sheetName val="eq_data__x005f_x0000__x005f_x0000__x005f_x0000__3"/>
      <sheetName val="-15_03"/>
      <sheetName val="견적_집계3"/>
      <sheetName val="PULLING_SUPT등3"/>
      <sheetName val="Sheet1_(2)3"/>
      <sheetName val="PAGE_13"/>
      <sheetName val="_생산성_분석_체계_절차_xlsx3"/>
      <sheetName val="BQ_List3"/>
      <sheetName val="Break_Down3"/>
      <sheetName val="Supervision_List3"/>
      <sheetName val="Page_103"/>
      <sheetName val="간접비_총괄표3"/>
      <sheetName val="CRUDE_RE-bar3"/>
      <sheetName val="Exchange_rates2"/>
      <sheetName val="Eng_hour_DB3"/>
      <sheetName val="COST_UP3"/>
      <sheetName val="DUTCH_CONE3"/>
      <sheetName val="C급보_3"/>
      <sheetName val="PAGE_3_GENERAL_DETAILS3"/>
      <sheetName val="적용_환율3"/>
      <sheetName val="Rectangular_Beam3"/>
      <sheetName val="GM_0003"/>
      <sheetName val="PRECAST_lightconc-II3"/>
      <sheetName val="Rev_No3"/>
      <sheetName val="PUMP_SHT3"/>
      <sheetName val="Elect_(3)3"/>
      <sheetName val="TENDER_PROG_3"/>
      <sheetName val="PROC_PROG3"/>
      <sheetName val="Block_D3"/>
      <sheetName val="2_Calculation_13"/>
      <sheetName val="Datasheet_GLL_double_weir_(1)3"/>
      <sheetName val="_3"/>
      <sheetName val="eq_data__x005f_x0000__x003"/>
      <sheetName val="co-no_22"/>
      <sheetName val="33628-Rev__A3"/>
      <sheetName val="TYPE-B_평균H3"/>
      <sheetName val="6_공사비_내역_(가)3"/>
      <sheetName val="Sheet2_(2)3"/>
      <sheetName val="Form_A_12"/>
      <sheetName val="Form_A_1_12"/>
      <sheetName val="BOM_Indirect2"/>
      <sheetName val="Form_A_1_II_22"/>
      <sheetName val="6_GSTG_PIPING2"/>
      <sheetName val="NONS__2,1892"/>
      <sheetName val="내역서_2"/>
      <sheetName val="Reference_Table2"/>
      <sheetName val="CAL(1)_2"/>
      <sheetName val="member_design2"/>
      <sheetName val="soil_bearing_check2"/>
      <sheetName val="OCT_FDN2"/>
      <sheetName val="PRI_CIV2"/>
      <sheetName val="FOR_CIV2"/>
      <sheetName val="SUB_CIV2"/>
      <sheetName val="ANA_CIV2"/>
      <sheetName val="AUX_CIV2"/>
      <sheetName val="hori__vessel(E-895)2"/>
      <sheetName val="2_32"/>
      <sheetName val="S_N2"/>
      <sheetName val="REF_ONLY2"/>
      <sheetName val="Loading_Table2"/>
      <sheetName val="SUMMARY_(0)3"/>
      <sheetName val="Vent_Line_size2"/>
      <sheetName val="Pipelines_ASAB_I-II_Brownfield2"/>
      <sheetName val="MEASURE_LIST2"/>
      <sheetName val="4_1구조설계2"/>
      <sheetName val="HRG_BHN2"/>
      <sheetName val="input_data-0909082"/>
      <sheetName val="MH_Estimation_Guide2"/>
      <sheetName val="공사비_내역_(가)2"/>
      <sheetName val="Don_gia2"/>
      <sheetName val="Comp_Rate_2"/>
      <sheetName val="Data_12"/>
      <sheetName val="Expenses_per_Cost_Code_2"/>
      <sheetName val="7_0_Crack_Check2"/>
      <sheetName val="축열조_기초2"/>
      <sheetName val="Fill_this_out_first___4"/>
      <sheetName val="Fill_this_out_first___5"/>
      <sheetName val="COMB_MNG&amp;STAFF_(ALL)__(2)2"/>
      <sheetName val="Forecast_Drivers2"/>
      <sheetName val="Q5434_EQ_LIST2"/>
      <sheetName val="motor_power2"/>
      <sheetName val="Unit_Cost2"/>
      <sheetName val="Section_1~4(1)2"/>
      <sheetName val="Section_1~4_2"/>
      <sheetName val="Section_52"/>
      <sheetName val="Section_5_22"/>
      <sheetName val="Section_5_32"/>
      <sheetName val="Section_62"/>
      <sheetName val="Section_6_22"/>
      <sheetName val="Attachment_12"/>
      <sheetName val="Attachmenet_22"/>
      <sheetName val="Analisa_HS2"/>
      <sheetName val="RAW_MATERIALS_2"/>
      <sheetName val="COST-PERSON-J_O_2"/>
      <sheetName val="COST-EST_LTI_P5C2"/>
      <sheetName val="SLEIPNER_-_ORMEN_LANGE2"/>
      <sheetName val="전기_BM_revA('090624)_xls2"/>
      <sheetName val="定额_(06)2"/>
      <sheetName val="Coeff_2"/>
      <sheetName val="4-3LEVEL-5_epic_42"/>
      <sheetName val="4_단락전류2"/>
      <sheetName val="[fdn_bm_pro_xls]기계공사비집계(珆꭭/2"/>
      <sheetName val="2-SITE_"/>
      <sheetName val="BID_FORM"/>
      <sheetName val="Form_of_Bid"/>
      <sheetName val="INST_LIST"/>
      <sheetName val="MANPOWER_DIRECT_TRACKING"/>
      <sheetName val="Timescaled_Data"/>
      <sheetName val="Home_Office"/>
      <sheetName val="Code_02"/>
      <sheetName val="Code_03"/>
      <sheetName val="Code_04"/>
      <sheetName val="Code_05"/>
      <sheetName val="Code_06"/>
      <sheetName val="Code_07"/>
      <sheetName val="Code_09"/>
      <sheetName val="4300_UTILITY_BLDG_(2)"/>
      <sheetName val="Price_Breakdown(Building)"/>
      <sheetName val="Item_Dominan"/>
      <sheetName val="Finish_list"/>
      <sheetName val="PCC_EAF"/>
      <sheetName val="PCC_LF"/>
      <sheetName val="4-Basic_Price"/>
      <sheetName val="_fdn_bm_pro_xls_기계공사비집계(珆꭭_"/>
      <sheetName val="eq_data_????"/>
      <sheetName val="Unit__Price"/>
      <sheetName val="Dati_base"/>
      <sheetName val="US_Inflation_Factors"/>
      <sheetName val="Cover_Page"/>
      <sheetName val="fdn_bm_pro_xls기계공사비집계(珆꭭"/>
      <sheetName val="Engrg_Est"/>
      <sheetName val="Cost"/>
      <sheetName val="KEYS"/>
      <sheetName val="[fdn_bm_pro.xls]_fdn_bm_pro_x_3"/>
      <sheetName val="[fdn_bm_pro.xls]_fdn_bm_pro_x_4"/>
      <sheetName val="[fdn_bm_pro.xls]_fdn_bm_pro_x_5"/>
      <sheetName val="_fdn_bm_pro_xls_기계공사비집계(珆꭭_1"/>
      <sheetName val="eq_data ____"/>
      <sheetName val="_è"/>
      <sheetName val="_fdn_bm_pro.xls__fdn_bm_pro_x_2"/>
      <sheetName val="Pipe ID"/>
      <sheetName val="Step"/>
      <sheetName val="database"/>
      <sheetName val="5-Peralatan"/>
      <sheetName val="XLR_NoRangeSheet"/>
      <sheetName val="Cost Data"/>
      <sheetName val="チューブ仕様"/>
      <sheetName val="Cutoff"/>
      <sheetName val="자재집계_&amp;_총괄표"/>
      <sheetName val="[fdn_bm_pro_xls]_fdn_bm_pro_x_2"/>
      <sheetName val="GASATAGG_XLS"/>
      <sheetName val="BEND_LOSS"/>
      <sheetName val="eq_data_1"/>
      <sheetName val="7_5_1(A)_Data9"/>
      <sheetName val="7_5_1(B)_BOQ_Breakdown9"/>
      <sheetName val="7_5_1(C)_Scope9"/>
      <sheetName val="7_5_1(D)_Basis9"/>
      <sheetName val="7_5_1(E)_Allowance9"/>
      <sheetName val="7_5_2_BOQ_Summary9"/>
      <sheetName val="7_5_3_BOQ9"/>
      <sheetName val="A__Erec_BOQ(Shop)9"/>
      <sheetName val="B__Erec_BOQ(Field)9"/>
      <sheetName val="C__Surface_Protection9"/>
      <sheetName val="A__Erec_BOQ(Shop)_(2)9"/>
      <sheetName val="B__Erec_BOQ(Field)_(2)9"/>
      <sheetName val="C__Surf_Protection9"/>
      <sheetName val="Attachment_#19"/>
      <sheetName val="Attachment_#29"/>
      <sheetName val="302_C19"/>
      <sheetName val="302_C29"/>
      <sheetName val="SUPPLY_(2)9"/>
      <sheetName val="RETURN_(2)9"/>
      <sheetName val="303_(2)9"/>
      <sheetName val="308_(2)9"/>
      <sheetName val="309_(2)9"/>
      <sheetName val="JUNCTION_BOX9"/>
      <sheetName val="PIPE_FITTING9"/>
      <sheetName val="TUBE_FITTING9"/>
      <sheetName val="CABLE_GLAND9"/>
      <sheetName val="CONS__EQUIP___9"/>
      <sheetName val="BLR_19"/>
      <sheetName val="REINF_9"/>
      <sheetName val="ITB_COST8"/>
      <sheetName val="97_사업추정(WEKI)8"/>
      <sheetName val="90EL_JACKET8"/>
      <sheetName val="보온_회사분8"/>
      <sheetName val="Cost_control8"/>
      <sheetName val="FIRE_FIGHTING8"/>
      <sheetName val="Tipo_Terzi7"/>
      <sheetName val="plan&amp;section_of_foundation7"/>
      <sheetName val="design_criteria7"/>
      <sheetName val="BM_DATA_SHEET7"/>
      <sheetName val="Mat_Stelo7"/>
      <sheetName val="Unit_SUM7"/>
      <sheetName val="1_설계기준6"/>
      <sheetName val="working_load_at_the_btm_ft_6"/>
      <sheetName val="stability_check6"/>
      <sheetName val="OUTER_AREA(겹침없음)6"/>
      <sheetName val="Material_Specification6"/>
      <sheetName val="special_item_양진규_작성6"/>
      <sheetName val="bill_26"/>
      <sheetName val="방유제용량_계산서6"/>
      <sheetName val="Break_Dw6"/>
      <sheetName val="표지_(2)6"/>
      <sheetName val="pile_bearing_capa_&amp;_arrenge6"/>
      <sheetName val="design_load6"/>
      <sheetName val="Fab__Skid6"/>
      <sheetName val="Sch_66"/>
      <sheetName val="INPUT_DATA6"/>
      <sheetName val="CAMP_OPERATING_COST6"/>
      <sheetName val="PERSONNEL_SETUP6"/>
      <sheetName val="LIST_OF_OFFICE_EQUIPMENT6"/>
      <sheetName val="STAFF&amp;INDIRECT_SALARY_-_SUMMAR6"/>
      <sheetName val="KOREAN_STAFF_SALARY_BREAKDOWN6"/>
      <sheetName val="WELFARE_COST_-_SITE6"/>
      <sheetName val="개시대사_(2)6"/>
      <sheetName val="입고장부_(4)6"/>
      <sheetName val="FEUILLE_INTERNE6"/>
      <sheetName val="COMPARISON_TABLE6"/>
      <sheetName val="L_V_Separator6"/>
      <sheetName val="CAMP_-_CONSTRUCTION6"/>
      <sheetName val="E_Rate_PM6"/>
      <sheetName val="Schedule_2_and_36"/>
      <sheetName val="CAL_6"/>
      <sheetName val="11_자재단가5"/>
      <sheetName val="1_OF_95"/>
      <sheetName val="Cover_sheet4"/>
      <sheetName val="BSD_(2)4"/>
      <sheetName val="TRAY_BM4"/>
      <sheetName val="Graph_(LGEN)4"/>
      <sheetName val="선적schedule_(2)4"/>
      <sheetName val="Summary_Sheets4"/>
      <sheetName val="품셈_4"/>
      <sheetName val="sc0314_Index4"/>
      <sheetName val="Resource_summary4"/>
      <sheetName val="배관물량_(STEEL)6"/>
      <sheetName val="Sheet_16"/>
      <sheetName val="w't_table4"/>
      <sheetName val="eq_data__x005f_x0000__x005f_x0000__x005f_x0000__4"/>
      <sheetName val="Struct-Grass_root4"/>
      <sheetName val="-15_04"/>
      <sheetName val="3_0_Overall_Progress_S-curve6"/>
      <sheetName val="3-4_SPI6"/>
      <sheetName val="General_Data6"/>
      <sheetName val="PRICE_COMP6"/>
      <sheetName val="A(Rev_3)6"/>
      <sheetName val="static_cal4"/>
      <sheetName val="crude_SLAB_RE-bar4"/>
      <sheetName val="7_6_3(B)_UG_Piping4"/>
      <sheetName val="PRICE_LIST4"/>
      <sheetName val="7_5_2_BOQ_Summary_4"/>
      <sheetName val="Rekap_A4"/>
      <sheetName val="paint_mat4"/>
      <sheetName val="VE_Estimate4"/>
      <sheetName val="TABLE2-2_OSBL-(SITE_PREP)4"/>
      <sheetName val="PAGE_24"/>
      <sheetName val="OFFER_RATE4"/>
      <sheetName val="Job_Data4"/>
      <sheetName val="Piping_Design_Data4"/>
      <sheetName val="Summary_20024"/>
      <sheetName val="ASME_B_36_10_M4"/>
      <sheetName val="Break_Down4"/>
      <sheetName val="Supervision_List4"/>
      <sheetName val="견적_집계4"/>
      <sheetName val="PULLING_SUPT등4"/>
      <sheetName val="Sheet1_(2)4"/>
      <sheetName val="PAGE_14"/>
      <sheetName val="_생산성_분석_체계_절차_xlsx4"/>
      <sheetName val="BQ_List4"/>
      <sheetName val="Page_104"/>
      <sheetName val="C급보_4"/>
      <sheetName val="Rectangular_Beam4"/>
      <sheetName val="간접비_총괄표4"/>
      <sheetName val="Eng_hour_DB4"/>
      <sheetName val="CRUDE_RE-bar4"/>
      <sheetName val="DUTCH_CONE4"/>
      <sheetName val="PAGE_3_GENERAL_DETAILS4"/>
      <sheetName val="적용_환율4"/>
      <sheetName val="GM_0004"/>
      <sheetName val="PRECAST_lightconc-II4"/>
      <sheetName val="Elect_(3)4"/>
      <sheetName val="Rev_No4"/>
      <sheetName val="COST_UP4"/>
      <sheetName val="PUMP_SHT4"/>
      <sheetName val="TENDER_PROG_4"/>
      <sheetName val="PROC_PROG4"/>
      <sheetName val="Block_D4"/>
      <sheetName val="2_Calculation_14"/>
      <sheetName val="Datasheet_GLL_double_weir_(1)4"/>
      <sheetName val="_4"/>
      <sheetName val="eq_data__x005f_x0000__x004"/>
      <sheetName val="33628-Rev__A4"/>
      <sheetName val="TYPE-B_평균H4"/>
      <sheetName val="6_공사비_내역_(가)4"/>
      <sheetName val="Sheet2_(2)4"/>
      <sheetName val="REF_ONLY3"/>
      <sheetName val="co-no_23"/>
      <sheetName val="Form_A_13"/>
      <sheetName val="Form_A_1_13"/>
      <sheetName val="BOM_Indirect3"/>
      <sheetName val="Form_A_1_II_23"/>
      <sheetName val="6_GSTG_PIPING3"/>
      <sheetName val="NONS__2,1893"/>
      <sheetName val="COMB_MNG&amp;STAFF_(ALL)__(2)3"/>
      <sheetName val="Reference_Table3"/>
      <sheetName val="CAL(1)_3"/>
      <sheetName val="member_design3"/>
      <sheetName val="soil_bearing_check3"/>
      <sheetName val="OCT_FDN3"/>
      <sheetName val="PRI_CIV3"/>
      <sheetName val="FOR_CIV3"/>
      <sheetName val="SUB_CIV3"/>
      <sheetName val="ANA_CIV3"/>
      <sheetName val="AUX_CIV3"/>
      <sheetName val="내역서_3"/>
      <sheetName val="hori__vessel(E-895)3"/>
      <sheetName val="2_33"/>
      <sheetName val="S_N3"/>
      <sheetName val="Loading_Table3"/>
      <sheetName val="SUMMARY_(0)4"/>
      <sheetName val="4_1구조설계3"/>
      <sheetName val="Pipelines_ASAB_I-II_Brownfield3"/>
      <sheetName val="MH_Estimation_Guide3"/>
      <sheetName val="공사비_내역_(가)3"/>
      <sheetName val="input_data-0909083"/>
      <sheetName val="HRG_BHN3"/>
      <sheetName val="Vent_Line_size3"/>
      <sheetName val="Expenses_per_Cost_Code_3"/>
      <sheetName val="Comp_Rate_3"/>
      <sheetName val="Analisa_HS3"/>
      <sheetName val="Section_1~4(1)3"/>
      <sheetName val="Section_1~4_3"/>
      <sheetName val="Section_53"/>
      <sheetName val="Section_5_23"/>
      <sheetName val="Section_5_33"/>
      <sheetName val="Section_63"/>
      <sheetName val="Section_6_23"/>
      <sheetName val="Attachment_13"/>
      <sheetName val="Attachmenet_23"/>
      <sheetName val="7_0_Crack_Check3"/>
      <sheetName val="축열조_기초3"/>
      <sheetName val="Fill_this_out_first___6"/>
      <sheetName val="Fill_this_out_first___7"/>
      <sheetName val="Forecast_Drivers3"/>
      <sheetName val="RAW_MATERIALS_3"/>
      <sheetName val="COST-PERSON-J_O_3"/>
      <sheetName val="MEASURE_LIST3"/>
      <sheetName val="Don_gia3"/>
      <sheetName val="COST-EST_LTI_P5C3"/>
      <sheetName val="SLEIPNER_-_ORMEN_LANGE3"/>
      <sheetName val="전기_BM_revA('090624)_xls3"/>
      <sheetName val="定额_(06)3"/>
      <sheetName val="Tie_Beam_GN1"/>
      <sheetName val="4_단락전류3"/>
      <sheetName val="Q5434_EQ_LIST3"/>
      <sheetName val="motor_power3"/>
      <sheetName val="Data_13"/>
      <sheetName val="4-3LEVEL-5_epic_43"/>
      <sheetName val="Unit_Cost3"/>
      <sheetName val="Coeff_3"/>
      <sheetName val="[fdn_bm_pro_xls]기계공사비집계(珆꭭/3"/>
      <sheetName val="96_121"/>
      <sheetName val="Exchange_rates3"/>
      <sheetName val="BID_FORM1"/>
      <sheetName val="Form_of_Bid1"/>
      <sheetName val="INST_LIST1"/>
      <sheetName val="Item_Dominan1"/>
      <sheetName val="Code_021"/>
      <sheetName val="Code_031"/>
      <sheetName val="Code_041"/>
      <sheetName val="Code_051"/>
      <sheetName val="Code_061"/>
      <sheetName val="Code_071"/>
      <sheetName val="Code_091"/>
      <sheetName val="4300_UTILITY_BLDG_(2)1"/>
      <sheetName val="Price_Breakdown(Building)1"/>
      <sheetName val="MANPOWER_DIRECT_TRACKING1"/>
      <sheetName val="Timescaled_Data1"/>
      <sheetName val="Home_Office1"/>
      <sheetName val="fdn_bm_pro_xls기계공사비집계(珆꭭1"/>
      <sheetName val="2-SITE_1"/>
      <sheetName val="eq_data_????1"/>
      <sheetName val="PCC_EAF1"/>
      <sheetName val="PCC_LF1"/>
      <sheetName val="4-Basic_Price1"/>
      <sheetName val="Finish_list1"/>
      <sheetName val="Dati_base1"/>
      <sheetName val="US_Inflation_Factors1"/>
      <sheetName val="Cover_Page1"/>
      <sheetName val="Unit__Price1"/>
      <sheetName val="자재집계_&amp;_총괄표1"/>
      <sheetName val="Engrg_Est1"/>
      <sheetName val="[fdn_bm_pro_xls]_fdn_bm_pro_x_1"/>
      <sheetName val="GASATAGG_XLS1"/>
      <sheetName val="BEND_LOSS1"/>
      <sheetName val="eq_data_2"/>
      <sheetName val="7_5_1(A)_Data10"/>
      <sheetName val="7_5_1(B)_BOQ_Breakdown10"/>
      <sheetName val="7_5_1(C)_Scope10"/>
      <sheetName val="7_5_1(D)_Basis10"/>
      <sheetName val="7_5_1(E)_Allowance10"/>
      <sheetName val="7_5_2_BOQ_Summary10"/>
      <sheetName val="7_5_3_BOQ10"/>
      <sheetName val="A__Erec_BOQ(Shop)10"/>
      <sheetName val="B__Erec_BOQ(Field)10"/>
      <sheetName val="C__Surface_Protection10"/>
      <sheetName val="A__Erec_BOQ(Shop)_(2)10"/>
      <sheetName val="B__Erec_BOQ(Field)_(2)10"/>
      <sheetName val="C__Surf_Protection10"/>
      <sheetName val="Attachment_#110"/>
      <sheetName val="Attachment_#210"/>
      <sheetName val="302_C110"/>
      <sheetName val="302_C210"/>
      <sheetName val="SUPPLY_(2)10"/>
      <sheetName val="RETURN_(2)10"/>
      <sheetName val="303_(2)10"/>
      <sheetName val="308_(2)10"/>
      <sheetName val="309_(2)10"/>
      <sheetName val="JUNCTION_BOX10"/>
      <sheetName val="PIPE_FITTING10"/>
      <sheetName val="TUBE_FITTING10"/>
      <sheetName val="CABLE_GLAND10"/>
      <sheetName val="CONS__EQUIP___10"/>
      <sheetName val="BLR_110"/>
      <sheetName val="REINF_10"/>
      <sheetName val="ITB_COST9"/>
      <sheetName val="97_사업추정(WEKI)9"/>
      <sheetName val="90EL_JACKET9"/>
      <sheetName val="보온_회사분9"/>
      <sheetName val="Cost_control9"/>
      <sheetName val="FIRE_FIGHTING9"/>
      <sheetName val="Tipo_Terzi8"/>
      <sheetName val="plan&amp;section_of_foundation8"/>
      <sheetName val="design_criteria8"/>
      <sheetName val="BM_DATA_SHEET8"/>
      <sheetName val="Mat_Stelo8"/>
      <sheetName val="Unit_SUM8"/>
      <sheetName val="1_설계기준7"/>
      <sheetName val="working_load_at_the_btm_ft_7"/>
      <sheetName val="stability_check7"/>
      <sheetName val="OUTER_AREA(겹침없음)7"/>
      <sheetName val="Material_Specification7"/>
      <sheetName val="special_item_양진규_작성7"/>
      <sheetName val="bill_27"/>
      <sheetName val="방유제용량_계산서7"/>
      <sheetName val="Break_Dw7"/>
      <sheetName val="표지_(2)7"/>
      <sheetName val="pile_bearing_capa_&amp;_arrenge7"/>
      <sheetName val="design_load7"/>
      <sheetName val="Fab__Skid7"/>
      <sheetName val="Sch_67"/>
      <sheetName val="INPUT_DATA7"/>
      <sheetName val="CAMP_OPERATING_COST7"/>
      <sheetName val="PERSONNEL_SETUP7"/>
      <sheetName val="LIST_OF_OFFICE_EQUIPMENT7"/>
      <sheetName val="STAFF&amp;INDIRECT_SALARY_-_SUMMAR7"/>
      <sheetName val="KOREAN_STAFF_SALARY_BREAKDOWN7"/>
      <sheetName val="WELFARE_COST_-_SITE7"/>
      <sheetName val="개시대사_(2)7"/>
      <sheetName val="입고장부_(4)7"/>
      <sheetName val="FEUILLE_INTERNE7"/>
      <sheetName val="COMPARISON_TABLE7"/>
      <sheetName val="L_V_Separator7"/>
      <sheetName val="CAMP_-_CONSTRUCTION7"/>
      <sheetName val="E_Rate_PM7"/>
      <sheetName val="Schedule_2_and_37"/>
      <sheetName val="CAL_7"/>
      <sheetName val="11_자재단가6"/>
      <sheetName val="1_OF_96"/>
      <sheetName val="Cover_sheet5"/>
      <sheetName val="BSD_(2)5"/>
      <sheetName val="TRAY_BM5"/>
      <sheetName val="Graph_(LGEN)5"/>
      <sheetName val="선적schedule_(2)5"/>
      <sheetName val="Summary_Sheets5"/>
      <sheetName val="품셈_5"/>
      <sheetName val="sc0314_Index5"/>
      <sheetName val="Resource_summary5"/>
      <sheetName val="배관물량_(STEEL)7"/>
      <sheetName val="Sheet_17"/>
      <sheetName val="w't_table5"/>
      <sheetName val="eq_data__x005f_x0000__x005f_x0000__x005f_x0000__5"/>
      <sheetName val="Struct-Grass_root5"/>
      <sheetName val="-15_05"/>
      <sheetName val="3_0_Overall_Progress_S-curve7"/>
      <sheetName val="3-4_SPI7"/>
      <sheetName val="General_Data7"/>
      <sheetName val="PRICE_COMP7"/>
      <sheetName val="A(Rev_3)7"/>
      <sheetName val="static_cal5"/>
      <sheetName val="crude_SLAB_RE-bar5"/>
      <sheetName val="7_6_3(B)_UG_Piping5"/>
      <sheetName val="PRICE_LIST5"/>
      <sheetName val="7_5_2_BOQ_Summary_5"/>
      <sheetName val="Rekap_A5"/>
      <sheetName val="paint_mat5"/>
      <sheetName val="VE_Estimate5"/>
      <sheetName val="TABLE2-2_OSBL-(SITE_PREP)5"/>
      <sheetName val="PAGE_25"/>
      <sheetName val="OFFER_RATE5"/>
      <sheetName val="Job_Data5"/>
      <sheetName val="Piping_Design_Data5"/>
      <sheetName val="Summary_20025"/>
      <sheetName val="ASME_B_36_10_M5"/>
      <sheetName val="Break_Down5"/>
      <sheetName val="Supervision_List5"/>
      <sheetName val="견적_집계5"/>
      <sheetName val="PULLING_SUPT등5"/>
      <sheetName val="Sheet1_(2)5"/>
      <sheetName val="PAGE_15"/>
      <sheetName val="_생산성_분석_체계_절차_xlsx5"/>
      <sheetName val="BQ_List5"/>
      <sheetName val="Page_105"/>
      <sheetName val="C급보_5"/>
      <sheetName val="Rectangular_Beam5"/>
      <sheetName val="간접비_총괄표5"/>
      <sheetName val="Eng_hour_DB5"/>
      <sheetName val="CRUDE_RE-bar5"/>
      <sheetName val="DUTCH_CONE5"/>
      <sheetName val="PAGE_3_GENERAL_DETAILS5"/>
      <sheetName val="적용_환율5"/>
      <sheetName val="GM_0005"/>
      <sheetName val="PRECAST_lightconc-II5"/>
      <sheetName val="Elect_(3)5"/>
      <sheetName val="Rev_No5"/>
      <sheetName val="COST_UP5"/>
      <sheetName val="PUMP_SHT5"/>
      <sheetName val="TENDER_PROG_5"/>
      <sheetName val="PROC_PROG5"/>
      <sheetName val="Block_D5"/>
      <sheetName val="2_Calculation_15"/>
      <sheetName val="Datasheet_GLL_double_weir_(1)5"/>
      <sheetName val="_5"/>
      <sheetName val="eq_data__x005f_x0000__x005"/>
      <sheetName val="33628-Rev__A5"/>
      <sheetName val="TYPE-B_평균H5"/>
      <sheetName val="6_공사비_내역_(가)5"/>
      <sheetName val="Sheet2_(2)5"/>
      <sheetName val="REF_ONLY4"/>
      <sheetName val="co-no_24"/>
      <sheetName val="Form_A_14"/>
      <sheetName val="Form_A_1_14"/>
      <sheetName val="BOM_Indirect4"/>
      <sheetName val="Form_A_1_II_24"/>
      <sheetName val="6_GSTG_PIPING4"/>
      <sheetName val="NONS__2,1894"/>
      <sheetName val="COMB_MNG&amp;STAFF_(ALL)__(2)4"/>
      <sheetName val="Reference_Table4"/>
      <sheetName val="CAL(1)_4"/>
      <sheetName val="member_design4"/>
      <sheetName val="soil_bearing_check4"/>
      <sheetName val="OCT_FDN4"/>
      <sheetName val="PRI_CIV4"/>
      <sheetName val="FOR_CIV4"/>
      <sheetName val="SUB_CIV4"/>
      <sheetName val="ANA_CIV4"/>
      <sheetName val="AUX_CIV4"/>
      <sheetName val="내역서_4"/>
      <sheetName val="hori__vessel(E-895)4"/>
      <sheetName val="2_34"/>
      <sheetName val="S_N4"/>
      <sheetName val="Loading_Table4"/>
      <sheetName val="SUMMARY_(0)5"/>
      <sheetName val="4_1구조설계4"/>
      <sheetName val="Pipelines_ASAB_I-II_Brownfield4"/>
      <sheetName val="MH_Estimation_Guide4"/>
      <sheetName val="공사비_내역_(가)4"/>
      <sheetName val="input_data-0909084"/>
      <sheetName val="HRG_BHN4"/>
      <sheetName val="Vent_Line_size4"/>
      <sheetName val="Expenses_per_Cost_Code_4"/>
      <sheetName val="Comp_Rate_4"/>
      <sheetName val="Analisa_HS4"/>
      <sheetName val="Section_1~4(1)4"/>
      <sheetName val="Section_1~4_4"/>
      <sheetName val="Section_54"/>
      <sheetName val="Section_5_24"/>
      <sheetName val="Section_5_34"/>
      <sheetName val="Section_64"/>
      <sheetName val="Section_6_24"/>
      <sheetName val="Attachment_14"/>
      <sheetName val="Attachmenet_24"/>
      <sheetName val="7_0_Crack_Check4"/>
      <sheetName val="축열조_기초4"/>
      <sheetName val="Fill_this_out_first___8"/>
      <sheetName val="Fill_this_out_first___9"/>
      <sheetName val="Forecast_Drivers4"/>
      <sheetName val="RAW_MATERIALS_4"/>
      <sheetName val="COST-PERSON-J_O_4"/>
      <sheetName val="MEASURE_LIST4"/>
      <sheetName val="Don_gia4"/>
      <sheetName val="COST-EST_LTI_P5C4"/>
      <sheetName val="SLEIPNER_-_ORMEN_LANGE4"/>
      <sheetName val="전기_BM_revA('090624)_xls4"/>
      <sheetName val="定额_(06)4"/>
      <sheetName val="Tie_Beam_GN2"/>
      <sheetName val="4_단락전류4"/>
      <sheetName val="system_&amp;_LOOK_UP_FUNC2"/>
      <sheetName val="Q5434_EQ_LIST4"/>
      <sheetName val="motor_power4"/>
      <sheetName val="Data_14"/>
      <sheetName val="4-3LEVEL-5_epic_44"/>
      <sheetName val="Unit_Cost4"/>
      <sheetName val="Coeff_4"/>
      <sheetName val="[fdn_bm_pro_xls]기계공사비집계(珆꭭/4"/>
      <sheetName val="96_122"/>
      <sheetName val="Exchange_rates4"/>
      <sheetName val="BID_FORM2"/>
      <sheetName val="Form_of_Bid2"/>
      <sheetName val="INST_LIST2"/>
      <sheetName val="Item_Dominan2"/>
      <sheetName val="Code_022"/>
      <sheetName val="Code_032"/>
      <sheetName val="Code_042"/>
      <sheetName val="Code_052"/>
      <sheetName val="Code_062"/>
      <sheetName val="Code_072"/>
      <sheetName val="Code_092"/>
      <sheetName val="4300_UTILITY_BLDG_(2)2"/>
      <sheetName val="Price_Breakdown(Building)2"/>
      <sheetName val="MANPOWER_DIRECT_TRACKING2"/>
      <sheetName val="Timescaled_Data2"/>
      <sheetName val="Home_Office2"/>
      <sheetName val="fdn_bm_pro_xls기계공사비집계(珆꭭2"/>
      <sheetName val="2-SITE_2"/>
      <sheetName val="eq_data_????2"/>
      <sheetName val="PCC_EAF2"/>
      <sheetName val="PCC_LF2"/>
      <sheetName val="4-Basic_Price2"/>
      <sheetName val="_fdn_bm_pro_xls_기계공사비집계(珆꭭_2"/>
      <sheetName val="Finish_list2"/>
      <sheetName val="Dati_base2"/>
      <sheetName val="US_Inflation_Factors2"/>
      <sheetName val="Cover_Page2"/>
      <sheetName val="Unit__Price2"/>
      <sheetName val="자재집계_&amp;_총괄표2"/>
      <sheetName val="Engrg_Est2"/>
      <sheetName val="[fdn_bm_pro_xls]_fdn_bm_pro_x_3"/>
      <sheetName val="GASATAGG_XLS2"/>
      <sheetName val="BEND_LOSS2"/>
      <sheetName val="eq_data_3"/>
      <sheetName val="7_5_1(A)_Data11"/>
      <sheetName val="7_5_1(B)_BOQ_Breakdown11"/>
      <sheetName val="7_5_1(C)_Scope11"/>
      <sheetName val="7_5_1(D)_Basis11"/>
      <sheetName val="7_5_1(E)_Allowance11"/>
      <sheetName val="7_5_2_BOQ_Summary11"/>
      <sheetName val="7_5_3_BOQ11"/>
      <sheetName val="A__Erec_BOQ(Shop)11"/>
      <sheetName val="B__Erec_BOQ(Field)11"/>
      <sheetName val="C__Surface_Protection11"/>
      <sheetName val="A__Erec_BOQ(Shop)_(2)11"/>
      <sheetName val="B__Erec_BOQ(Field)_(2)11"/>
      <sheetName val="C__Surf_Protection11"/>
      <sheetName val="Attachment_#111"/>
      <sheetName val="Attachment_#211"/>
      <sheetName val="302_C111"/>
      <sheetName val="302_C211"/>
      <sheetName val="SUPPLY_(2)11"/>
      <sheetName val="RETURN_(2)11"/>
      <sheetName val="303_(2)11"/>
      <sheetName val="308_(2)11"/>
      <sheetName val="309_(2)11"/>
      <sheetName val="JUNCTION_BOX11"/>
      <sheetName val="PIPE_FITTING11"/>
      <sheetName val="TUBE_FITTING11"/>
      <sheetName val="CABLE_GLAND11"/>
      <sheetName val="CONS__EQUIP___11"/>
      <sheetName val="BLR_111"/>
      <sheetName val="REINF_11"/>
      <sheetName val="ITB_COST10"/>
      <sheetName val="97_사업추정(WEKI)10"/>
      <sheetName val="90EL_JACKET10"/>
      <sheetName val="보온_회사분10"/>
      <sheetName val="Cost_control10"/>
      <sheetName val="FIRE_FIGHTING10"/>
      <sheetName val="Tipo_Terzi9"/>
      <sheetName val="plan&amp;section_of_foundation9"/>
      <sheetName val="design_criteria9"/>
      <sheetName val="BM_DATA_SHEET9"/>
      <sheetName val="Mat_Stelo9"/>
      <sheetName val="Unit_SUM9"/>
      <sheetName val="1_설계기준8"/>
      <sheetName val="working_load_at_the_btm_ft_8"/>
      <sheetName val="stability_check8"/>
      <sheetName val="OUTER_AREA(겹침없음)8"/>
      <sheetName val="Material_Specification8"/>
      <sheetName val="special_item_양진규_작성8"/>
      <sheetName val="bill_28"/>
      <sheetName val="방유제용량_계산서8"/>
      <sheetName val="Break_Dw8"/>
      <sheetName val="표지_(2)8"/>
      <sheetName val="pile_bearing_capa_&amp;_arrenge8"/>
      <sheetName val="design_load8"/>
      <sheetName val="Fab__Skid8"/>
      <sheetName val="Sch_68"/>
      <sheetName val="INPUT_DATA8"/>
      <sheetName val="CAMP_OPERATING_COST8"/>
      <sheetName val="PERSONNEL_SETUP8"/>
      <sheetName val="LIST_OF_OFFICE_EQUIPMENT8"/>
      <sheetName val="STAFF&amp;INDIRECT_SALARY_-_SUMMAR8"/>
      <sheetName val="KOREAN_STAFF_SALARY_BREAKDOWN8"/>
      <sheetName val="WELFARE_COST_-_SITE8"/>
      <sheetName val="개시대사_(2)8"/>
      <sheetName val="입고장부_(4)8"/>
      <sheetName val="FEUILLE_INTERNE8"/>
      <sheetName val="COMPARISON_TABLE8"/>
      <sheetName val="L_V_Separator8"/>
      <sheetName val="CAMP_-_CONSTRUCTION8"/>
      <sheetName val="E_Rate_PM8"/>
      <sheetName val="Schedule_2_and_38"/>
      <sheetName val="CAL_8"/>
      <sheetName val="11_자재단가7"/>
      <sheetName val="1_OF_97"/>
      <sheetName val="Cover_sheet6"/>
      <sheetName val="BSD_(2)6"/>
      <sheetName val="TRAY_BM6"/>
      <sheetName val="Graph_(LGEN)6"/>
      <sheetName val="선적schedule_(2)6"/>
      <sheetName val="Summary_Sheets6"/>
      <sheetName val="품셈_6"/>
      <sheetName val="sc0314_Index6"/>
      <sheetName val="Resource_summary6"/>
      <sheetName val="배관물량_(STEEL)8"/>
      <sheetName val="Sheet_18"/>
      <sheetName val="w't_table6"/>
      <sheetName val="eq_data__x005f_x0000__x005f_x0000__x005f_x0000__6"/>
      <sheetName val="Struct-Grass_root6"/>
      <sheetName val="-15_06"/>
      <sheetName val="3_0_Overall_Progress_S-curve8"/>
      <sheetName val="3-4_SPI8"/>
      <sheetName val="General_Data8"/>
      <sheetName val="PRICE_COMP8"/>
      <sheetName val="A(Rev_3)8"/>
      <sheetName val="static_cal6"/>
      <sheetName val="crude_SLAB_RE-bar6"/>
      <sheetName val="7_6_3(B)_UG_Piping6"/>
      <sheetName val="PRICE_LIST6"/>
      <sheetName val="7_5_2_BOQ_Summary_6"/>
      <sheetName val="Rekap_A6"/>
      <sheetName val="paint_mat6"/>
      <sheetName val="VE_Estimate6"/>
      <sheetName val="TABLE2-2_OSBL-(SITE_PREP)6"/>
      <sheetName val="PAGE_26"/>
      <sheetName val="OFFER_RATE6"/>
      <sheetName val="Job_Data6"/>
      <sheetName val="Piping_Design_Data6"/>
      <sheetName val="Summary_20026"/>
      <sheetName val="ASME_B_36_10_M6"/>
      <sheetName val="Break_Down6"/>
      <sheetName val="Supervision_List6"/>
      <sheetName val="견적_집계6"/>
      <sheetName val="PULLING_SUPT등6"/>
      <sheetName val="Sheet1_(2)6"/>
      <sheetName val="PAGE_16"/>
      <sheetName val="_생산성_분석_체계_절차_xlsx6"/>
      <sheetName val="BQ_List6"/>
      <sheetName val="Page_106"/>
      <sheetName val="C급보_6"/>
      <sheetName val="Rectangular_Beam6"/>
      <sheetName val="간접비_총괄표6"/>
      <sheetName val="Eng_hour_DB6"/>
      <sheetName val="CRUDE_RE-bar6"/>
      <sheetName val="DUTCH_CONE6"/>
      <sheetName val="PAGE_3_GENERAL_DETAILS6"/>
      <sheetName val="적용_환율6"/>
      <sheetName val="GM_0006"/>
      <sheetName val="PRECAST_lightconc-II6"/>
      <sheetName val="Elect_(3)6"/>
      <sheetName val="Rev_No6"/>
      <sheetName val="COST_UP6"/>
      <sheetName val="PUMP_SHT6"/>
      <sheetName val="TENDER_PROG_6"/>
      <sheetName val="PROC_PROG6"/>
      <sheetName val="Block_D6"/>
      <sheetName val="2_Calculation_16"/>
      <sheetName val="Datasheet_GLL_double_weir_(1)6"/>
      <sheetName val="_6"/>
      <sheetName val="eq_data__x005f_x0000__x006"/>
      <sheetName val="33628-Rev__A6"/>
      <sheetName val="TYPE-B_평균H6"/>
      <sheetName val="6_공사비_내역_(가)6"/>
      <sheetName val="Sheet2_(2)6"/>
      <sheetName val="REF_ONLY5"/>
      <sheetName val="co-no_25"/>
      <sheetName val="Form_A_15"/>
      <sheetName val="Form_A_1_15"/>
      <sheetName val="BOM_Indirect5"/>
      <sheetName val="Form_A_1_II_25"/>
      <sheetName val="6_GSTG_PIPING5"/>
      <sheetName val="NONS__2,1895"/>
      <sheetName val="COMB_MNG&amp;STAFF_(ALL)__(2)5"/>
      <sheetName val="Reference_Table5"/>
      <sheetName val="CAL(1)_5"/>
      <sheetName val="member_design5"/>
      <sheetName val="soil_bearing_check5"/>
      <sheetName val="OCT_FDN5"/>
      <sheetName val="PRI_CIV5"/>
      <sheetName val="FOR_CIV5"/>
      <sheetName val="SUB_CIV5"/>
      <sheetName val="ANA_CIV5"/>
      <sheetName val="AUX_CIV5"/>
      <sheetName val="내역서_5"/>
      <sheetName val="hori__vessel(E-895)5"/>
      <sheetName val="2_35"/>
      <sheetName val="S_N5"/>
      <sheetName val="Loading_Table5"/>
      <sheetName val="SUMMARY_(0)6"/>
      <sheetName val="4_1구조설계5"/>
      <sheetName val="Pipelines_ASAB_I-II_Brownfield5"/>
      <sheetName val="MH_Estimation_Guide5"/>
      <sheetName val="공사비_내역_(가)5"/>
      <sheetName val="input_data-0909085"/>
      <sheetName val="HRG_BHN5"/>
      <sheetName val="Vent_Line_size5"/>
      <sheetName val="Expenses_per_Cost_Code_5"/>
      <sheetName val="Comp_Rate_5"/>
      <sheetName val="Analisa_HS5"/>
      <sheetName val="Section_1~4(1)5"/>
      <sheetName val="Section_1~4_5"/>
      <sheetName val="Section_55"/>
      <sheetName val="Section_5_25"/>
      <sheetName val="Section_5_35"/>
      <sheetName val="Section_65"/>
      <sheetName val="Section_6_25"/>
      <sheetName val="Attachment_15"/>
      <sheetName val="Attachmenet_25"/>
      <sheetName val="7_0_Crack_Check5"/>
      <sheetName val="축열조_기초5"/>
      <sheetName val="Fill_this_out_first___10"/>
      <sheetName val="Fill_this_out_first___11"/>
      <sheetName val="Forecast_Drivers5"/>
      <sheetName val="RAW_MATERIALS_5"/>
      <sheetName val="COST-PERSON-J_O_5"/>
      <sheetName val="MEASURE_LIST5"/>
      <sheetName val="Don_gia5"/>
      <sheetName val="COST-EST_LTI_P5C5"/>
      <sheetName val="SLEIPNER_-_ORMEN_LANGE5"/>
      <sheetName val="전기_BM_revA('090624)_xls5"/>
      <sheetName val="定额_(06)5"/>
      <sheetName val="Tie_Beam_GN3"/>
      <sheetName val="4_단락전류5"/>
      <sheetName val="system_&amp;_LOOK_UP_FUNC3"/>
      <sheetName val="Q5434_EQ_LIST5"/>
      <sheetName val="motor_power5"/>
      <sheetName val="Data_15"/>
      <sheetName val="4-3LEVEL-5_epic_45"/>
      <sheetName val="Unit_Cost5"/>
      <sheetName val="Coeff_5"/>
      <sheetName val="[fdn_bm_pro_xls]기계공사비집계(珆꭭/5"/>
      <sheetName val="96_123"/>
      <sheetName val="Exchange_rates5"/>
      <sheetName val="BID_FORM3"/>
      <sheetName val="Form_of_Bid3"/>
      <sheetName val="INST_LIST3"/>
      <sheetName val="Item_Dominan3"/>
      <sheetName val="Code_023"/>
      <sheetName val="Code_033"/>
      <sheetName val="Code_043"/>
      <sheetName val="Code_053"/>
      <sheetName val="Code_063"/>
      <sheetName val="Code_073"/>
      <sheetName val="Code_093"/>
      <sheetName val="4300_UTILITY_BLDG_(2)3"/>
      <sheetName val="Price_Breakdown(Building)3"/>
      <sheetName val="MANPOWER_DIRECT_TRACKING3"/>
      <sheetName val="Timescaled_Data3"/>
      <sheetName val="Home_Office3"/>
      <sheetName val="fdn_bm_pro_xls기계공사비집계(珆꭭3"/>
      <sheetName val="2-SITE_3"/>
      <sheetName val="eq_data_????3"/>
      <sheetName val="PCC_EAF3"/>
      <sheetName val="PCC_LF3"/>
      <sheetName val="4-Basic_Price3"/>
      <sheetName val="_fdn_bm_pro_xls_기계공사비집계(珆꭭_3"/>
      <sheetName val="Finish_list3"/>
      <sheetName val="Dati_base3"/>
      <sheetName val="US_Inflation_Factors3"/>
      <sheetName val="Cover_Page3"/>
      <sheetName val="Unit__Price3"/>
      <sheetName val="자재집계_&amp;_총괄표3"/>
      <sheetName val="Engrg_Est3"/>
      <sheetName val="[fdn_bm_pro_xls]_fdn_bm_pro_x_4"/>
      <sheetName val="GASATAGG_XLS3"/>
      <sheetName val="BEND_LOSS3"/>
      <sheetName val="eq_data_4"/>
      <sheetName val="7_5_1(A)_Data12"/>
      <sheetName val="7_5_1(B)_BOQ_Breakdown12"/>
      <sheetName val="7_5_1(C)_Scope12"/>
      <sheetName val="7_5_1(D)_Basis12"/>
      <sheetName val="7_5_1(E)_Allowance12"/>
      <sheetName val="7_5_2_BOQ_Summary12"/>
      <sheetName val="7_5_3_BOQ12"/>
      <sheetName val="A__Erec_BOQ(Shop)12"/>
      <sheetName val="B__Erec_BOQ(Field)12"/>
      <sheetName val="C__Surface_Protection12"/>
      <sheetName val="A__Erec_BOQ(Shop)_(2)12"/>
      <sheetName val="B__Erec_BOQ(Field)_(2)12"/>
      <sheetName val="C__Surf_Protection12"/>
      <sheetName val="Attachment_#112"/>
      <sheetName val="Attachment_#212"/>
      <sheetName val="302_C112"/>
      <sheetName val="302_C212"/>
      <sheetName val="SUPPLY_(2)12"/>
      <sheetName val="RETURN_(2)12"/>
      <sheetName val="303_(2)12"/>
      <sheetName val="308_(2)12"/>
      <sheetName val="309_(2)12"/>
      <sheetName val="JUNCTION_BOX12"/>
      <sheetName val="PIPE_FITTING12"/>
      <sheetName val="TUBE_FITTING12"/>
      <sheetName val="CABLE_GLAND12"/>
      <sheetName val="CONS__EQUIP___12"/>
      <sheetName val="BLR_112"/>
      <sheetName val="REINF_12"/>
      <sheetName val="ITB_COST11"/>
      <sheetName val="97_사업추정(WEKI)11"/>
      <sheetName val="90EL_JACKET11"/>
      <sheetName val="보온_회사분11"/>
      <sheetName val="Cost_control11"/>
      <sheetName val="FIRE_FIGHTING11"/>
      <sheetName val="Tipo_Terzi10"/>
      <sheetName val="plan&amp;section_of_foundation10"/>
      <sheetName val="design_criteria10"/>
      <sheetName val="BM_DATA_SHEET10"/>
      <sheetName val="Mat_Stelo10"/>
      <sheetName val="Unit_SUM10"/>
      <sheetName val="1_설계기준9"/>
      <sheetName val="working_load_at_the_btm_ft_9"/>
      <sheetName val="stability_check9"/>
      <sheetName val="OUTER_AREA(겹침없음)9"/>
      <sheetName val="Material_Specification9"/>
      <sheetName val="special_item_양진규_작성9"/>
      <sheetName val="bill_29"/>
      <sheetName val="방유제용량_계산서9"/>
      <sheetName val="Break_Dw9"/>
      <sheetName val="표지_(2)9"/>
      <sheetName val="pile_bearing_capa_&amp;_arrenge9"/>
      <sheetName val="design_load9"/>
      <sheetName val="Fab__Skid9"/>
      <sheetName val="Sch_69"/>
      <sheetName val="INPUT_DATA9"/>
      <sheetName val="CAMP_OPERATING_COST9"/>
      <sheetName val="PERSONNEL_SETUP9"/>
      <sheetName val="LIST_OF_OFFICE_EQUIPMENT9"/>
      <sheetName val="STAFF&amp;INDIRECT_SALARY_-_SUMMAR9"/>
      <sheetName val="KOREAN_STAFF_SALARY_BREAKDOWN9"/>
      <sheetName val="WELFARE_COST_-_SITE9"/>
      <sheetName val="개시대사_(2)9"/>
      <sheetName val="입고장부_(4)9"/>
      <sheetName val="FEUILLE_INTERNE9"/>
      <sheetName val="COMPARISON_TABLE9"/>
      <sheetName val="L_V_Separator9"/>
      <sheetName val="CAMP_-_CONSTRUCTION9"/>
      <sheetName val="E_Rate_PM9"/>
      <sheetName val="Schedule_2_and_39"/>
      <sheetName val="CAL_9"/>
      <sheetName val="11_자재단가8"/>
      <sheetName val="1_OF_98"/>
      <sheetName val="Cover_sheet7"/>
      <sheetName val="BSD_(2)7"/>
      <sheetName val="TRAY_BM7"/>
      <sheetName val="Graph_(LGEN)7"/>
      <sheetName val="선적schedule_(2)7"/>
      <sheetName val="Summary_Sheets7"/>
      <sheetName val="품셈_7"/>
      <sheetName val="sc0314_Index7"/>
      <sheetName val="Resource_summary7"/>
      <sheetName val="배관물량_(STEEL)9"/>
      <sheetName val="Sheet_19"/>
      <sheetName val="w't_table7"/>
      <sheetName val="eq_data__x005f_x0000__x005f_x0000__x005f_x0000__7"/>
      <sheetName val="Struct-Grass_root7"/>
      <sheetName val="-15_07"/>
      <sheetName val="3_0_Overall_Progress_S-curve9"/>
      <sheetName val="3-4_SPI9"/>
      <sheetName val="General_Data9"/>
      <sheetName val="PRICE_COMP9"/>
      <sheetName val="A(Rev_3)9"/>
      <sheetName val="static_cal7"/>
      <sheetName val="crude_SLAB_RE-bar7"/>
      <sheetName val="7_6_3(B)_UG_Piping7"/>
      <sheetName val="PRICE_LIST7"/>
      <sheetName val="7_5_2_BOQ_Summary_7"/>
      <sheetName val="Rekap_A7"/>
      <sheetName val="paint_mat7"/>
      <sheetName val="VE_Estimate7"/>
      <sheetName val="TABLE2-2_OSBL-(SITE_PREP)7"/>
      <sheetName val="PAGE_27"/>
      <sheetName val="OFFER_RATE7"/>
      <sheetName val="Job_Data7"/>
      <sheetName val="Piping_Design_Data7"/>
      <sheetName val="Summary_20027"/>
      <sheetName val="ASME_B_36_10_M7"/>
      <sheetName val="Break_Down7"/>
      <sheetName val="Supervision_List7"/>
      <sheetName val="견적_집계7"/>
      <sheetName val="PULLING_SUPT등7"/>
      <sheetName val="Sheet1_(2)7"/>
      <sheetName val="PAGE_17"/>
      <sheetName val="_생산성_분석_체계_절차_xlsx7"/>
      <sheetName val="BQ_List7"/>
      <sheetName val="Page_107"/>
      <sheetName val="C급보_7"/>
      <sheetName val="Rectangular_Beam7"/>
      <sheetName val="간접비_총괄표7"/>
      <sheetName val="Eng_hour_DB7"/>
      <sheetName val="CRUDE_RE-bar7"/>
      <sheetName val="DUTCH_CONE7"/>
      <sheetName val="PAGE_3_GENERAL_DETAILS7"/>
      <sheetName val="적용_환율7"/>
      <sheetName val="GM_0007"/>
      <sheetName val="PRECAST_lightconc-II7"/>
      <sheetName val="Elect_(3)7"/>
      <sheetName val="Rev_No7"/>
      <sheetName val="COST_UP7"/>
      <sheetName val="PUMP_SHT7"/>
      <sheetName val="TENDER_PROG_7"/>
      <sheetName val="PROC_PROG7"/>
      <sheetName val="Block_D7"/>
      <sheetName val="2_Calculation_17"/>
      <sheetName val="Datasheet_GLL_double_weir_(1)7"/>
      <sheetName val="_7"/>
      <sheetName val="eq_data__x005f_x0000__x007"/>
      <sheetName val="33628-Rev__A7"/>
      <sheetName val="TYPE-B_평균H7"/>
      <sheetName val="6_공사비_내역_(가)7"/>
      <sheetName val="Sheet2_(2)7"/>
      <sheetName val="REF_ONLY6"/>
      <sheetName val="co-no_26"/>
      <sheetName val="Form_A_16"/>
      <sheetName val="Form_A_1_16"/>
      <sheetName val="BOM_Indirect6"/>
      <sheetName val="Form_A_1_II_26"/>
      <sheetName val="6_GSTG_PIPING6"/>
      <sheetName val="NONS__2,1896"/>
      <sheetName val="COMB_MNG&amp;STAFF_(ALL)__(2)6"/>
      <sheetName val="Reference_Table6"/>
      <sheetName val="CAL(1)_6"/>
      <sheetName val="member_design6"/>
      <sheetName val="soil_bearing_check6"/>
      <sheetName val="OCT_FDN6"/>
      <sheetName val="PRI_CIV6"/>
      <sheetName val="FOR_CIV6"/>
      <sheetName val="SUB_CIV6"/>
      <sheetName val="ANA_CIV6"/>
      <sheetName val="AUX_CIV6"/>
      <sheetName val="내역서_6"/>
      <sheetName val="hori__vessel(E-895)6"/>
      <sheetName val="2_36"/>
      <sheetName val="S_N6"/>
      <sheetName val="Loading_Table6"/>
      <sheetName val="SUMMARY_(0)7"/>
      <sheetName val="4_1구조설계6"/>
      <sheetName val="Pipelines_ASAB_I-II_Brownfield6"/>
      <sheetName val="MH_Estimation_Guide6"/>
      <sheetName val="공사비_내역_(가)6"/>
      <sheetName val="input_data-0909086"/>
      <sheetName val="HRG_BHN6"/>
      <sheetName val="Vent_Line_size6"/>
      <sheetName val="Expenses_per_Cost_Code_6"/>
      <sheetName val="Comp_Rate_6"/>
      <sheetName val="Analisa_HS6"/>
      <sheetName val="Section_1~4(1)6"/>
      <sheetName val="Section_1~4_6"/>
      <sheetName val="Section_56"/>
      <sheetName val="Section_5_26"/>
      <sheetName val="Section_5_36"/>
      <sheetName val="Section_66"/>
      <sheetName val="Section_6_26"/>
      <sheetName val="Attachment_16"/>
      <sheetName val="Attachmenet_26"/>
      <sheetName val="7_0_Crack_Check6"/>
      <sheetName val="축열조_기초6"/>
      <sheetName val="Fill_this_out_first___12"/>
      <sheetName val="Fill_this_out_first___13"/>
      <sheetName val="Forecast_Drivers6"/>
      <sheetName val="RAW_MATERIALS_6"/>
      <sheetName val="COST-PERSON-J_O_6"/>
      <sheetName val="MEASURE_LIST6"/>
      <sheetName val="Don_gia6"/>
      <sheetName val="COST-EST_LTI_P5C6"/>
      <sheetName val="SLEIPNER_-_ORMEN_LANGE6"/>
      <sheetName val="전기_BM_revA('090624)_xls6"/>
      <sheetName val="定额_(06)6"/>
      <sheetName val="Tie_Beam_GN4"/>
      <sheetName val="4_단락전류6"/>
      <sheetName val="system_&amp;_LOOK_UP_FUNC4"/>
      <sheetName val="Q5434_EQ_LIST6"/>
      <sheetName val="motor_power6"/>
      <sheetName val="Data_16"/>
      <sheetName val="4-3LEVEL-5_epic_46"/>
      <sheetName val="Unit_Cost6"/>
      <sheetName val="Coeff_6"/>
      <sheetName val="[fdn_bm_pro_xls]기계공사비집계(珆꭭/6"/>
      <sheetName val="96_124"/>
      <sheetName val="Exchange_rates6"/>
      <sheetName val="BID_FORM4"/>
      <sheetName val="Form_of_Bid4"/>
      <sheetName val="INST_LIST4"/>
      <sheetName val="Item_Dominan4"/>
      <sheetName val="Code_024"/>
      <sheetName val="Code_034"/>
      <sheetName val="Code_044"/>
      <sheetName val="Code_054"/>
      <sheetName val="Code_064"/>
      <sheetName val="Code_074"/>
      <sheetName val="Code_094"/>
      <sheetName val="4300_UTILITY_BLDG_(2)4"/>
      <sheetName val="Price_Breakdown(Building)4"/>
      <sheetName val="MANPOWER_DIRECT_TRACKING4"/>
      <sheetName val="Timescaled_Data4"/>
      <sheetName val="Home_Office4"/>
      <sheetName val="fdn_bm_pro_xls기계공사비집계(珆꭭4"/>
      <sheetName val="2-SITE_4"/>
      <sheetName val="eq_data_????4"/>
      <sheetName val="PCC_EAF4"/>
      <sheetName val="PCC_LF4"/>
      <sheetName val="4-Basic_Price4"/>
      <sheetName val="_fdn_bm_pro_xls_기계공사비집계(珆꭭_4"/>
      <sheetName val="Finish_list4"/>
      <sheetName val="Dati_base4"/>
      <sheetName val="US_Inflation_Factors4"/>
      <sheetName val="Cover_Page4"/>
      <sheetName val="Unit__Price4"/>
      <sheetName val="자재집계_&amp;_총괄표4"/>
      <sheetName val="Engrg_Est4"/>
      <sheetName val="[fdn_bm_pro_xls]_fdn_bm_pro_x_5"/>
      <sheetName val="GASATAGG_XLS4"/>
      <sheetName val="BEND_LOSS4"/>
      <sheetName val="eq_data_5"/>
      <sheetName val="7_5_1(A)_Data13"/>
      <sheetName val="7_5_1(B)_BOQ_Breakdown13"/>
      <sheetName val="7_5_1(C)_Scope13"/>
      <sheetName val="7_5_1(D)_Basis13"/>
      <sheetName val="7_5_1(E)_Allowance13"/>
      <sheetName val="7_5_2_BOQ_Summary13"/>
      <sheetName val="7_5_3_BOQ13"/>
      <sheetName val="A__Erec_BOQ(Shop)13"/>
      <sheetName val="B__Erec_BOQ(Field)13"/>
      <sheetName val="C__Surface_Protection13"/>
      <sheetName val="A__Erec_BOQ(Shop)_(2)13"/>
      <sheetName val="B__Erec_BOQ(Field)_(2)13"/>
      <sheetName val="C__Surf_Protection13"/>
      <sheetName val="Attachment_#113"/>
      <sheetName val="Attachment_#213"/>
      <sheetName val="302_C113"/>
      <sheetName val="302_C213"/>
      <sheetName val="SUPPLY_(2)13"/>
      <sheetName val="RETURN_(2)13"/>
      <sheetName val="303_(2)13"/>
      <sheetName val="308_(2)13"/>
      <sheetName val="309_(2)13"/>
      <sheetName val="JUNCTION_BOX13"/>
      <sheetName val="PIPE_FITTING13"/>
      <sheetName val="TUBE_FITTING13"/>
      <sheetName val="CABLE_GLAND13"/>
      <sheetName val="CONS__EQUIP___13"/>
      <sheetName val="BLR_113"/>
      <sheetName val="REINF_13"/>
      <sheetName val="ITB_COST12"/>
      <sheetName val="97_사업추정(WEKI)12"/>
      <sheetName val="90EL_JACKET12"/>
      <sheetName val="보온_회사분12"/>
      <sheetName val="Cost_control12"/>
      <sheetName val="FIRE_FIGHTING12"/>
      <sheetName val="Tipo_Terzi11"/>
      <sheetName val="plan&amp;section_of_foundation11"/>
      <sheetName val="design_criteria11"/>
      <sheetName val="BM_DATA_SHEET11"/>
      <sheetName val="Mat_Stelo11"/>
      <sheetName val="Unit_SUM11"/>
      <sheetName val="1_설계기준10"/>
      <sheetName val="working_load_at_the_btm_ft_10"/>
      <sheetName val="stability_check10"/>
      <sheetName val="OUTER_AREA(겹침없음)10"/>
      <sheetName val="Material_Specification10"/>
      <sheetName val="special_item_양진규_작성10"/>
      <sheetName val="bill_210"/>
      <sheetName val="방유제용량_계산서10"/>
      <sheetName val="Break_Dw10"/>
      <sheetName val="표지_(2)10"/>
      <sheetName val="pile_bearing_capa_&amp;_arrenge10"/>
      <sheetName val="design_load10"/>
      <sheetName val="Fab__Skid10"/>
      <sheetName val="Sch_610"/>
      <sheetName val="INPUT_DATA10"/>
      <sheetName val="CAMP_OPERATING_COST10"/>
      <sheetName val="PERSONNEL_SETUP10"/>
      <sheetName val="LIST_OF_OFFICE_EQUIPMENT10"/>
      <sheetName val="STAFF&amp;INDIRECT_SALARY_-_SUMMA10"/>
      <sheetName val="KOREAN_STAFF_SALARY_BREAKDOWN10"/>
      <sheetName val="WELFARE_COST_-_SITE10"/>
      <sheetName val="개시대사_(2)10"/>
      <sheetName val="입고장부_(4)10"/>
      <sheetName val="FEUILLE_INTERNE10"/>
      <sheetName val="COMPARISON_TABLE10"/>
      <sheetName val="L_V_Separator10"/>
      <sheetName val="CAMP_-_CONSTRUCTION10"/>
      <sheetName val="E_Rate_PM10"/>
      <sheetName val="Schedule_2_and_310"/>
      <sheetName val="CAL_10"/>
      <sheetName val="11_자재단가9"/>
      <sheetName val="1_OF_99"/>
      <sheetName val="Cover_sheet8"/>
      <sheetName val="BSD_(2)8"/>
      <sheetName val="TRAY_BM8"/>
      <sheetName val="Graph_(LGEN)8"/>
      <sheetName val="선적schedule_(2)8"/>
      <sheetName val="Summary_Sheets8"/>
      <sheetName val="품셈_8"/>
      <sheetName val="sc0314_Index8"/>
      <sheetName val="Resource_summary8"/>
      <sheetName val="배관물량_(STEEL)10"/>
      <sheetName val="Sheet_110"/>
      <sheetName val="w't_table8"/>
      <sheetName val="eq_data__x005f_x0000__x005f_x0000__x005f_x0000__8"/>
      <sheetName val="Struct-Grass_root8"/>
      <sheetName val="-15_08"/>
      <sheetName val="3_0_Overall_Progress_S-curve10"/>
      <sheetName val="3-4_SPI10"/>
      <sheetName val="General_Data10"/>
      <sheetName val="PRICE_COMP10"/>
      <sheetName val="A(Rev_3)10"/>
      <sheetName val="static_cal8"/>
      <sheetName val="crude_SLAB_RE-bar8"/>
      <sheetName val="7_6_3(B)_UG_Piping8"/>
      <sheetName val="PRICE_LIST8"/>
      <sheetName val="7_5_2_BOQ_Summary_8"/>
      <sheetName val="Rekap_A8"/>
      <sheetName val="paint_mat8"/>
      <sheetName val="VE_Estimate8"/>
      <sheetName val="TABLE2-2_OSBL-(SITE_PREP)8"/>
      <sheetName val="PAGE_28"/>
      <sheetName val="OFFER_RATE8"/>
      <sheetName val="Job_Data8"/>
      <sheetName val="Piping_Design_Data8"/>
      <sheetName val="Summary_20028"/>
      <sheetName val="ASME_B_36_10_M8"/>
      <sheetName val="Break_Down8"/>
      <sheetName val="Supervision_List8"/>
      <sheetName val="견적_집계8"/>
      <sheetName val="PULLING_SUPT등8"/>
      <sheetName val="Sheet1_(2)8"/>
      <sheetName val="PAGE_18"/>
      <sheetName val="_생산성_분석_체계_절차_xlsx8"/>
      <sheetName val="BQ_List8"/>
      <sheetName val="Page_108"/>
      <sheetName val="C급보_8"/>
      <sheetName val="Rectangular_Beam8"/>
      <sheetName val="간접비_총괄표8"/>
      <sheetName val="Eng_hour_DB8"/>
      <sheetName val="CRUDE_RE-bar8"/>
      <sheetName val="DUTCH_CONE8"/>
      <sheetName val="PAGE_3_GENERAL_DETAILS8"/>
      <sheetName val="적용_환율8"/>
      <sheetName val="GM_0008"/>
      <sheetName val="PRECAST_lightconc-II8"/>
      <sheetName val="Elect_(3)8"/>
      <sheetName val="Rev_No8"/>
      <sheetName val="COST_UP8"/>
      <sheetName val="PUMP_SHT8"/>
      <sheetName val="TENDER_PROG_8"/>
      <sheetName val="PROC_PROG8"/>
      <sheetName val="Block_D8"/>
      <sheetName val="2_Calculation_18"/>
      <sheetName val="Datasheet_GLL_double_weir_(1)8"/>
      <sheetName val="_8"/>
      <sheetName val="eq_data__x005f_x0000__x008"/>
      <sheetName val="33628-Rev__A8"/>
      <sheetName val="TYPE-B_평균H8"/>
      <sheetName val="6_공사비_내역_(가)8"/>
      <sheetName val="Sheet2_(2)8"/>
      <sheetName val="REF_ONLY7"/>
      <sheetName val="co-no_27"/>
      <sheetName val="Form_A_17"/>
      <sheetName val="Form_A_1_17"/>
      <sheetName val="BOM_Indirect7"/>
      <sheetName val="Form_A_1_II_27"/>
      <sheetName val="6_GSTG_PIPING7"/>
      <sheetName val="NONS__2,1897"/>
      <sheetName val="COMB_MNG&amp;STAFF_(ALL)__(2)7"/>
      <sheetName val="Reference_Table7"/>
      <sheetName val="CAL(1)_7"/>
      <sheetName val="member_design7"/>
      <sheetName val="soil_bearing_check7"/>
      <sheetName val="OCT_FDN7"/>
      <sheetName val="PRI_CIV7"/>
      <sheetName val="FOR_CIV7"/>
      <sheetName val="SUB_CIV7"/>
      <sheetName val="ANA_CIV7"/>
      <sheetName val="AUX_CIV7"/>
      <sheetName val="내역서_7"/>
      <sheetName val="hori__vessel(E-895)7"/>
      <sheetName val="2_37"/>
      <sheetName val="S_N7"/>
      <sheetName val="Loading_Table7"/>
      <sheetName val="SUMMARY_(0)8"/>
      <sheetName val="4_1구조설계7"/>
      <sheetName val="Pipelines_ASAB_I-II_Brownfield7"/>
      <sheetName val="MH_Estimation_Guide7"/>
      <sheetName val="공사비_내역_(가)7"/>
      <sheetName val="input_data-0909087"/>
      <sheetName val="HRG_BHN7"/>
      <sheetName val="Vent_Line_size7"/>
      <sheetName val="Expenses_per_Cost_Code_7"/>
      <sheetName val="Comp_Rate_7"/>
      <sheetName val="Analisa_HS7"/>
      <sheetName val="Section_1~4(1)7"/>
      <sheetName val="Section_1~4_7"/>
      <sheetName val="Section_57"/>
      <sheetName val="Section_5_27"/>
      <sheetName val="Section_5_37"/>
      <sheetName val="Section_67"/>
      <sheetName val="Section_6_27"/>
      <sheetName val="Attachment_17"/>
      <sheetName val="Attachmenet_27"/>
      <sheetName val="7_0_Crack_Check7"/>
      <sheetName val="축열조_기초7"/>
      <sheetName val="Fill_this_out_first___14"/>
      <sheetName val="Fill_this_out_first___15"/>
      <sheetName val="Forecast_Drivers7"/>
      <sheetName val="RAW_MATERIALS_7"/>
      <sheetName val="COST-PERSON-J_O_7"/>
      <sheetName val="MEASURE_LIST7"/>
      <sheetName val="Don_gia7"/>
      <sheetName val="COST-EST_LTI_P5C7"/>
      <sheetName val="SLEIPNER_-_ORMEN_LANGE7"/>
      <sheetName val="전기_BM_revA('090624)_xls7"/>
      <sheetName val="定额_(06)7"/>
      <sheetName val="Tie_Beam_GN5"/>
      <sheetName val="4_단락전류7"/>
      <sheetName val="system_&amp;_LOOK_UP_FUNC5"/>
      <sheetName val="Q5434_EQ_LIST7"/>
      <sheetName val="motor_power7"/>
      <sheetName val="Data_17"/>
      <sheetName val="4-3LEVEL-5_epic_47"/>
      <sheetName val="Unit_Cost7"/>
      <sheetName val="Coeff_7"/>
      <sheetName val="[fdn_bm_pro_xls]기계공사비집계(珆꭭/7"/>
      <sheetName val="96_125"/>
      <sheetName val="Exchange_rates7"/>
      <sheetName val="BID_FORM5"/>
      <sheetName val="Form_of_Bid5"/>
      <sheetName val="INST_LIST5"/>
      <sheetName val="Item_Dominan5"/>
      <sheetName val="Code_025"/>
      <sheetName val="Code_035"/>
      <sheetName val="Code_045"/>
      <sheetName val="Code_055"/>
      <sheetName val="Code_065"/>
      <sheetName val="Code_075"/>
      <sheetName val="Code_095"/>
      <sheetName val="4300_UTILITY_BLDG_(2)5"/>
      <sheetName val="Price_Breakdown(Building)5"/>
      <sheetName val="MANPOWER_DIRECT_TRACKING5"/>
      <sheetName val="Timescaled_Data5"/>
      <sheetName val="Home_Office5"/>
      <sheetName val="fdn_bm_pro_xls기계공사비집계(珆꭭5"/>
      <sheetName val="2-SITE_5"/>
      <sheetName val="eq_data_????5"/>
      <sheetName val="PCC_EAF5"/>
      <sheetName val="PCC_LF5"/>
      <sheetName val="4-Basic_Price5"/>
      <sheetName val="_fdn_bm_pro_xls_기계공사비집계(珆꭭_5"/>
      <sheetName val="Finish_list5"/>
      <sheetName val="Dati_base5"/>
      <sheetName val="US_Inflation_Factors5"/>
      <sheetName val="Cover_Page5"/>
      <sheetName val="Unit__Price5"/>
      <sheetName val="자재집계_&amp;_총괄표5"/>
      <sheetName val="Engrg_Est5"/>
      <sheetName val="[fdn_bm_pro_xls]_fdn_bm_pro_x_6"/>
      <sheetName val="GASATAGG_XLS5"/>
      <sheetName val="BEND_LOSS5"/>
      <sheetName val="eq_data_6"/>
      <sheetName val="7_5_1(A)_Data14"/>
      <sheetName val="7_5_1(B)_BOQ_Breakdown14"/>
      <sheetName val="7_5_1(C)_Scope14"/>
      <sheetName val="7_5_1(D)_Basis14"/>
      <sheetName val="7_5_1(E)_Allowance14"/>
      <sheetName val="7_5_2_BOQ_Summary14"/>
      <sheetName val="7_5_3_BOQ14"/>
      <sheetName val="A__Erec_BOQ(Shop)14"/>
      <sheetName val="B__Erec_BOQ(Field)14"/>
      <sheetName val="C__Surface_Protection14"/>
      <sheetName val="A__Erec_BOQ(Shop)_(2)14"/>
      <sheetName val="B__Erec_BOQ(Field)_(2)14"/>
      <sheetName val="C__Surf_Protection14"/>
      <sheetName val="Attachment_#114"/>
      <sheetName val="Attachment_#214"/>
      <sheetName val="302_C114"/>
      <sheetName val="302_C214"/>
      <sheetName val="SUPPLY_(2)14"/>
      <sheetName val="RETURN_(2)14"/>
      <sheetName val="303_(2)14"/>
      <sheetName val="308_(2)14"/>
      <sheetName val="309_(2)14"/>
      <sheetName val="JUNCTION_BOX14"/>
      <sheetName val="PIPE_FITTING14"/>
      <sheetName val="TUBE_FITTING14"/>
      <sheetName val="CABLE_GLAND14"/>
      <sheetName val="CONS__EQUIP___14"/>
      <sheetName val="BLR_114"/>
      <sheetName val="REINF_14"/>
      <sheetName val="ITB_COST13"/>
      <sheetName val="97_사업추정(WEKI)13"/>
      <sheetName val="90EL_JACKET13"/>
      <sheetName val="보온_회사분13"/>
      <sheetName val="Cost_control13"/>
      <sheetName val="FIRE_FIGHTING13"/>
      <sheetName val="Tipo_Terzi12"/>
      <sheetName val="plan&amp;section_of_foundation12"/>
      <sheetName val="design_criteria12"/>
      <sheetName val="BM_DATA_SHEET12"/>
      <sheetName val="Mat_Stelo12"/>
      <sheetName val="Unit_SUM12"/>
      <sheetName val="1_설계기준11"/>
      <sheetName val="working_load_at_the_btm_ft_11"/>
      <sheetName val="stability_check11"/>
      <sheetName val="OUTER_AREA(겹침없음)11"/>
      <sheetName val="Material_Specification11"/>
      <sheetName val="special_item_양진규_작성11"/>
      <sheetName val="bill_211"/>
      <sheetName val="방유제용량_계산서11"/>
      <sheetName val="Break_Dw11"/>
      <sheetName val="표지_(2)11"/>
      <sheetName val="pile_bearing_capa_&amp;_arrenge11"/>
      <sheetName val="design_load11"/>
      <sheetName val="Fab__Skid11"/>
      <sheetName val="Sch_611"/>
      <sheetName val="INPUT_DATA11"/>
      <sheetName val="CAMP_OPERATING_COST11"/>
      <sheetName val="PERSONNEL_SETUP11"/>
      <sheetName val="LIST_OF_OFFICE_EQUIPMENT11"/>
      <sheetName val="STAFF&amp;INDIRECT_SALARY_-_SUMMA11"/>
      <sheetName val="KOREAN_STAFF_SALARY_BREAKDOWN11"/>
      <sheetName val="WELFARE_COST_-_SITE11"/>
      <sheetName val="개시대사_(2)11"/>
      <sheetName val="입고장부_(4)11"/>
      <sheetName val="FEUILLE_INTERNE11"/>
      <sheetName val="COMPARISON_TABLE11"/>
      <sheetName val="L_V_Separator11"/>
      <sheetName val="CAMP_-_CONSTRUCTION11"/>
      <sheetName val="E_Rate_PM11"/>
      <sheetName val="Schedule_2_and_311"/>
      <sheetName val="CAL_11"/>
      <sheetName val="11_자재단가10"/>
      <sheetName val="1_OF_910"/>
      <sheetName val="Cover_sheet9"/>
      <sheetName val="BSD_(2)9"/>
      <sheetName val="TRAY_BM9"/>
      <sheetName val="Graph_(LGEN)9"/>
      <sheetName val="선적schedule_(2)9"/>
      <sheetName val="Summary_Sheets9"/>
      <sheetName val="품셈_9"/>
      <sheetName val="sc0314_Index9"/>
      <sheetName val="Resource_summary9"/>
      <sheetName val="배관물량_(STEEL)11"/>
      <sheetName val="Sheet_111"/>
      <sheetName val="w't_table9"/>
      <sheetName val="eq_data__x005f_x0000__x005f_x0000__x005f_x0000__9"/>
      <sheetName val="Struct-Grass_root9"/>
      <sheetName val="-15_09"/>
      <sheetName val="3_0_Overall_Progress_S-curve11"/>
      <sheetName val="3-4_SPI11"/>
      <sheetName val="General_Data11"/>
      <sheetName val="PRICE_COMP11"/>
      <sheetName val="A(Rev_3)11"/>
      <sheetName val="static_cal9"/>
      <sheetName val="crude_SLAB_RE-bar9"/>
      <sheetName val="7_6_3(B)_UG_Piping9"/>
      <sheetName val="PRICE_LIST9"/>
      <sheetName val="7_5_2_BOQ_Summary_9"/>
      <sheetName val="Rekap_A9"/>
      <sheetName val="paint_mat9"/>
      <sheetName val="VE_Estimate9"/>
      <sheetName val="TABLE2-2_OSBL-(SITE_PREP)9"/>
      <sheetName val="PAGE_29"/>
      <sheetName val="OFFER_RATE9"/>
      <sheetName val="Job_Data9"/>
      <sheetName val="Piping_Design_Data9"/>
      <sheetName val="Summary_20029"/>
      <sheetName val="ASME_B_36_10_M9"/>
      <sheetName val="Break_Down9"/>
      <sheetName val="Supervision_List9"/>
      <sheetName val="견적_집계9"/>
      <sheetName val="PULLING_SUPT등9"/>
      <sheetName val="Sheet1_(2)9"/>
      <sheetName val="PAGE_19"/>
      <sheetName val="_생산성_분석_체계_절차_xlsx9"/>
      <sheetName val="BQ_List9"/>
      <sheetName val="Page_109"/>
      <sheetName val="C급보_9"/>
      <sheetName val="Rectangular_Beam9"/>
      <sheetName val="간접비_총괄표9"/>
      <sheetName val="Eng_hour_DB9"/>
      <sheetName val="CRUDE_RE-bar9"/>
      <sheetName val="DUTCH_CONE9"/>
      <sheetName val="PAGE_3_GENERAL_DETAILS9"/>
      <sheetName val="적용_환율9"/>
      <sheetName val="GM_0009"/>
      <sheetName val="PRECAST_lightconc-II9"/>
      <sheetName val="Elect_(3)9"/>
      <sheetName val="Rev_No9"/>
      <sheetName val="COST_UP9"/>
      <sheetName val="PUMP_SHT9"/>
      <sheetName val="TENDER_PROG_9"/>
      <sheetName val="PROC_PROG9"/>
      <sheetName val="Block_D9"/>
      <sheetName val="2_Calculation_19"/>
      <sheetName val="Datasheet_GLL_double_weir_(1)9"/>
      <sheetName val="_9"/>
      <sheetName val="eq_data__x005f_x0000__x009"/>
      <sheetName val="33628-Rev__A9"/>
      <sheetName val="TYPE-B_평균H9"/>
      <sheetName val="6_공사비_내역_(가)9"/>
      <sheetName val="Sheet2_(2)9"/>
      <sheetName val="REF_ONLY8"/>
      <sheetName val="co-no_28"/>
      <sheetName val="Form_A_18"/>
      <sheetName val="Form_A_1_18"/>
      <sheetName val="BOM_Indirect8"/>
      <sheetName val="Form_A_1_II_28"/>
      <sheetName val="6_GSTG_PIPING8"/>
      <sheetName val="NONS__2,1898"/>
      <sheetName val="COMB_MNG&amp;STAFF_(ALL)__(2)8"/>
      <sheetName val="Reference_Table8"/>
      <sheetName val="CAL(1)_8"/>
      <sheetName val="member_design8"/>
      <sheetName val="soil_bearing_check8"/>
      <sheetName val="OCT_FDN8"/>
      <sheetName val="PRI_CIV8"/>
      <sheetName val="FOR_CIV8"/>
      <sheetName val="SUB_CIV8"/>
      <sheetName val="ANA_CIV8"/>
      <sheetName val="AUX_CIV8"/>
      <sheetName val="내역서_8"/>
      <sheetName val="hori__vessel(E-895)8"/>
      <sheetName val="2_38"/>
      <sheetName val="S_N8"/>
      <sheetName val="Loading_Table8"/>
      <sheetName val="SUMMARY_(0)9"/>
      <sheetName val="4_1구조설계8"/>
      <sheetName val="Pipelines_ASAB_I-II_Brownfield8"/>
      <sheetName val="MH_Estimation_Guide8"/>
      <sheetName val="공사비_내역_(가)8"/>
      <sheetName val="input_data-0909088"/>
      <sheetName val="HRG_BHN8"/>
      <sheetName val="Vent_Line_size8"/>
      <sheetName val="Expenses_per_Cost_Code_8"/>
      <sheetName val="Comp_Rate_8"/>
      <sheetName val="Analisa_HS8"/>
      <sheetName val="Section_1~4(1)8"/>
      <sheetName val="Section_1~4_8"/>
      <sheetName val="Section_58"/>
      <sheetName val="Section_5_28"/>
      <sheetName val="Section_5_38"/>
      <sheetName val="Section_68"/>
      <sheetName val="Section_6_28"/>
      <sheetName val="Attachment_18"/>
      <sheetName val="Attachmenet_28"/>
      <sheetName val="7_0_Crack_Check8"/>
      <sheetName val="축열조_기초8"/>
      <sheetName val="Fill_this_out_first___16"/>
      <sheetName val="Fill_this_out_first___17"/>
      <sheetName val="Forecast_Drivers8"/>
      <sheetName val="RAW_MATERIALS_8"/>
      <sheetName val="COST-PERSON-J_O_8"/>
      <sheetName val="MEASURE_LIST8"/>
      <sheetName val="Don_gia8"/>
      <sheetName val="COST-EST_LTI_P5C8"/>
      <sheetName val="SLEIPNER_-_ORMEN_LANGE8"/>
      <sheetName val="전기_BM_revA('090624)_xls8"/>
      <sheetName val="定额_(06)8"/>
      <sheetName val="Tie_Beam_GN6"/>
      <sheetName val="4_단락전류8"/>
      <sheetName val="system_&amp;_LOOK_UP_FUNC6"/>
      <sheetName val="Q5434_EQ_LIST8"/>
      <sheetName val="motor_power8"/>
      <sheetName val="Data_18"/>
      <sheetName val="4-3LEVEL-5_epic_48"/>
      <sheetName val="Unit_Cost8"/>
      <sheetName val="Coeff_8"/>
      <sheetName val="[fdn_bm_pro_xls]기계공사비집계(珆꭭/8"/>
      <sheetName val="96_126"/>
      <sheetName val="Exchange_rates8"/>
      <sheetName val="BID_FORM6"/>
      <sheetName val="Form_of_Bid6"/>
      <sheetName val="INST_LIST6"/>
      <sheetName val="Item_Dominan6"/>
      <sheetName val="Code_026"/>
      <sheetName val="Code_036"/>
      <sheetName val="Code_046"/>
      <sheetName val="Code_056"/>
      <sheetName val="Code_066"/>
      <sheetName val="Code_076"/>
      <sheetName val="Code_096"/>
      <sheetName val="4300_UTILITY_BLDG_(2)6"/>
      <sheetName val="Price_Breakdown(Building)6"/>
      <sheetName val="MANPOWER_DIRECT_TRACKING6"/>
      <sheetName val="Timescaled_Data6"/>
      <sheetName val="Home_Office6"/>
      <sheetName val="fdn_bm_pro_xls기계공사비집계(珆꭭6"/>
      <sheetName val="2-SITE_6"/>
      <sheetName val="eq_data_????6"/>
      <sheetName val="PCC_EAF6"/>
      <sheetName val="PCC_LF6"/>
      <sheetName val="4-Basic_Price6"/>
      <sheetName val="_fdn_bm_pro_xls_기계공사비집계(珆꭭_6"/>
      <sheetName val="Finish_list6"/>
      <sheetName val="Dati_base6"/>
      <sheetName val="US_Inflation_Factors6"/>
      <sheetName val="Cover_Page6"/>
      <sheetName val="Unit__Price6"/>
      <sheetName val="자재집계_&amp;_총괄표6"/>
      <sheetName val="Engrg_Est6"/>
      <sheetName val="[fdn_bm_pro_xls]_fdn_bm_pro_x_7"/>
      <sheetName val="GASATAGG_XLS6"/>
      <sheetName val="BEND_LOSS6"/>
      <sheetName val="eq_data_7"/>
      <sheetName val="PREMI"/>
      <sheetName val="직원동원SCH"/>
      <sheetName val="관람석제출"/>
      <sheetName val="GAJI"/>
      <sheetName val="Div26_-_Elect"/>
      <sheetName val="eq_data__x1"/>
      <sheetName val="2_4_1_Elec_BOQ"/>
      <sheetName val="2_4_1_Inst_BOQ"/>
      <sheetName val="PTF_Report"/>
      <sheetName val="InsertListDrawing_1_"/>
      <sheetName val="BILL_Of_QUANTITIES"/>
      <sheetName val="page_142"/>
      <sheetName val="H_Satuan"/>
      <sheetName val="6PILE__(돌출)"/>
      <sheetName val="tabulación_final"/>
      <sheetName val="예정공정표_(2)"/>
      <sheetName val="Sh"/>
      <sheetName val="ADMIN_TB-557066_00A"/>
      <sheetName val="LABORATORY_TB-557091_00A"/>
      <sheetName val="OME5_TB-557088-001_00A"/>
      <sheetName val="OME4_TB-557087-001_00A"/>
      <sheetName val="OME3_TB-557086-001_00A"/>
      <sheetName val="CMB_EMTS_TB-557084_00A"/>
      <sheetName val="SLCB_TB-557083-002_00B"/>
      <sheetName val="PIB9_TB-557082-003_00B"/>
      <sheetName val="PIB7_TB-557081-003_00B"/>
      <sheetName val="PIB6_TB-557080-003_00B"/>
      <sheetName val="PIB5_TB-557079-002_00B"/>
      <sheetName val="PIB4_TB-557078-002_00B"/>
      <sheetName val="PIB3_TB-557077-002_00B"/>
      <sheetName val="CCB_TB-557075-001_00B"/>
      <sheetName val="CCB_TB-557073-002_00B"/>
      <sheetName val="CCB_TB-557072-001_00A"/>
      <sheetName val="CCB_TB-557051_00B"/>
      <sheetName val="Budget_Weight_Instructions_A"/>
      <sheetName val="Basic_data"/>
      <sheetName val="Isolasi_Luar_Dalam"/>
      <sheetName val="Isolasi_Luar"/>
      <sheetName val="Sh"/>
      <sheetName val="EMPLOYMENT_CERTIFICATE"/>
      <sheetName val="Salary_cer"/>
      <sheetName val="Master_file"/>
      <sheetName val="eq_data _x005f_x005f_x005f_x0000__x005f_x005f_x00"/>
      <sheetName val="eq_data _x005f_x005f_x005f_x0000__x00"/>
      <sheetName val="eq_data__x005f_x005f_x005f_x0000__x005f_x005f_x00"/>
      <sheetName val="listes"/>
      <sheetName val="eq_data__x2"/>
      <sheetName val="page_1421"/>
      <sheetName val="InsertListDrawing_1_1"/>
      <sheetName val="BILL_Of_QUANTITIES1"/>
      <sheetName val="H_Satuan1"/>
      <sheetName val="Div26_-_Elect1"/>
      <sheetName val="2_4_1_Elec_BOQ1"/>
      <sheetName val="2_4_1_Inst_BOQ1"/>
      <sheetName val="PTF_Report1"/>
      <sheetName val="6PILE__(돌출)1"/>
      <sheetName val="tabulación_final1"/>
      <sheetName val="예정공정표_(2)1"/>
      <sheetName val="ADMIN_TB-557066_00A1"/>
      <sheetName val="LABORATORY_TB-557091_00A1"/>
      <sheetName val="OME5_TB-557088-001_00A1"/>
      <sheetName val="OME4_TB-557087-001_00A1"/>
      <sheetName val="OME3_TB-557086-001_00A1"/>
      <sheetName val="CMB_EMTS_TB-557084_00A1"/>
      <sheetName val="SLCB_TB-557083-002_00B1"/>
      <sheetName val="PIB9_TB-557082-003_00B1"/>
      <sheetName val="PIB7_TB-557081-003_00B1"/>
      <sheetName val="PIB6_TB-557080-003_00B1"/>
      <sheetName val="PIB5_TB-557079-002_00B1"/>
      <sheetName val="PIB4_TB-557078-002_00B1"/>
      <sheetName val="PIB3_TB-557077-002_00B1"/>
      <sheetName val="CCB_TB-557075-001_00B1"/>
      <sheetName val="CCB_TB-557073-002_00B1"/>
      <sheetName val="CCB_TB-557072-001_00A1"/>
      <sheetName val="CCB_TB-557051_00B1"/>
      <sheetName val="Budget_Weight_Instructions_A1"/>
      <sheetName val="Basic_data1"/>
      <sheetName val="Isolasi_Luar_Dalam1"/>
      <sheetName val="Isolasi_Luar1"/>
      <sheetName val="EMPLOYMENT_CERTIFICATE1"/>
      <sheetName val="Salary_cer1"/>
      <sheetName val="Master_file1"/>
      <sheetName val="eq_data__x3"/>
      <sheetName val="page_1422"/>
      <sheetName val="InsertListDrawing_1_2"/>
      <sheetName val="BILL_Of_QUANTITIES2"/>
      <sheetName val="H_Satuan2"/>
      <sheetName val="Div26_-_Elect2"/>
      <sheetName val="2_4_1_Elec_BOQ2"/>
      <sheetName val="2_4_1_Inst_BOQ2"/>
      <sheetName val="PTF_Report2"/>
      <sheetName val="6PILE__(돌출)2"/>
      <sheetName val="tabulación_final2"/>
      <sheetName val="예정공정표_(2)2"/>
      <sheetName val="ADMIN_TB-557066_00A2"/>
      <sheetName val="LABORATORY_TB-557091_00A2"/>
      <sheetName val="OME5_TB-557088-001_00A2"/>
      <sheetName val="OME4_TB-557087-001_00A2"/>
      <sheetName val="OME3_TB-557086-001_00A2"/>
      <sheetName val="CMB_EMTS_TB-557084_00A2"/>
      <sheetName val="SLCB_TB-557083-002_00B2"/>
      <sheetName val="PIB9_TB-557082-003_00B2"/>
      <sheetName val="PIB7_TB-557081-003_00B2"/>
      <sheetName val="PIB6_TB-557080-003_00B2"/>
      <sheetName val="PIB5_TB-557079-002_00B2"/>
      <sheetName val="PIB4_TB-557078-002_00B2"/>
      <sheetName val="PIB3_TB-557077-002_00B2"/>
      <sheetName val="CCB_TB-557075-001_00B2"/>
      <sheetName val="CCB_TB-557073-002_00B2"/>
      <sheetName val="CCB_TB-557072-001_00A2"/>
      <sheetName val="CCB_TB-557051_00B2"/>
      <sheetName val="Budget_Weight_Instructions_A2"/>
      <sheetName val="Basic_data2"/>
      <sheetName val="Isolasi_Luar_Dalam2"/>
      <sheetName val="Isolasi_Luar2"/>
      <sheetName val="EMPLOYMENT_CERTIFICATE2"/>
      <sheetName val="Salary_cer2"/>
      <sheetName val="Master_file2"/>
      <sheetName val="eq_data__x4"/>
      <sheetName val="page_1423"/>
      <sheetName val="InsertListDrawing_1_3"/>
      <sheetName val="BILL_Of_QUANTITIES3"/>
      <sheetName val="H_Satuan3"/>
      <sheetName val="Div26_-_Elect3"/>
      <sheetName val="2_4_1_Elec_BOQ3"/>
      <sheetName val="2_4_1_Inst_BOQ3"/>
      <sheetName val="PTF_Report3"/>
      <sheetName val="6PILE__(돌출)3"/>
      <sheetName val="tabulación_final3"/>
      <sheetName val="예정공정표_(2)3"/>
      <sheetName val="ADMIN_TB-557066_00A3"/>
      <sheetName val="LABORATORY_TB-557091_00A3"/>
      <sheetName val="OME5_TB-557088-001_00A3"/>
      <sheetName val="OME4_TB-557087-001_00A3"/>
      <sheetName val="OME3_TB-557086-001_00A3"/>
      <sheetName val="CMB_EMTS_TB-557084_00A3"/>
      <sheetName val="SLCB_TB-557083-002_00B3"/>
      <sheetName val="PIB9_TB-557082-003_00B3"/>
      <sheetName val="PIB7_TB-557081-003_00B3"/>
      <sheetName val="PIB6_TB-557080-003_00B3"/>
      <sheetName val="PIB5_TB-557079-002_00B3"/>
      <sheetName val="PIB4_TB-557078-002_00B3"/>
      <sheetName val="PIB3_TB-557077-002_00B3"/>
      <sheetName val="CCB_TB-557075-001_00B3"/>
      <sheetName val="CCB_TB-557073-002_00B3"/>
      <sheetName val="CCB_TB-557072-001_00A3"/>
      <sheetName val="CCB_TB-557051_00B3"/>
      <sheetName val="Budget_Weight_Instructions_A3"/>
      <sheetName val="Basic_data3"/>
      <sheetName val="Isolasi_Luar_Dalam3"/>
      <sheetName val="Isolasi_Luar3"/>
      <sheetName val="EMPLOYMENT_CERTIFICATE3"/>
      <sheetName val="Salary_cer3"/>
      <sheetName val="Master_file3"/>
      <sheetName val="eq_data__x5"/>
      <sheetName val="page_1424"/>
      <sheetName val="InsertListDrawing_1_4"/>
      <sheetName val="BILL_Of_QUANTITIES4"/>
      <sheetName val="H_Satuan4"/>
      <sheetName val="Div26_-_Elect4"/>
      <sheetName val="2_4_1_Elec_BOQ4"/>
      <sheetName val="2_4_1_Inst_BOQ4"/>
      <sheetName val="PTF_Report4"/>
      <sheetName val="6PILE__(돌출)4"/>
      <sheetName val="tabulación_final4"/>
      <sheetName val="예정공정표_(2)4"/>
      <sheetName val="ADMIN_TB-557066_00A4"/>
      <sheetName val="LABORATORY_TB-557091_00A4"/>
      <sheetName val="OME5_TB-557088-001_00A4"/>
      <sheetName val="OME4_TB-557087-001_00A4"/>
      <sheetName val="OME3_TB-557086-001_00A4"/>
      <sheetName val="CMB_EMTS_TB-557084_00A4"/>
      <sheetName val="SLCB_TB-557083-002_00B4"/>
      <sheetName val="PIB9_TB-557082-003_00B4"/>
      <sheetName val="PIB7_TB-557081-003_00B4"/>
      <sheetName val="PIB6_TB-557080-003_00B4"/>
      <sheetName val="PIB5_TB-557079-002_00B4"/>
      <sheetName val="PIB4_TB-557078-002_00B4"/>
      <sheetName val="PIB3_TB-557077-002_00B4"/>
      <sheetName val="CCB_TB-557075-001_00B4"/>
      <sheetName val="CCB_TB-557073-002_00B4"/>
      <sheetName val="CCB_TB-557072-001_00A4"/>
      <sheetName val="CCB_TB-557051_00B4"/>
      <sheetName val="Budget_Weight_Instructions_A4"/>
      <sheetName val="Basic_data4"/>
      <sheetName val="Isolasi_Luar_Dalam4"/>
      <sheetName val="Isolasi_Luar4"/>
      <sheetName val="EMPLOYMENT_CERTIFICATE4"/>
      <sheetName val="Salary_cer4"/>
      <sheetName val="Master_file4"/>
      <sheetName val="eq_data__x6"/>
      <sheetName val="page_1425"/>
      <sheetName val="InsertListDrawing_1_5"/>
      <sheetName val="BILL_Of_QUANTITIES5"/>
      <sheetName val="H_Satuan5"/>
      <sheetName val="Div26_-_Elect5"/>
      <sheetName val="2_4_1_Elec_BOQ5"/>
      <sheetName val="2_4_1_Inst_BOQ5"/>
      <sheetName val="PTF_Report5"/>
      <sheetName val="6PILE__(돌출)5"/>
      <sheetName val="tabulación_final5"/>
      <sheetName val="예정공정표_(2)5"/>
      <sheetName val="ADMIN_TB-557066_00A5"/>
      <sheetName val="LABORATORY_TB-557091_00A5"/>
      <sheetName val="OME5_TB-557088-001_00A5"/>
      <sheetName val="OME4_TB-557087-001_00A5"/>
      <sheetName val="OME3_TB-557086-001_00A5"/>
      <sheetName val="CMB_EMTS_TB-557084_00A5"/>
      <sheetName val="SLCB_TB-557083-002_00B5"/>
      <sheetName val="PIB9_TB-557082-003_00B5"/>
      <sheetName val="PIB7_TB-557081-003_00B5"/>
      <sheetName val="PIB6_TB-557080-003_00B5"/>
      <sheetName val="PIB5_TB-557079-002_00B5"/>
      <sheetName val="PIB4_TB-557078-002_00B5"/>
      <sheetName val="PIB3_TB-557077-002_00B5"/>
      <sheetName val="CCB_TB-557075-001_00B5"/>
      <sheetName val="CCB_TB-557073-002_00B5"/>
      <sheetName val="CCB_TB-557072-001_00A5"/>
      <sheetName val="CCB_TB-557051_00B5"/>
      <sheetName val="Budget_Weight_Instructions_A5"/>
      <sheetName val="Basic_data5"/>
      <sheetName val="Isolasi_Luar_Dalam5"/>
      <sheetName val="Isolasi_Luar5"/>
      <sheetName val="EMPLOYMENT_CERTIFICATE5"/>
      <sheetName val="Salary_cer5"/>
      <sheetName val="Master_file5"/>
      <sheetName val="COVER "/>
      <sheetName val="DTS schedule"/>
      <sheetName val="3.Procurement"/>
      <sheetName val="Prefab"/>
      <sheetName val="지수"/>
      <sheetName val="EQ USED (CORRECTED)"/>
      <sheetName val="설 계"/>
      <sheetName val="afis"/>
      <sheetName val="D&amp;W"/>
      <sheetName val="100"/>
      <sheetName val="104(1)a"/>
      <sheetName val="eq_data__x0000__x00"/>
      <sheetName val="CT-35"/>
      <sheetName val="CT-0.4KV"/>
      <sheetName val="[fdn_bm_pro.xls]_fdn_bm_pro_x_6"/>
      <sheetName val="[fdn_bm_pro.xls]_fdn_bm_pro_x_7"/>
      <sheetName val="[fdn_bm_pro.xls]_fdn_bm_pro_x_8"/>
      <sheetName val="eq_data_____"/>
      <sheetName val="_fdn_bm_pro_xls__fdn_bm_pro_x_2"/>
      <sheetName val="SYMBOL"/>
      <sheetName val="Spool Index"/>
      <sheetName val="Struktur Gas"/>
      <sheetName val="unitprice"/>
      <sheetName val="SEX"/>
      <sheetName val="CH"/>
      <sheetName val="AHS_Umum"/>
      <sheetName val="BILLING PROCESS"/>
      <sheetName val="Div2"/>
      <sheetName val="D7(1)"/>
      <sheetName val="Hardasar-PSJJ"/>
      <sheetName val="FORCE"/>
      <sheetName val="UPAH (2)"/>
      <sheetName val="Pekerjaan"/>
      <sheetName val="Analisa"/>
      <sheetName val="time"/>
      <sheetName val="PRIMARY LOAD"/>
      <sheetName val="DHS"/>
      <sheetName val="Anal"/>
      <sheetName val="RAB"/>
      <sheetName val="an-aspal"/>
      <sheetName val="REKAP"/>
      <sheetName val="부재력정리"/>
      <sheetName val="Rate"/>
      <sheetName val="pivot1"/>
      <sheetName val="ANALISA HARGA SATUAN"/>
      <sheetName val="Data-Pdk"/>
      <sheetName val="An-Lat"/>
      <sheetName val="dftr harga"/>
      <sheetName val="hrg. sat pek"/>
      <sheetName val="prhit tulangan"/>
      <sheetName val="Rekapitulasi"/>
      <sheetName val="vol pek"/>
      <sheetName val="Data-pendukung"/>
      <sheetName val="Anal-BM"/>
      <sheetName val="DRAIN DRUM PIT D-301"/>
      <sheetName val="hsd Alat"/>
      <sheetName val="urtek"/>
      <sheetName val="bill"/>
      <sheetName val="Daya"/>
      <sheetName val="10"/>
      <sheetName val="49일위"/>
      <sheetName val="22일위"/>
      <sheetName val="7_5_1(A)_Data15"/>
      <sheetName val="7_5_1(B)_BOQ_Breakdown15"/>
      <sheetName val="7_5_1(C)_Scope15"/>
      <sheetName val="7_5_1(D)_Basis15"/>
      <sheetName val="7_5_1(E)_Allowance15"/>
      <sheetName val="7_5_2_BOQ_Summary15"/>
      <sheetName val="7_5_3_BOQ15"/>
      <sheetName val="A__Erec_BOQ(Shop)15"/>
      <sheetName val="B__Erec_BOQ(Field)15"/>
      <sheetName val="C__Surface_Protection15"/>
      <sheetName val="A__Erec_BOQ(Shop)_(2)15"/>
      <sheetName val="B__Erec_BOQ(Field)_(2)15"/>
      <sheetName val="C__Surf_Protection15"/>
      <sheetName val="Attachment_#115"/>
      <sheetName val="Attachment_#215"/>
      <sheetName val="302_C115"/>
      <sheetName val="302_C215"/>
      <sheetName val="SUPPLY_(2)15"/>
      <sheetName val="RETURN_(2)15"/>
      <sheetName val="303_(2)15"/>
      <sheetName val="308_(2)15"/>
      <sheetName val="309_(2)15"/>
      <sheetName val="JUNCTION_BOX15"/>
      <sheetName val="PIPE_FITTING15"/>
      <sheetName val="TUBE_FITTING15"/>
      <sheetName val="CABLE_GLAND15"/>
      <sheetName val="CONS__EQUIP___15"/>
      <sheetName val="BLR_115"/>
      <sheetName val="REINF_15"/>
      <sheetName val="ITB_COST14"/>
      <sheetName val="97_사업추정(WEKI)14"/>
      <sheetName val="Cost_control14"/>
      <sheetName val="보온_회사분14"/>
      <sheetName val="90EL_JACKET14"/>
      <sheetName val="FIRE_FIGHTING14"/>
      <sheetName val="Tipo_Terzi13"/>
      <sheetName val="plan&amp;section_of_foundation13"/>
      <sheetName val="design_criteria13"/>
      <sheetName val="BM_DATA_SHEET13"/>
      <sheetName val="Mat_Stelo13"/>
      <sheetName val="Unit_SUM13"/>
      <sheetName val="working_load_at_the_btm_ft_12"/>
      <sheetName val="stability_check12"/>
      <sheetName val="OUTER_AREA(겹침없음)12"/>
      <sheetName val="1_설계기준12"/>
      <sheetName val="bill_212"/>
      <sheetName val="special_item_양진규_작성12"/>
      <sheetName val="Break_Dw12"/>
      <sheetName val="방유제용량_계산서12"/>
      <sheetName val="pile_bearing_capa_&amp;_arrenge12"/>
      <sheetName val="design_load12"/>
      <sheetName val="Fab__Skid12"/>
      <sheetName val="Material_Specification12"/>
      <sheetName val="개시대사_(2)12"/>
      <sheetName val="CAMP_OPERATING_COST12"/>
      <sheetName val="PERSONNEL_SETUP12"/>
      <sheetName val="LIST_OF_OFFICE_EQUIPMENT12"/>
      <sheetName val="STAFF&amp;INDIRECT_SALARY_-_SUMMA12"/>
      <sheetName val="KOREAN_STAFF_SALARY_BREAKDOWN12"/>
      <sheetName val="WELFARE_COST_-_SITE12"/>
      <sheetName val="Sch_612"/>
      <sheetName val="표지_(2)12"/>
      <sheetName val="INPUT_DATA12"/>
      <sheetName val="L_V_Separator12"/>
      <sheetName val="입고장부_(4)12"/>
      <sheetName val="FEUILLE_INTERNE12"/>
      <sheetName val="CAMP_-_CONSTRUCTION12"/>
      <sheetName val="E_Rate_PM12"/>
      <sheetName val="Schedule_2_and_312"/>
      <sheetName val="CAL_12"/>
      <sheetName val="BSD_(2)10"/>
      <sheetName val="TRAY_BM10"/>
      <sheetName val="COMPARISON_TABLE12"/>
      <sheetName val="Cover_sheet10"/>
      <sheetName val="11_자재단가11"/>
      <sheetName val="1_OF_911"/>
      <sheetName val="Graph_(LGEN)10"/>
      <sheetName val="선적schedule_(2)10"/>
      <sheetName val="Summary_Sheets10"/>
      <sheetName val="품셈_10"/>
      <sheetName val="sc0314_Index10"/>
      <sheetName val="Resource_summary10"/>
      <sheetName val="w't_table10"/>
      <sheetName val="eq_data__x005f_x0000__x005f_x0000__x005f_x0000_10"/>
      <sheetName val="General_Data12"/>
      <sheetName val="PRICE_COMP12"/>
      <sheetName val="A(Rev_3)12"/>
      <sheetName val="static_cal10"/>
      <sheetName val="crude_SLAB_RE-bar10"/>
      <sheetName val="7_6_3(B)_UG_Piping10"/>
      <sheetName val="PRICE_LIST10"/>
      <sheetName val="7_5_2_BOQ_Summary_10"/>
      <sheetName val="Rekap_A10"/>
      <sheetName val="paint_mat10"/>
      <sheetName val="VE_Estimate10"/>
      <sheetName val="TABLE2-2_OSBL-(SITE_PREP)10"/>
      <sheetName val="OFFER_RATE10"/>
      <sheetName val="Job_Data10"/>
      <sheetName val="Piping_Design_Data10"/>
      <sheetName val="Summary_200210"/>
      <sheetName val="ASME_B_36_10_M10"/>
      <sheetName val="배관물량_(STEEL)12"/>
      <sheetName val="Sheet_112"/>
      <sheetName val="3_0_Overall_Progress_S-curve12"/>
      <sheetName val="3-4_SPI12"/>
      <sheetName val="-15_010"/>
      <sheetName val="견적_집계10"/>
      <sheetName val="PULLING_SUPT등10"/>
      <sheetName val="Sheet1_(2)10"/>
      <sheetName val="PAGE_110"/>
      <sheetName val="_생산성_분석_체계_절차_xlsx10"/>
      <sheetName val="BQ_List10"/>
      <sheetName val="Struct-Grass_root10"/>
      <sheetName val="Break_Down10"/>
      <sheetName val="Supervision_List10"/>
      <sheetName val="PAGE_210"/>
      <sheetName val="Page_1010"/>
      <sheetName val="Tie_Beam_GN7"/>
      <sheetName val="system_&amp;_LOOK_UP_FUNC7"/>
      <sheetName val="96_127"/>
      <sheetName val="eq_data__x7"/>
      <sheetName val="page_1426"/>
      <sheetName val="InsertListDrawing_1_6"/>
      <sheetName val="BILL_Of_QUANTITIES6"/>
      <sheetName val="H_Satuan6"/>
      <sheetName val="Div26_-_Elect6"/>
      <sheetName val="2_4_1_Elec_BOQ6"/>
      <sheetName val="2_4_1_Inst_BOQ6"/>
      <sheetName val="PTF_Report6"/>
      <sheetName val="6PILE__(돌출)6"/>
      <sheetName val="tabulación_final6"/>
      <sheetName val="예정공정표_(2)6"/>
      <sheetName val="ADMIN_TB-557066_00A6"/>
      <sheetName val="LABORATORY_TB-557091_00A6"/>
      <sheetName val="OME5_TB-557088-001_00A6"/>
      <sheetName val="OME4_TB-557087-001_00A6"/>
      <sheetName val="OME3_TB-557086-001_00A6"/>
      <sheetName val="CMB_EMTS_TB-557084_00A6"/>
      <sheetName val="SLCB_TB-557083-002_00B6"/>
      <sheetName val="PIB9_TB-557082-003_00B6"/>
      <sheetName val="PIB7_TB-557081-003_00B6"/>
      <sheetName val="PIB6_TB-557080-003_00B6"/>
      <sheetName val="PIB5_TB-557079-002_00B6"/>
      <sheetName val="PIB4_TB-557078-002_00B6"/>
      <sheetName val="PIB3_TB-557077-002_00B6"/>
      <sheetName val="CCB_TB-557075-001_00B6"/>
      <sheetName val="CCB_TB-557073-002_00B6"/>
      <sheetName val="CCB_TB-557072-001_00A6"/>
      <sheetName val="CCB_TB-557051_00B6"/>
      <sheetName val="Budget_Weight_Instructions_A6"/>
      <sheetName val="Basic_data6"/>
      <sheetName val="Isolasi_Luar_Dalam6"/>
      <sheetName val="Isolasi_Luar6"/>
      <sheetName val="EMPLOYMENT_CERTIFICATE6"/>
      <sheetName val="Salary_cer6"/>
      <sheetName val="Master_file6"/>
      <sheetName val="7_5_1(A)_Data16"/>
      <sheetName val="7_5_1(B)_BOQ_Breakdown16"/>
      <sheetName val="7_5_1(C)_Scope16"/>
      <sheetName val="7_5_1(D)_Basis16"/>
      <sheetName val="7_5_1(E)_Allowance16"/>
      <sheetName val="7_5_2_BOQ_Summary16"/>
      <sheetName val="7_5_3_BOQ16"/>
      <sheetName val="A__Erec_BOQ(Shop)16"/>
      <sheetName val="B__Erec_BOQ(Field)16"/>
      <sheetName val="C__Surface_Protection16"/>
      <sheetName val="A__Erec_BOQ(Shop)_(2)16"/>
      <sheetName val="B__Erec_BOQ(Field)_(2)16"/>
      <sheetName val="C__Surf_Protection16"/>
      <sheetName val="Attachment_#116"/>
      <sheetName val="Attachment_#216"/>
      <sheetName val="302_C116"/>
      <sheetName val="302_C216"/>
      <sheetName val="SUPPLY_(2)16"/>
      <sheetName val="RETURN_(2)16"/>
      <sheetName val="303_(2)16"/>
      <sheetName val="308_(2)16"/>
      <sheetName val="309_(2)16"/>
      <sheetName val="JUNCTION_BOX16"/>
      <sheetName val="PIPE_FITTING16"/>
      <sheetName val="TUBE_FITTING16"/>
      <sheetName val="CABLE_GLAND16"/>
      <sheetName val="CONS__EQUIP___16"/>
      <sheetName val="BLR_116"/>
      <sheetName val="REINF_16"/>
      <sheetName val="ITB_COST15"/>
      <sheetName val="97_사업추정(WEKI)15"/>
      <sheetName val="Cost_control15"/>
      <sheetName val="보온_회사분15"/>
      <sheetName val="90EL_JACKET15"/>
      <sheetName val="FIRE_FIGHTING15"/>
      <sheetName val="Tipo_Terzi14"/>
      <sheetName val="plan&amp;section_of_foundation14"/>
      <sheetName val="design_criteria14"/>
      <sheetName val="BM_DATA_SHEET14"/>
      <sheetName val="Mat_Stelo14"/>
      <sheetName val="Unit_SUM14"/>
      <sheetName val="working_load_at_the_btm_ft_13"/>
      <sheetName val="stability_check13"/>
      <sheetName val="OUTER_AREA(겹침없음)13"/>
      <sheetName val="1_설계기준13"/>
      <sheetName val="bill_213"/>
      <sheetName val="special_item_양진규_작성13"/>
      <sheetName val="Break_Dw13"/>
      <sheetName val="방유제용량_계산서13"/>
      <sheetName val="pile_bearing_capa_&amp;_arrenge13"/>
      <sheetName val="design_load13"/>
      <sheetName val="Fab__Skid13"/>
      <sheetName val="Material_Specification13"/>
      <sheetName val="개시대사_(2)13"/>
      <sheetName val="CAMP_OPERATING_COST13"/>
      <sheetName val="PERSONNEL_SETUP13"/>
      <sheetName val="LIST_OF_OFFICE_EQUIPMENT13"/>
      <sheetName val="STAFF&amp;INDIRECT_SALARY_-_SUMMA13"/>
      <sheetName val="KOREAN_STAFF_SALARY_BREAKDOWN13"/>
      <sheetName val="WELFARE_COST_-_SITE13"/>
      <sheetName val="Sch_613"/>
      <sheetName val="표지_(2)13"/>
      <sheetName val="INPUT_DATA13"/>
      <sheetName val="L_V_Separator13"/>
      <sheetName val="입고장부_(4)13"/>
      <sheetName val="FEUILLE_INTERNE13"/>
      <sheetName val="CAMP_-_CONSTRUCTION13"/>
      <sheetName val="E_Rate_PM13"/>
      <sheetName val="Schedule_2_and_313"/>
      <sheetName val="CAL_13"/>
      <sheetName val="BSD_(2)11"/>
      <sheetName val="TRAY_BM11"/>
      <sheetName val="COMPARISON_TABLE13"/>
      <sheetName val="Cover_sheet11"/>
      <sheetName val="11_자재단가12"/>
      <sheetName val="1_OF_912"/>
      <sheetName val="Graph_(LGEN)11"/>
      <sheetName val="선적schedule_(2)11"/>
      <sheetName val="Summary_Sheets11"/>
      <sheetName val="품셈_11"/>
      <sheetName val="sc0314_Index11"/>
      <sheetName val="Resource_summary11"/>
      <sheetName val="w't_table11"/>
      <sheetName val="eq_data__x005f_x0000__x005f_x0000__x005f_x0000_11"/>
      <sheetName val="General_Data13"/>
      <sheetName val="PRICE_COMP13"/>
      <sheetName val="A(Rev_3)13"/>
      <sheetName val="static_cal11"/>
      <sheetName val="crude_SLAB_RE-bar11"/>
      <sheetName val="7_6_3(B)_UG_Piping11"/>
      <sheetName val="PRICE_LIST11"/>
      <sheetName val="7_5_2_BOQ_Summary_11"/>
      <sheetName val="Rekap_A11"/>
      <sheetName val="paint_mat11"/>
      <sheetName val="VE_Estimate11"/>
      <sheetName val="TABLE2-2_OSBL-(SITE_PREP)11"/>
      <sheetName val="OFFER_RATE11"/>
      <sheetName val="Job_Data11"/>
      <sheetName val="Piping_Design_Data11"/>
      <sheetName val="Summary_200211"/>
      <sheetName val="ASME_B_36_10_M11"/>
      <sheetName val="배관물량_(STEEL)13"/>
      <sheetName val="Sheet_113"/>
      <sheetName val="3_0_Overall_Progress_S-curve13"/>
      <sheetName val="3-4_SPI13"/>
      <sheetName val="-15_011"/>
      <sheetName val="견적_집계11"/>
      <sheetName val="PULLING_SUPT등11"/>
      <sheetName val="Sheet1_(2)11"/>
      <sheetName val="PAGE_111"/>
      <sheetName val="_생산성_분석_체계_절차_xlsx11"/>
      <sheetName val="BQ_List11"/>
      <sheetName val="Struct-Grass_root11"/>
      <sheetName val="Break_Down11"/>
      <sheetName val="Supervision_List11"/>
      <sheetName val="PAGE_211"/>
      <sheetName val="Page_1011"/>
      <sheetName val="간접비_총괄표10"/>
      <sheetName val="Eng_hour_DB10"/>
      <sheetName val="COST_UP10"/>
      <sheetName val="CRUDE_RE-bar10"/>
      <sheetName val="DUTCH_CONE10"/>
      <sheetName val="C급보_10"/>
      <sheetName val="PAGE_3_GENERAL_DETAILS10"/>
      <sheetName val="적용_환율10"/>
      <sheetName val="Rectangular_Beam10"/>
      <sheetName val="GM_00010"/>
      <sheetName val="PRECAST_lightconc-II10"/>
      <sheetName val="Rev_No10"/>
      <sheetName val="PUMP_SHT10"/>
      <sheetName val="Elect_(3)10"/>
      <sheetName val="TENDER_PROG_10"/>
      <sheetName val="PROC_PROG10"/>
      <sheetName val="2_Calculation_110"/>
      <sheetName val="Block_D10"/>
      <sheetName val="_10"/>
      <sheetName val="Datasheet_GLL_double_weir_(1)10"/>
      <sheetName val="eq_data__x005f_x0000__x0010"/>
      <sheetName val="33628-Rev__A10"/>
      <sheetName val="TYPE-B_평균H10"/>
      <sheetName val="Sheet2_(2)10"/>
      <sheetName val="6_공사비_내역_(가)10"/>
      <sheetName val="co-no_29"/>
      <sheetName val="Form_A_19"/>
      <sheetName val="Form_A_1_19"/>
      <sheetName val="BOM_Indirect9"/>
      <sheetName val="Form_A_1_II_29"/>
      <sheetName val="6_GSTG_PIPING9"/>
      <sheetName val="NONS__2,1899"/>
      <sheetName val="Reference_Table9"/>
      <sheetName val="CAL(1)_9"/>
      <sheetName val="member_design9"/>
      <sheetName val="soil_bearing_check9"/>
      <sheetName val="OCT_FDN9"/>
      <sheetName val="PRI_CIV9"/>
      <sheetName val="FOR_CIV9"/>
      <sheetName val="SUB_CIV9"/>
      <sheetName val="ANA_CIV9"/>
      <sheetName val="AUX_CIV9"/>
      <sheetName val="내역서_9"/>
      <sheetName val="hori__vessel(E-895)9"/>
      <sheetName val="2_39"/>
      <sheetName val="S_N9"/>
      <sheetName val="REF_ONLY9"/>
      <sheetName val="Loading_Table9"/>
      <sheetName val="SUMMARY_(0)10"/>
      <sheetName val="Vent_Line_size9"/>
      <sheetName val="Pipelines_ASAB_I-II_Brownfield9"/>
      <sheetName val="4_1구조설계9"/>
      <sheetName val="MH_Estimation_Guide9"/>
      <sheetName val="공사비_내역_(가)9"/>
      <sheetName val="input_data-0909089"/>
      <sheetName val="HRG_BHN9"/>
      <sheetName val="Fill_this_out_first___18"/>
      <sheetName val="Fill_this_out_first___19"/>
      <sheetName val="Expenses_per_Cost_Code_9"/>
      <sheetName val="Comp_Rate_9"/>
      <sheetName val="7_0_Crack_Check9"/>
      <sheetName val="축열조_기초9"/>
      <sheetName val="COMB_MNG&amp;STAFF_(ALL)__(2)9"/>
      <sheetName val="Q5434_EQ_LIST9"/>
      <sheetName val="motor_power9"/>
      <sheetName val="MEASURE_LIST9"/>
      <sheetName val="Don_gia9"/>
      <sheetName val="Section_1~4(1)9"/>
      <sheetName val="Section_1~4_9"/>
      <sheetName val="Section_59"/>
      <sheetName val="Section_5_29"/>
      <sheetName val="Section_5_39"/>
      <sheetName val="Section_69"/>
      <sheetName val="Section_6_29"/>
      <sheetName val="Attachment_19"/>
      <sheetName val="Attachmenet_29"/>
      <sheetName val="Forecast_Drivers9"/>
      <sheetName val="Data_19"/>
      <sheetName val="Unit_Cost9"/>
      <sheetName val="4-3LEVEL-5_epic_49"/>
      <sheetName val="Exchange_rates9"/>
      <sheetName val="Analisa_HS9"/>
      <sheetName val="COST-EST_LTI_P5C9"/>
      <sheetName val="SLEIPNER_-_ORMEN_LANGE9"/>
      <sheetName val="전기_BM_revA('090624)_xls9"/>
      <sheetName val="定额_(06)9"/>
      <sheetName val="Coeff_9"/>
      <sheetName val="RAW_MATERIALS_9"/>
      <sheetName val="COST-PERSON-J_O_9"/>
      <sheetName val="4_단락전류9"/>
      <sheetName val="[fdn_bm_pro_xls]기계공사비집계(珆꭭/9"/>
      <sheetName val="Tie_Beam_GN8"/>
      <sheetName val="system_&amp;_LOOK_UP_FUNC8"/>
      <sheetName val="96_128"/>
      <sheetName val="BID_FORM7"/>
      <sheetName val="Form_of_Bid7"/>
      <sheetName val="INST_LIST7"/>
      <sheetName val="Item_Dominan7"/>
      <sheetName val="2-SITE_7"/>
      <sheetName val="Finish_list7"/>
      <sheetName val="MANPOWER_DIRECT_TRACKING7"/>
      <sheetName val="Timescaled_Data7"/>
      <sheetName val="Home_Office7"/>
      <sheetName val="Code_027"/>
      <sheetName val="Code_037"/>
      <sheetName val="Code_047"/>
      <sheetName val="Code_057"/>
      <sheetName val="Code_067"/>
      <sheetName val="Code_077"/>
      <sheetName val="Code_097"/>
      <sheetName val="4300_UTILITY_BLDG_(2)7"/>
      <sheetName val="Price_Breakdown(Building)7"/>
      <sheetName val="Dati_base7"/>
      <sheetName val="US_Inflation_Factors7"/>
      <sheetName val="Cover_Page7"/>
      <sheetName val="PCC_EAF7"/>
      <sheetName val="PCC_LF7"/>
      <sheetName val="4-Basic_Price7"/>
      <sheetName val="_fdn_bm_pro_xls_기계공사비집계(珆꭭_7"/>
      <sheetName val="eq_data_????7"/>
      <sheetName val="Unit__Price7"/>
      <sheetName val="자재집계_&amp;_총괄표7"/>
      <sheetName val="[fdn_bm_pro_xls]_fdn_bm_pro_x_8"/>
      <sheetName val="Engrg_Est7"/>
      <sheetName val="eq_data_8"/>
      <sheetName val="eq_data__x8"/>
      <sheetName val="fdn_bm_pro_xls기계공사비집계(珆꭭7"/>
      <sheetName val="GASATAGG_XLS7"/>
      <sheetName val="page_1427"/>
      <sheetName val="InsertListDrawing_1_7"/>
      <sheetName val="BILL_Of_QUANTITIES7"/>
      <sheetName val="H_Satuan7"/>
      <sheetName val="Div26_-_Elect7"/>
      <sheetName val="2_4_1_Elec_BOQ7"/>
      <sheetName val="2_4_1_Inst_BOQ7"/>
      <sheetName val="PTF_Report7"/>
      <sheetName val="BEND_LOSS7"/>
      <sheetName val="6PILE__(돌출)7"/>
      <sheetName val="tabulación_final7"/>
      <sheetName val="예정공정표_(2)7"/>
      <sheetName val="ADMIN_TB-557066_00A7"/>
      <sheetName val="LABORATORY_TB-557091_00A7"/>
      <sheetName val="OME5_TB-557088-001_00A7"/>
      <sheetName val="OME4_TB-557087-001_00A7"/>
      <sheetName val="OME3_TB-557086-001_00A7"/>
      <sheetName val="CMB_EMTS_TB-557084_00A7"/>
      <sheetName val="SLCB_TB-557083-002_00B7"/>
      <sheetName val="PIB9_TB-557082-003_00B7"/>
      <sheetName val="PIB7_TB-557081-003_00B7"/>
      <sheetName val="PIB6_TB-557080-003_00B7"/>
      <sheetName val="PIB5_TB-557079-002_00B7"/>
      <sheetName val="PIB4_TB-557078-002_00B7"/>
      <sheetName val="PIB3_TB-557077-002_00B7"/>
      <sheetName val="CCB_TB-557075-001_00B7"/>
      <sheetName val="CCB_TB-557073-002_00B7"/>
      <sheetName val="CCB_TB-557072-001_00A7"/>
      <sheetName val="CCB_TB-557051_00B7"/>
      <sheetName val="Budget_Weight_Instructions_A7"/>
      <sheetName val="Basic_data7"/>
      <sheetName val="Isolasi_Luar_Dalam7"/>
      <sheetName val="Isolasi_Luar7"/>
      <sheetName val="EMPLOYMENT_CERTIFICATE7"/>
      <sheetName val="Salary_cer7"/>
      <sheetName val="Master_file7"/>
      <sheetName val="7_5_1(A)_Data17"/>
      <sheetName val="7_5_1(B)_BOQ_Breakdown17"/>
      <sheetName val="7_5_1(C)_Scope17"/>
      <sheetName val="7_5_1(D)_Basis17"/>
      <sheetName val="7_5_1(E)_Allowance17"/>
      <sheetName val="7_5_2_BOQ_Summary17"/>
      <sheetName val="7_5_3_BOQ17"/>
      <sheetName val="A__Erec_BOQ(Shop)17"/>
      <sheetName val="B__Erec_BOQ(Field)17"/>
      <sheetName val="C__Surface_Protection17"/>
      <sheetName val="A__Erec_BOQ(Shop)_(2)17"/>
      <sheetName val="B__Erec_BOQ(Field)_(2)17"/>
      <sheetName val="C__Surf_Protection17"/>
      <sheetName val="Attachment_#117"/>
      <sheetName val="Attachment_#217"/>
      <sheetName val="302_C117"/>
      <sheetName val="302_C217"/>
      <sheetName val="SUPPLY_(2)17"/>
      <sheetName val="RETURN_(2)17"/>
      <sheetName val="303_(2)17"/>
      <sheetName val="308_(2)17"/>
      <sheetName val="309_(2)17"/>
      <sheetName val="JUNCTION_BOX17"/>
      <sheetName val="PIPE_FITTING17"/>
      <sheetName val="TUBE_FITTING17"/>
      <sheetName val="CABLE_GLAND17"/>
      <sheetName val="CONS__EQUIP___17"/>
      <sheetName val="BLR_117"/>
      <sheetName val="REINF_17"/>
      <sheetName val="ITB_COST16"/>
      <sheetName val="97_사업추정(WEKI)16"/>
      <sheetName val="Cost_control16"/>
      <sheetName val="보온_회사분16"/>
      <sheetName val="90EL_JACKET16"/>
      <sheetName val="FIRE_FIGHTING16"/>
      <sheetName val="Tipo_Terzi15"/>
      <sheetName val="plan&amp;section_of_foundation15"/>
      <sheetName val="design_criteria15"/>
      <sheetName val="BM_DATA_SHEET15"/>
      <sheetName val="Mat_Stelo15"/>
      <sheetName val="Unit_SUM15"/>
      <sheetName val="working_load_at_the_btm_ft_14"/>
      <sheetName val="stability_check14"/>
      <sheetName val="OUTER_AREA(겹침없음)14"/>
      <sheetName val="1_설계기준14"/>
      <sheetName val="bill_214"/>
      <sheetName val="special_item_양진규_작성14"/>
      <sheetName val="Break_Dw14"/>
      <sheetName val="방유제용량_계산서14"/>
      <sheetName val="pile_bearing_capa_&amp;_arrenge14"/>
      <sheetName val="design_load14"/>
      <sheetName val="Fab__Skid14"/>
      <sheetName val="Material_Specification14"/>
      <sheetName val="개시대사_(2)14"/>
      <sheetName val="CAMP_OPERATING_COST14"/>
      <sheetName val="PERSONNEL_SETUP14"/>
      <sheetName val="LIST_OF_OFFICE_EQUIPMENT14"/>
      <sheetName val="STAFF&amp;INDIRECT_SALARY_-_SUMMA14"/>
      <sheetName val="KOREAN_STAFF_SALARY_BREAKDOWN14"/>
      <sheetName val="WELFARE_COST_-_SITE14"/>
      <sheetName val="Sch_614"/>
      <sheetName val="표지_(2)14"/>
      <sheetName val="INPUT_DATA14"/>
      <sheetName val="L_V_Separator14"/>
      <sheetName val="입고장부_(4)14"/>
      <sheetName val="FEUILLE_INTERNE14"/>
      <sheetName val="COMPARISON_TABLE14"/>
      <sheetName val="CAMP_-_CONSTRUCTION14"/>
      <sheetName val="E_Rate_PM14"/>
      <sheetName val="Schedule_2_and_314"/>
      <sheetName val="CAL_14"/>
      <sheetName val="11_자재단가13"/>
      <sheetName val="1_OF_913"/>
      <sheetName val="BSD_(2)12"/>
      <sheetName val="TRAY_BM12"/>
      <sheetName val="Cover_sheet12"/>
      <sheetName val="품셈_12"/>
      <sheetName val="Graph_(LGEN)12"/>
      <sheetName val="선적schedule_(2)12"/>
      <sheetName val="Summary_Sheets12"/>
      <sheetName val="sc0314_Index12"/>
      <sheetName val="Resource_summary12"/>
      <sheetName val="w't_table12"/>
      <sheetName val="eq_data__x005f_x0000__x005f_x0000__x005f_x0000_12"/>
      <sheetName val="General_Data14"/>
      <sheetName val="PRICE_COMP14"/>
      <sheetName val="A(Rev_3)14"/>
      <sheetName val="static_cal12"/>
      <sheetName val="crude_SLAB_RE-bar12"/>
      <sheetName val="7_6_3(B)_UG_Piping12"/>
      <sheetName val="PRICE_LIST12"/>
      <sheetName val="7_5_2_BOQ_Summary_12"/>
      <sheetName val="Rekap_A12"/>
      <sheetName val="paint_mat12"/>
      <sheetName val="VE_Estimate12"/>
      <sheetName val="TABLE2-2_OSBL-(SITE_PREP)12"/>
      <sheetName val="OFFER_RATE12"/>
      <sheetName val="Job_Data12"/>
      <sheetName val="Piping_Design_Data12"/>
      <sheetName val="Summary_200212"/>
      <sheetName val="ASME_B_36_10_M12"/>
      <sheetName val="배관물량_(STEEL)14"/>
      <sheetName val="Sheet_114"/>
      <sheetName val="3_0_Overall_Progress_S-curve14"/>
      <sheetName val="3-4_SPI14"/>
      <sheetName val="-15_012"/>
      <sheetName val="견적_집계12"/>
      <sheetName val="PULLING_SUPT등12"/>
      <sheetName val="Sheet1_(2)12"/>
      <sheetName val="PAGE_112"/>
      <sheetName val="_생산성_분석_체계_절차_xlsx12"/>
      <sheetName val="BQ_List12"/>
      <sheetName val="Struct-Grass_root12"/>
      <sheetName val="Break_Down12"/>
      <sheetName val="Supervision_List12"/>
      <sheetName val="Page_1012"/>
      <sheetName val="PAGE_212"/>
      <sheetName val="간접비_총괄표11"/>
      <sheetName val="Eng_hour_DB11"/>
      <sheetName val="CRUDE_RE-bar11"/>
      <sheetName val="DUTCH_CONE11"/>
      <sheetName val="C급보_11"/>
      <sheetName val="PAGE_3_GENERAL_DETAILS11"/>
      <sheetName val="적용_환율11"/>
      <sheetName val="Rectangular_Beam11"/>
      <sheetName val="COST_UP11"/>
      <sheetName val="GM_00011"/>
      <sheetName val="PRECAST_lightconc-II11"/>
      <sheetName val="Rev_No11"/>
      <sheetName val="PUMP_SHT11"/>
      <sheetName val="Elect_(3)11"/>
      <sheetName val="TENDER_PROG_11"/>
      <sheetName val="PROC_PROG11"/>
      <sheetName val="Block_D11"/>
      <sheetName val="2_Calculation_111"/>
      <sheetName val="Datasheet_GLL_double_weir_(1)11"/>
      <sheetName val="_11"/>
      <sheetName val="eq_data__x005f_x0000__x0011"/>
      <sheetName val="co-no_210"/>
      <sheetName val="33628-Rev__A11"/>
      <sheetName val="TYPE-B_평균H11"/>
      <sheetName val="6_공사비_내역_(가)11"/>
      <sheetName val="Sheet2_(2)11"/>
      <sheetName val="Form_A_110"/>
      <sheetName val="Form_A_1_110"/>
      <sheetName val="BOM_Indirect10"/>
      <sheetName val="Form_A_1_II_210"/>
      <sheetName val="6_GSTG_PIPING10"/>
      <sheetName val="NONS__2,18910"/>
      <sheetName val="Reference_Table10"/>
      <sheetName val="CAL(1)_10"/>
      <sheetName val="member_design10"/>
      <sheetName val="soil_bearing_check10"/>
      <sheetName val="OCT_FDN10"/>
      <sheetName val="PRI_CIV10"/>
      <sheetName val="FOR_CIV10"/>
      <sheetName val="SUB_CIV10"/>
      <sheetName val="ANA_CIV10"/>
      <sheetName val="AUX_CIV10"/>
      <sheetName val="내역서_10"/>
      <sheetName val="hori__vessel(E-895)10"/>
      <sheetName val="2_310"/>
      <sheetName val="S_N10"/>
      <sheetName val="REF_ONLY10"/>
      <sheetName val="Loading_Table10"/>
      <sheetName val="SUMMARY_(0)11"/>
      <sheetName val="Pipelines_ASAB_I-II_Brownfiel10"/>
      <sheetName val="Vent_Line_size10"/>
      <sheetName val="input_data-09090810"/>
      <sheetName val="Expenses_per_Cost_Code_10"/>
      <sheetName val="MH_Estimation_Guide10"/>
      <sheetName val="공사비_내역_(가)10"/>
      <sheetName val="HRG_BHN10"/>
      <sheetName val="Comp_Rate_10"/>
      <sheetName val="4_1구조설계10"/>
      <sheetName val="COMB_MNG&amp;STAFF_(ALL)__(2)10"/>
      <sheetName val="7_0_Crack_Check10"/>
      <sheetName val="축열조_기초10"/>
      <sheetName val="Fill_this_out_first___20"/>
      <sheetName val="Fill_this_out_first___21"/>
      <sheetName val="Data_110"/>
      <sheetName val="MEASURE_LIST10"/>
      <sheetName val="Don_gia10"/>
      <sheetName val="4-3LEVEL-5_epic_410"/>
      <sheetName val="Q5434_EQ_LIST10"/>
      <sheetName val="motor_power10"/>
      <sheetName val="Forecast_Drivers10"/>
      <sheetName val="Unit_Cost10"/>
      <sheetName val="Section_1~4(1)10"/>
      <sheetName val="Section_1~4_10"/>
      <sheetName val="Section_510"/>
      <sheetName val="Section_5_210"/>
      <sheetName val="Section_5_310"/>
      <sheetName val="Section_610"/>
      <sheetName val="Section_6_210"/>
      <sheetName val="Attachment_110"/>
      <sheetName val="Attachmenet_210"/>
      <sheetName val="Exchange_rates10"/>
      <sheetName val="COST-EST_LTI_P5C10"/>
      <sheetName val="SLEIPNER_-_ORMEN_LANGE10"/>
      <sheetName val="전기_BM_revA('090624)_xls10"/>
      <sheetName val="定额_(06)10"/>
      <sheetName val="96_129"/>
      <sheetName val="Analisa_HS10"/>
      <sheetName val="RAW_MATERIALS_10"/>
      <sheetName val="COST-PERSON-J_O_10"/>
      <sheetName val="Coeff_10"/>
      <sheetName val="Tie_Beam_GN9"/>
      <sheetName val="4_단락전류10"/>
      <sheetName val="system_&amp;_LOOK_UP_FUNC9"/>
      <sheetName val="[fdn_bm_pro_xls]기계공사비집계(珆꭭/10"/>
      <sheetName val="2-SITE_8"/>
      <sheetName val="BID_FORM8"/>
      <sheetName val="Form_of_Bid8"/>
      <sheetName val="Item_Dominan8"/>
      <sheetName val="INST_LIST8"/>
      <sheetName val="PCC_EAF8"/>
      <sheetName val="PCC_LF8"/>
      <sheetName val="4-Basic_Price8"/>
      <sheetName val="_fdn_bm_pro_xls_기계공사비집계(珆꭭_8"/>
      <sheetName val="MANPOWER_DIRECT_TRACKING8"/>
      <sheetName val="Timescaled_Data8"/>
      <sheetName val="Home_Office8"/>
      <sheetName val="Code_028"/>
      <sheetName val="Code_038"/>
      <sheetName val="Code_048"/>
      <sheetName val="Code_058"/>
      <sheetName val="Code_068"/>
      <sheetName val="Code_078"/>
      <sheetName val="Code_098"/>
      <sheetName val="4300_UTILITY_BLDG_(2)8"/>
      <sheetName val="Price_Breakdown(Building)8"/>
      <sheetName val="eq_data_????8"/>
      <sheetName val="자재집계_&amp;_총괄표8"/>
      <sheetName val="Finish_list8"/>
      <sheetName val="Engrg_Est8"/>
      <sheetName val="[fdn_bm_pro_xls]_fdn_bm_pro_x_9"/>
      <sheetName val="Dati_base8"/>
      <sheetName val="US_Inflation_Factors8"/>
      <sheetName val="Cover_Page8"/>
      <sheetName val="Unit__Price8"/>
      <sheetName val="eq_data_9"/>
      <sheetName val="eq_data__x9"/>
      <sheetName val="fdn_bm_pro_xls기계공사비집계(珆꭭8"/>
      <sheetName val="GASATAGG_XLS8"/>
      <sheetName val="page_1428"/>
      <sheetName val="InsertListDrawing_1_8"/>
      <sheetName val="BILL_Of_QUANTITIES8"/>
      <sheetName val="H_Satuan8"/>
      <sheetName val="Div26_-_Elect8"/>
      <sheetName val="2_4_1_Elec_BOQ8"/>
      <sheetName val="2_4_1_Inst_BOQ8"/>
      <sheetName val="PTF_Report8"/>
      <sheetName val="BEND_LOSS8"/>
      <sheetName val="6PILE__(돌출)8"/>
      <sheetName val="tabulación_final8"/>
      <sheetName val="예정공정표_(2)8"/>
      <sheetName val="ADMIN_TB-557066_00A8"/>
      <sheetName val="LABORATORY_TB-557091_00A8"/>
      <sheetName val="OME5_TB-557088-001_00A8"/>
      <sheetName val="OME4_TB-557087-001_00A8"/>
      <sheetName val="OME3_TB-557086-001_00A8"/>
      <sheetName val="CMB_EMTS_TB-557084_00A8"/>
      <sheetName val="SLCB_TB-557083-002_00B8"/>
      <sheetName val="PIB9_TB-557082-003_00B8"/>
      <sheetName val="PIB7_TB-557081-003_00B8"/>
      <sheetName val="PIB6_TB-557080-003_00B8"/>
      <sheetName val="PIB5_TB-557079-002_00B8"/>
      <sheetName val="PIB4_TB-557078-002_00B8"/>
      <sheetName val="PIB3_TB-557077-002_00B8"/>
      <sheetName val="CCB_TB-557075-001_00B8"/>
      <sheetName val="CCB_TB-557073-002_00B8"/>
      <sheetName val="CCB_TB-557072-001_00A8"/>
      <sheetName val="CCB_TB-557051_00B8"/>
      <sheetName val="Budget_Weight_Instructions_A8"/>
      <sheetName val="Basic_data8"/>
      <sheetName val="Isolasi_Luar_Dalam8"/>
      <sheetName val="Isolasi_Luar8"/>
      <sheetName val="EMPLOYMENT_CERTIFICATE8"/>
      <sheetName val="Salary_cer8"/>
      <sheetName val="Master_file8"/>
      <sheetName val="Line_dP"/>
      <sheetName val="Motor_Table"/>
      <sheetName val="_Input_"/>
      <sheetName val="Bend_fact_1"/>
      <sheetName val="E_1"/>
      <sheetName val="Unitwise_breakup"/>
      <sheetName val="rekap_c"/>
      <sheetName val="HARGA_MATERIAL"/>
      <sheetName val="BQ_Arsit"/>
      <sheetName val="An_HarSatPek"/>
      <sheetName val="Sat_Bah_&amp;_Up"/>
      <sheetName val="1_사업개요"/>
      <sheetName val="Site_Expenses"/>
      <sheetName val="Paint_-_Mat_Summ1"/>
      <sheetName val="Piling_&amp;_Tk_Fdn"/>
      <sheetName val="Data_Pembukaan_1_1"/>
      <sheetName val="Eq__Mobilization"/>
      <sheetName val="[fdn_bm_pro_xls]_fdn_bm_pro_x10"/>
      <sheetName val="[fdn_bm_pro_xls]_fdn_bm_pro_x11"/>
      <sheetName val="[fdn_bm_pro_xls]_fdn_bm_pro_x12"/>
      <sheetName val="eq_data__x005f_x005f_x005f_x0000__x005f_x005f_x01"/>
      <sheetName val="eq_data__x005f_x005f_x005f_x0000__x00"/>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refreshError="1"/>
      <sheetData sheetId="882" refreshError="1"/>
      <sheetData sheetId="883" refreshError="1"/>
      <sheetData sheetId="884" refreshError="1"/>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sheetData sheetId="102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sheetData sheetId="1187"/>
      <sheetData sheetId="1188" refreshError="1"/>
      <sheetData sheetId="1189" refreshError="1"/>
      <sheetData sheetId="1190" refreshError="1"/>
      <sheetData sheetId="1191" refreshError="1"/>
      <sheetData sheetId="1192"/>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refreshError="1"/>
      <sheetData sheetId="1631" refreshError="1"/>
      <sheetData sheetId="1632" refreshError="1"/>
      <sheetData sheetId="1633"/>
      <sheetData sheetId="1634"/>
      <sheetData sheetId="1635"/>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sheetData sheetId="1661"/>
      <sheetData sheetId="1662" refreshError="1"/>
      <sheetData sheetId="1663" refreshError="1"/>
      <sheetData sheetId="1664" refreshError="1"/>
      <sheetData sheetId="1665" refreshError="1"/>
      <sheetData sheetId="1666" refreshError="1"/>
      <sheetData sheetId="1667" refreshError="1"/>
      <sheetData sheetId="1668"/>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sheetData sheetId="1730"/>
      <sheetData sheetId="1731"/>
      <sheetData sheetId="1732"/>
      <sheetData sheetId="1733"/>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sheetData sheetId="1766" refreshError="1"/>
      <sheetData sheetId="1767" refreshError="1"/>
      <sheetData sheetId="1768"/>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sheetData sheetId="1792" refreshError="1"/>
      <sheetData sheetId="1793" refreshError="1"/>
      <sheetData sheetId="1794" refreshError="1"/>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refreshError="1"/>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refreshError="1"/>
      <sheetData sheetId="1959"/>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refreshError="1"/>
      <sheetData sheetId="3565" refreshError="1"/>
      <sheetData sheetId="3566" refreshError="1"/>
      <sheetData sheetId="3567" refreshError="1"/>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sheetData sheetId="3764"/>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mpSpec"/>
      <sheetName val="Motor Rating"/>
      <sheetName val="INSTR"/>
      <sheetName val="Sheet2"/>
      <sheetName val="Sheet1"/>
      <sheetName val="PRO_A"/>
      <sheetName val="DWG"/>
      <sheetName val="ELEC_MCI"/>
      <sheetName val="MAIN"/>
      <sheetName val="INST_MCI"/>
      <sheetName val="MECH_MCI"/>
      <sheetName val="PRO"/>
      <sheetName val="h-013211-2"/>
      <sheetName val="영업소실적"/>
      <sheetName val="수량산출서"/>
      <sheetName val="eq_data"/>
      <sheetName val="Checks"/>
      <sheetName val="LOOKUP"/>
      <sheetName val="TIE-INS"/>
      <sheetName val="Graph (LGEN)"/>
      <sheetName val="out_prog"/>
      <sheetName val="선적schedule (2)"/>
      <sheetName val="정부노임단가"/>
      <sheetName val="환율"/>
      <sheetName val="Basic"/>
      <sheetName val="Conduit"/>
      <sheetName val="item I"/>
      <sheetName val="BQ List"/>
      <sheetName val="Instruction"/>
      <sheetName val="적용환율"/>
      <sheetName val="BM"/>
      <sheetName val="Motor_Rating"/>
      <sheetName val="Database"/>
      <sheetName val="SUMMARY"/>
      <sheetName val="할증 "/>
      <sheetName val="piping"/>
      <sheetName val="motor pump kw"/>
      <sheetName val="Wt of Mod."/>
      <sheetName val="Equipment"/>
      <sheetName val="look"/>
      <sheetName val="97 사업추정(WEKI)"/>
      <sheetName val="공사내역"/>
      <sheetName val="Total"/>
      <sheetName val="mhr"/>
      <sheetName val="mom"/>
      <sheetName val="mhrscaff"/>
      <sheetName val="ind"/>
      <sheetName val="TABLE2"/>
      <sheetName val="집계표"/>
      <sheetName val="금액내역서"/>
      <sheetName val="공사비_NDE"/>
      <sheetName val="E_Rate "/>
      <sheetName val="Lookup Table"/>
      <sheetName val="견적내역서"/>
      <sheetName val="PRO_DCI"/>
      <sheetName val="ASME B 36.10 M"/>
      <sheetName val="집계"/>
      <sheetName val="내역"/>
      <sheetName val="Basis"/>
      <sheetName val="수입"/>
      <sheetName val="표지"/>
      <sheetName val="A"/>
      <sheetName val="BM DATA SHEET"/>
      <sheetName val="Steam-Sys"/>
      <sheetName val="SILICATE"/>
      <sheetName val="견적기준"/>
      <sheetName val="DATA"/>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ual"/>
      <sheetName val="equipment"/>
      <sheetName val="eq_data"/>
      <sheetName val="out_put"/>
      <sheetName val="drawing"/>
      <sheetName val="Loading"/>
      <sheetName val="Sheet1"/>
      <sheetName val="Sheet2"/>
      <sheetName val="Sheet3"/>
      <sheetName val="ELEC_DCI"/>
      <sheetName val="INST_DCI"/>
    </sheetNames>
    <sheetDataSet>
      <sheetData sheetId="0"/>
      <sheetData sheetId="1"/>
      <sheetData sheetId="2" refreshError="1"/>
      <sheetData sheetId="3"/>
      <sheetData sheetId="4"/>
      <sheetData sheetId="5"/>
      <sheetData sheetId="6"/>
      <sheetData sheetId="7"/>
      <sheetData sheetId="8"/>
      <sheetData sheetId="9" refreshError="1"/>
      <sheetData sheetId="1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brev-1"/>
      <sheetName val="abbrev-2"/>
      <sheetName val="ISBL"/>
      <sheetName val="OSBL"/>
      <sheetName val="TLOOP"/>
      <sheetName val="내역"/>
      <sheetName val="PumpSpec"/>
      <sheetName val="영업소실적"/>
      <sheetName val="대비"/>
      <sheetName val="eq_data"/>
      <sheetName val="Sheet1"/>
      <sheetName val="내역서"/>
      <sheetName val="sc0314 Index"/>
      <sheetName val="L V Separator"/>
      <sheetName val="CalcRel"/>
      <sheetName val="FR"/>
      <sheetName val="Summary"/>
      <sheetName val="DWTables"/>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영업소실적"/>
      <sheetName val="Basic"/>
    </sheetNames>
    <sheetDataSet>
      <sheetData sheetId="0"/>
      <sheetData sheetId="1"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영업소실적"/>
      <sheetName val="손익차9월2"/>
      <sheetName val="eq_data"/>
      <sheetName val="TOTAL"/>
      <sheetName val="Basic"/>
    </sheetNames>
    <sheetDataSet>
      <sheetData sheetId="0"/>
      <sheetData sheetId="1" refreshError="1"/>
      <sheetData sheetId="2" refreshError="1"/>
      <sheetData sheetId="3" refreshError="1"/>
      <sheetData sheetId="4"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IVITY"/>
      <sheetName val="PumpSpec"/>
    </sheetNames>
    <sheetDataSet>
      <sheetData sheetId="0" refreshError="1"/>
      <sheetData sheetId="1"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조건(국내가)"/>
      <sheetName val="견적조건(PROPOSAL)"/>
      <sheetName val="Table"/>
      <sheetName val="DOMESTIC"/>
      <sheetName val="PIVOT"/>
      <sheetName val="SUMMARY"/>
      <sheetName val="Proposal"/>
      <sheetName val="PIVOT (2)"/>
      <sheetName val="SUMMARY (2)"/>
      <sheetName val="PUMP"/>
      <sheetName val="수량집계"/>
      <sheetName val="총괄집계표"/>
      <sheetName val="기본단가"/>
      <sheetName val="#2_일위대가목록"/>
      <sheetName val="BQ"/>
      <sheetName val="말뚝물량"/>
      <sheetName val="목록"/>
      <sheetName val="노임"/>
      <sheetName val="Sheet5"/>
      <sheetName val="General Data"/>
      <sheetName val="eq_data"/>
      <sheetName val="예산M12A"/>
      <sheetName val="노임단가"/>
      <sheetName val="PBS"/>
      <sheetName val="PumpSpec"/>
      <sheetName val="PIVOT_(2)"/>
      <sheetName val="SUMMARY_(2)"/>
      <sheetName val="General_Data"/>
      <sheetName val="sc0314 Index"/>
      <sheetName val="Sheet1"/>
      <sheetName val="영업소실적"/>
      <sheetName val="EQUIPMENT"/>
      <sheetName val="EQCOST_1"/>
      <sheetName val="내역"/>
      <sheetName val="CAT_5"/>
      <sheetName val="6,000"/>
      <sheetName val="CAL."/>
      <sheetName val="표지"/>
      <sheetName val="적용환율"/>
      <sheetName val="97 사업추정(WEKI)"/>
      <sheetName val="수량산출서"/>
      <sheetName val="FSC_Cost"/>
      <sheetName val="Sheet4"/>
      <sheetName val="Basic"/>
      <sheetName val="test1"/>
      <sheetName val="Concrete_Works"/>
      <sheetName val="Earth_Zim"/>
      <sheetName val="도"/>
      <sheetName val="Proposal?_x0008_"/>
      <sheetName val="Proposal?."/>
      <sheetName val="IO per P&amp;ID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データ"/>
      <sheetName val="方法"/>
      <sheetName val="ブランクフォーム"/>
      <sheetName val="INST LIST"/>
      <sheetName val="項目抜き出し"/>
    </sheetNames>
    <definedNames>
      <definedName name="GoForm"/>
      <definedName name="GoSpec"/>
      <definedName name="GoTop"/>
    </definedNames>
    <sheetDataSet>
      <sheetData sheetId="0" refreshError="1"/>
      <sheetData sheetId="1" refreshError="1"/>
      <sheetData sheetId="2" refreshError="1"/>
      <sheetData sheetId="3" refreshError="1"/>
      <sheetData sheetId="4"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013211-2"/>
      <sheetName val="ACTIVITY"/>
      <sheetName val="eq_data"/>
      <sheetName val="Compare-1"/>
      <sheetName val="GeneralNote"/>
      <sheetName val="INSTR"/>
      <sheetName val="영업소실적"/>
      <sheetName val="Proposal"/>
      <sheetName val="MAIN"/>
      <sheetName val="PRO_A"/>
      <sheetName val="PRO"/>
      <sheetName val="수입"/>
      <sheetName val="ELEC_DCI"/>
      <sheetName val="INST_DCI"/>
      <sheetName val="PumpSpec"/>
      <sheetName val="95삼성급(본사)"/>
      <sheetName val="Sheet1"/>
      <sheetName val="Sheet2"/>
      <sheetName val="E_Rate "/>
    </sheetNames>
    <definedNames>
      <definedName name="GoForm"/>
      <definedName name="GoSpec"/>
      <definedName name="GoTop"/>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3003C"/>
      <sheetName val="FIL-3003R"/>
      <sheetName val="정부노임단가"/>
      <sheetName val="FIL-3003CV"/>
    </sheetNames>
    <definedNames>
      <definedName name="GoList"/>
      <definedName name="MENU"/>
    </definedNames>
    <sheetDataSet>
      <sheetData sheetId="0"/>
      <sheetData sheetId="1"/>
      <sheetData sheetId="2" refreshError="1"/>
      <sheetData sheetId="3"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IVITY"/>
      <sheetName val="Concrete"/>
      <sheetName val="CCP,LEYES, Y DEC."/>
      <sheetName val="GeneralNote"/>
      <sheetName val="eq_data"/>
      <sheetName val="BM DATA SHEET"/>
      <sheetName val="D-3503"/>
      <sheetName val="TTL"/>
      <sheetName val="Look-Up"/>
      <sheetName val="PumpSpec"/>
      <sheetName val="내역서"/>
      <sheetName val="차액보증"/>
      <sheetName val="다이꾸"/>
      <sheetName val="경비2내역"/>
      <sheetName val="주관사업"/>
      <sheetName val="Sheet2"/>
      <sheetName val="Sheet1"/>
      <sheetName val="영업소실적"/>
      <sheetName val="h-013211-2"/>
      <sheetName val="DATA"/>
    </sheetNames>
    <definedNames>
      <definedName name="GoList"/>
      <definedName name="MENU"/>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G. CONDITION"/>
      <sheetName val="견적 조건"/>
      <sheetName val="Table"/>
      <sheetName val="BQ"/>
      <sheetName val="가설전기"/>
      <sheetName val="Pivot"/>
      <sheetName val="SUMMARY"/>
      <sheetName val="OCT.FDN"/>
      <sheetName val="공사비 내역 (가)"/>
      <sheetName val="계산근거"/>
      <sheetName val="Proposal"/>
      <sheetName val="일위대가"/>
      <sheetName val="Sheet1"/>
      <sheetName val="정부노임단가"/>
      <sheetName val="도급양식"/>
      <sheetName val="ZA0092-E0"/>
      <sheetName val="DEG__CONDITION"/>
      <sheetName val="견적_조건"/>
      <sheetName val="OCT_FDN"/>
      <sheetName val="공사비_내역_(가)"/>
      <sheetName val="UOP 508 PG 2-9"/>
      <sheetName val="cable"/>
      <sheetName val="D-3503"/>
      <sheetName val="GEN PROG"/>
      <sheetName val="TOTAL MHRS"/>
      <sheetName val="REG-BASIS"/>
      <sheetName val="TENDER PROG."/>
      <sheetName val="PROC.PROG"/>
      <sheetName val="DET.ENGG.PROG"/>
      <sheetName val="CAL."/>
      <sheetName val="회사99"/>
      <sheetName val="예산M12A"/>
      <sheetName val="Filter Spec."/>
      <sheetName val="조도계산서 (도서)"/>
      <sheetName val="Y-WORK"/>
      <sheetName val="BQ?월23일 10시40분)."/>
      <sheetName val="UOP_508_PG_2-9"/>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수주내역"/>
      <sheetName val="공사비_NDE"/>
      <sheetName val="세금자료"/>
      <sheetName val="본지점중"/>
      <sheetName val="Units"/>
      <sheetName val="Instructions"/>
      <sheetName val="정부노임단가"/>
      <sheetName val="개시대사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LOWDOWN"/>
      <sheetName val="정부노임단가"/>
      <sheetName val="Units"/>
      <sheetName val="Instructions"/>
    </sheetNames>
    <sheetDataSet>
      <sheetData sheetId="0" refreshError="1"/>
      <sheetData sheetId="1" refreshError="1"/>
      <sheetData sheetId="2" refreshError="1"/>
      <sheetData sheetId="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dex"/>
      <sheetName val="Description"/>
      <sheetName val="Process"/>
      <sheetName val="Mechanical"/>
      <sheetName val="Elec"/>
      <sheetName val="Civil"/>
      <sheetName val="ProcurementService"/>
      <sheetName val="작성시 유의사항"/>
      <sheetName val="INSTR"/>
      <sheetName val="OUT"/>
      <sheetName val="IT-BAT"/>
      <sheetName val="FC-06"/>
      <sheetName val="UTIL(SORT)"/>
      <sheetName val="공통가설"/>
      <sheetName val="SIZING"/>
      <sheetName val="PRC-SUM"/>
      <sheetName val="PRO_DCI"/>
      <sheetName val="Units"/>
      <sheetName val="Instructions"/>
      <sheetName val="Engineering_WBS_em심화과정송부용_수정"/>
      <sheetName val="영업소실적"/>
      <sheetName val="BOM"/>
      <sheetName val="eq_data"/>
      <sheetName val="설계예산서1"/>
      <sheetName val="names"/>
      <sheetName val="#REF"/>
      <sheetName val="간접비 총괄표"/>
      <sheetName val="Factor"/>
      <sheetName val="Mech CIF"/>
      <sheetName val="BOQ"/>
      <sheetName val="RIE"/>
      <sheetName val="RATIO"/>
      <sheetName val="내역"/>
      <sheetName val="실행내역서 "/>
      <sheetName val="L V Separator"/>
      <sheetName val="본지점중"/>
      <sheetName val="Piping Design Data"/>
    </sheetNames>
    <definedNames>
      <definedName name="main"/>
    </definedNames>
    <sheetDataSet>
      <sheetData sheetId="0" refreshError="1"/>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ttl"/>
      <sheetName val="CONCRETE"/>
      <sheetName val="공사비예산서(토목분)"/>
      <sheetName val="DRUM"/>
      <sheetName val="CAL(1)."/>
      <sheetName val="piping"/>
      <sheetName val="부하계산서"/>
      <sheetName val="Instruction"/>
      <sheetName val="전기"/>
      <sheetName val="Cost bd-&quot;A&quot;"/>
      <sheetName val="BACK DATA"/>
      <sheetName val="내역서"/>
      <sheetName val="BID"/>
      <sheetName val="Sheet17"/>
      <sheetName val="Sheet1"/>
      <sheetName val="가상data"/>
      <sheetName val="BM DATA SHEET"/>
      <sheetName val="LINE_LIST"/>
      <sheetName val="MFAB"/>
      <sheetName val="MFRT"/>
      <sheetName val="MPKG"/>
      <sheetName val="MPRD"/>
      <sheetName val="정부노임단가"/>
      <sheetName val="전차선로 물량표"/>
      <sheetName val="BQ"/>
      <sheetName val="wagerate"/>
      <sheetName val="Pipe Classes"/>
      <sheetName val="Units"/>
      <sheetName val="Instructions"/>
      <sheetName val="#REF"/>
      <sheetName val="POL6차-PIPING"/>
      <sheetName val="ºÎÇÏ°è»ê¼­"/>
      <sheetName val="°ø»çºñ¿¹»ê¼­(Åä¸ñºÐ)"/>
      <sheetName val="Àü±â"/>
      <sheetName val="³»¿ª¼­"/>
      <sheetName val="°¡»ódata"/>
      <sheetName val="DATA"/>
      <sheetName val="BSD (2)"/>
      <sheetName val="WORK-VOL"/>
      <sheetName val="연돌일위집계"/>
      <sheetName val="Table"/>
      <sheetName val="PBS"/>
      <sheetName val="동결보온"/>
      <sheetName val="JUCK"/>
      <sheetName val="LOOKUP"/>
      <sheetName val="paint mat"/>
      <sheetName val="Testing"/>
      <sheetName val="MEXICO-C"/>
      <sheetName val="factor"/>
      <sheetName val="부하(성남)"/>
      <sheetName val="CMTD"/>
      <sheetName val="Macro(차단기)"/>
      <sheetName val="001"/>
      <sheetName val="1공구(을)"/>
      <sheetName val="MINA BM"/>
      <sheetName val="MT_C"/>
      <sheetName val="FEXS"/>
      <sheetName val="배수공 주요자재 집계표"/>
      <sheetName val="다이꾸"/>
      <sheetName val="LABOUR DISTRIBUTION"/>
      <sheetName val="할증 "/>
      <sheetName val="설계조건"/>
      <sheetName val="WIND-EQ"/>
      <sheetName val="CALC"/>
      <sheetName val="③赤紙(日文)"/>
      <sheetName val="견적기준"/>
      <sheetName val="General Data"/>
      <sheetName val="2월가격"/>
      <sheetName val="Default_Magics"/>
      <sheetName val="BSD _2_"/>
      <sheetName val="산근"/>
      <sheetName val="SAN"/>
      <sheetName val="Spread_sht"/>
      <sheetName val="PLAN_FEB97"/>
      <sheetName val="BQ(실행)"/>
      <sheetName val="Macro2"/>
      <sheetName val="적용율"/>
      <sheetName val="조도계산서 (도서)"/>
      <sheetName val="FIRE FIGHTING"/>
      <sheetName val="Form B-1BOP"/>
      <sheetName val="Form B-2TANK"/>
      <sheetName val="TYPE-B 평균H"/>
      <sheetName val="BM"/>
      <sheetName val="CONS_"/>
      <sheetName val="MOTOR"/>
      <sheetName val="Proposal"/>
      <sheetName val="Requirement(Work Crew)"/>
      <sheetName val="MATERIALS"/>
      <sheetName val="예산M12A"/>
      <sheetName val="표지"/>
      <sheetName val="EQUIPMENT"/>
      <sheetName val="WORKING"/>
      <sheetName val="BQ List MNHRS"/>
      <sheetName val="PipWT"/>
      <sheetName val="Y-WORK"/>
      <sheetName val="견적조건"/>
      <sheetName val="BQ_Equip_Pipe"/>
      <sheetName val="실행내역"/>
      <sheetName val="C"/>
      <sheetName val="deviation"/>
      <sheetName val="BOQ"/>
      <sheetName val="Hoja3"/>
      <sheetName val="Hoja2"/>
      <sheetName val="IBL-C"/>
      <sheetName val="현금"/>
      <sheetName val="개요"/>
      <sheetName val="단가비교"/>
      <sheetName val="터널조도"/>
      <sheetName val="MT-C"/>
      <sheetName val="CIVIL WORK"/>
      <sheetName val="INSTRUMENT"/>
      <sheetName val="INSTAL WORK"/>
      <sheetName val="TABLE-1"/>
      <sheetName val="INSULATION"/>
      <sheetName val="CONS."/>
      <sheetName val="tank3"/>
      <sheetName val="eq_data"/>
      <sheetName val="LEGEND"/>
      <sheetName val="Code_Magics"/>
      <sheetName val="CalCu"/>
      <sheetName val="당초"/>
      <sheetName val="G"/>
      <sheetName val="Sheet4"/>
      <sheetName val="TKOFF"/>
      <sheetName val="steam table"/>
      <sheetName val="Staff"/>
      <sheetName val="상반기손익차2총괄"/>
      <sheetName val="miscsettings"/>
      <sheetName val="COVER"/>
      <sheetName val="INST LIST"/>
      <sheetName val="Rules"/>
      <sheetName val="CODE"/>
      <sheetName val="INST_DCI"/>
      <sheetName val="HVAC_DCI"/>
      <sheetName val="PIPE_DCI"/>
      <sheetName val="PRO_DCI"/>
      <sheetName val="LV CDB"/>
      <sheetName val="Motor DB"/>
      <sheetName val="Code_INTools"/>
      <sheetName val="공사비 내역 (가)"/>
      <sheetName val="Seals"/>
      <sheetName val="List"/>
      <sheetName val="Elect. Works for HVAC (Price C)"/>
      <sheetName val="mesc"/>
      <sheetName val="CBL_OD"/>
      <sheetName val="Material"/>
      <sheetName val="Mechanical Information"/>
      <sheetName val="Library"/>
      <sheetName val="D1X"/>
      <sheetName val="D1.1"/>
      <sheetName val="Bidder Check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ssels"/>
      <sheetName val="Aircoolers"/>
      <sheetName val="Pumps "/>
      <sheetName val="Auxiliaries"/>
      <sheetName val="AGITATOR"/>
      <sheetName val="eq_data"/>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사업부배부"/>
      <sheetName val="9901사업부배부"/>
      <sheetName val="Sheet1"/>
      <sheetName val="계정실적"/>
      <sheetName val="계정보고"/>
      <sheetName val="계정보고 (2)"/>
      <sheetName val="99년1월추정실적 (2)"/>
      <sheetName val="요약배부"/>
      <sheetName val="요약배부 (보고)"/>
      <sheetName val="요약배부 (보고) (2)"/>
      <sheetName val="12월계정별 (2)"/>
      <sheetName val="배부부별"/>
      <sheetName val="배부비목"/>
      <sheetName val="임대원가"/>
      <sheetName val="기타매출"/>
      <sheetName val="기타매출 (2)"/>
      <sheetName val="기타매출 (3)"/>
      <sheetName val="기타매출 (4)"/>
      <sheetName val="영업소실적"/>
      <sheetName val="새마을금고"/>
      <sheetName val="Module1"/>
      <sheetName val="참고인원"/>
      <sheetName val="INSTR"/>
      <sheetName val="주관사업"/>
      <sheetName val="eq_data"/>
      <sheetName val="95삼성급(본사)"/>
      <sheetName val="mom"/>
      <sheetName val="carboline price"/>
      <sheetName val="Piping Design Data"/>
      <sheetName val="PipW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10월추정"/>
      <sheetName val="2001년매출추정실적"/>
      <sheetName val="Sheet3"/>
      <sheetName val="Sheet2"/>
      <sheetName val="C701ACT"/>
      <sheetName val="영업소실적"/>
      <sheetName val="의정부문예회관변경내역"/>
      <sheetName val="현금"/>
      <sheetName val="예산서"/>
      <sheetName val="충주"/>
      <sheetName val="OE"/>
      <sheetName val="D040416"/>
      <sheetName val="99년하반기"/>
      <sheetName val="97 사업추정(WEKI)"/>
      <sheetName val="우수"/>
      <sheetName val="태화42 "/>
      <sheetName val="97사업계"/>
      <sheetName val="PRO_DCI"/>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ual"/>
      <sheetName val="equipment"/>
      <sheetName val="eq_data"/>
      <sheetName val="out_put"/>
      <sheetName val="drawing"/>
      <sheetName val="Loading"/>
      <sheetName val="INSTR"/>
      <sheetName val="공사비_NDE"/>
      <sheetName val="TOEC"/>
      <sheetName val="ELEC_DCI"/>
      <sheetName val="INST_DCI"/>
      <sheetName val="cover"/>
      <sheetName val="A"/>
      <sheetName val="OUT"/>
      <sheetName val="영업소실적"/>
      <sheetName val="수입"/>
      <sheetName val="직원동원계획"/>
      <sheetName val="CONTROL-100"/>
      <sheetName val="PRO_A"/>
      <sheetName val="ELEC_MCI"/>
      <sheetName val="MAIN"/>
      <sheetName val="INST_MCI"/>
      <sheetName val="MECH_MCI"/>
      <sheetName val="PRO"/>
      <sheetName val="General Data"/>
      <sheetName val="PRICE COMP"/>
      <sheetName val="본지점중"/>
      <sheetName val="A(Rev.3)"/>
      <sheetName val="Sheet1"/>
      <sheetName val="h-013211-2"/>
      <sheetName val="IT-BAT"/>
      <sheetName val="WORKER"/>
      <sheetName val="crude.SLAB RE-bar"/>
      <sheetName val="ACTDATA"/>
      <sheetName val="환율표"/>
      <sheetName val="7.6.3(B) UG Piping"/>
      <sheetName val="fdn_bm_pro"/>
      <sheetName val="static.cal"/>
      <sheetName val="ANX3A65"/>
      <sheetName val="Lup"/>
      <sheetName val="BOQ0822"/>
      <sheetName val="PRICE LIST"/>
      <sheetName val="Information"/>
      <sheetName val="인건비"/>
      <sheetName val="PipWT"/>
      <sheetName val="Piping Design Data"/>
      <sheetName val="97 사업추정(WEKI)"/>
      <sheetName val="BCPAB"/>
      <sheetName val="Sheet5"/>
      <sheetName val="IBASE"/>
      <sheetName val="Feuil2"/>
      <sheetName val="Tipo Terzi"/>
      <sheetName val="노임"/>
      <sheetName val="OFFER RATE"/>
      <sheetName val="Job Data"/>
      <sheetName val="투입실적"/>
      <sheetName val="총괄표"/>
      <sheetName val="내역(한신APT)"/>
      <sheetName val="제품현황"/>
      <sheetName val="Preface"/>
      <sheetName val="Source"/>
      <sheetName val="작성기준"/>
      <sheetName val="ANALYSER"/>
      <sheetName val="ASME B 36.10 M"/>
      <sheetName val="Summary 2002"/>
      <sheetName val="내역서"/>
      <sheetName val="품셈 "/>
      <sheetName val="PAINT"/>
      <sheetName val="방화도료"/>
      <sheetName val="가도공"/>
      <sheetName val="TABLE2-2 OSBL-(SITE PREP)"/>
      <sheetName val="98TSON4A"/>
      <sheetName val="Contents"/>
      <sheetName val="REINF."/>
      <sheetName val="SKETCH"/>
      <sheetName val="LOADS"/>
      <sheetName val="boq"/>
      <sheetName val="PAGE 1"/>
      <sheetName val="_생산성_분석_체계_절차.xlsx"/>
      <sheetName val="General_Data"/>
      <sheetName val="PRICE_COMP"/>
      <sheetName val="A(Rev_3)"/>
      <sheetName val="단가비교(TOTAL)"/>
      <sheetName val="General_Data1"/>
      <sheetName val="PRICE_COMP1"/>
      <sheetName val="A(Rev_3)1"/>
      <sheetName val="cable"/>
      <sheetName val="pri-com"/>
      <sheetName val="견적의뢰"/>
      <sheetName val="기준"/>
      <sheetName val="CAL"/>
      <sheetName val="BQ List"/>
      <sheetName val="노임단가"/>
      <sheetName val="PRC-SUM"/>
      <sheetName val="Y-WORK"/>
      <sheetName val="대공종"/>
      <sheetName val="전기일위대가"/>
    </sheetNames>
    <sheetDataSet>
      <sheetData sheetId="0"/>
      <sheetData sheetId="1"/>
      <sheetData sheetId="2" refreshError="1"/>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TR"/>
      <sheetName val="IT-P"/>
      <sheetName val="SW6_CBE"/>
      <sheetName val="IT-P1"/>
      <sheetName val="IT-BAT"/>
      <sheetName val="Cover"/>
      <sheetName val="Pipe &amp; Fitting"/>
      <sheetName val="Tube &amp; Fitting"/>
      <sheetName val="Cable Tray"/>
      <sheetName val="Elec Conn"/>
      <sheetName val="cable"/>
      <sheetName val="Junction Box"/>
      <sheetName val="Support &amp; Misc."/>
      <sheetName val="IT_BAT"/>
      <sheetName val="9-1차이내역"/>
      <sheetName val="목록"/>
      <sheetName val="중기"/>
      <sheetName val="화재 탐지 설비"/>
      <sheetName val="BQ_Utl_Off"/>
      <sheetName val="Proposal"/>
      <sheetName val=" 갑지"/>
      <sheetName val="RFP002"/>
      <sheetName val="RFP003E"/>
      <sheetName val="터널조도"/>
      <sheetName val="견적집계"/>
      <sheetName val="자재단가"/>
      <sheetName val="영업소실적"/>
      <sheetName val="본지점중"/>
      <sheetName val="일위대가"/>
      <sheetName val="Sheet5"/>
      <sheetName val="INCHON"/>
      <sheetName val="INSTR"/>
      <sheetName val="BACK DATA"/>
      <sheetName val="소화실적"/>
      <sheetName val="맨홀수량산출"/>
      <sheetName val="#REF"/>
      <sheetName val="일위"/>
      <sheetName val="sheet1"/>
      <sheetName val="노임단가"/>
      <sheetName val="Hauptdaten"/>
      <sheetName val="원가계산서"/>
      <sheetName val="TTL"/>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Lumen"/>
      <sheetName val="Data Sheet"/>
      <sheetName val="WE'T"/>
      <sheetName val="BREAKDOWN(철거설치)"/>
      <sheetName val="뜃맟뭁돽띿맟?-BLDG"/>
      <sheetName val="2공구산출내역"/>
      <sheetName val="일위대가목차"/>
      <sheetName val="Pipe_&amp;_Fitting"/>
      <sheetName val="Tube_&amp;_Fitting"/>
      <sheetName val="Cable_Tray"/>
      <sheetName val="Elec_Conn"/>
      <sheetName val="Junction_Box"/>
      <sheetName val="Support_&amp;_Misc_"/>
      <sheetName val="화재_탐지_설비"/>
      <sheetName val="OUT"/>
      <sheetName val="eq_data"/>
      <sheetName val="unit 4"/>
      <sheetName val="노임"/>
      <sheetName val="단가비교"/>
      <sheetName val="입력값"/>
      <sheetName val="MixBed"/>
      <sheetName val="실행내역서_DCU_"/>
      <sheetName val="PLC B-M"/>
      <sheetName val="WOC95467"/>
      <sheetName val="DANGA"/>
      <sheetName val="LINE,UNIT 구분"/>
      <sheetName val="계측"/>
      <sheetName val="가열로SW"/>
      <sheetName val="내역서"/>
      <sheetName val="장비종합부표"/>
      <sheetName val="집계표_식재"/>
      <sheetName val="부표"/>
      <sheetName val="작업년월"/>
      <sheetName val="세부내역"/>
      <sheetName val="총괄표양식"/>
      <sheetName val="차량운영비"/>
      <sheetName val="E_Rate PM"/>
      <sheetName val="A-4"/>
      <sheetName val="PRO_DCI"/>
      <sheetName val="IBASE"/>
      <sheetName val="NC(공사)입력"/>
      <sheetName val="2001년 예산"/>
      <sheetName val="RECIMAKE"/>
      <sheetName val="뜃맟뭁돽띿맟_-BLDG"/>
      <sheetName val="DRUM"/>
      <sheetName val="Summary Sheets"/>
      <sheetName val="DATA"/>
      <sheetName val="TOTAL 구매 내역"/>
      <sheetName val="10공구일위"/>
      <sheetName val="실행철강하도"/>
      <sheetName val="9GNG운반"/>
      <sheetName val="Cover sheet"/>
      <sheetName val="Q-7100-001"/>
      <sheetName val="summary"/>
      <sheetName val="MATERIAL BALANCE"/>
      <sheetName val="할증 "/>
      <sheetName val="_갑지"/>
      <sheetName val="BACK_DATA"/>
      <sheetName val="실행내역서 "/>
      <sheetName val="Total"/>
      <sheetName val="거래처계좌"/>
      <sheetName val="투찰내역"/>
      <sheetName val="1,2공구원가계산서"/>
      <sheetName val="1공구산출내역서"/>
      <sheetName val="을지"/>
      <sheetName val="Hoja3"/>
      <sheetName val="Hoja2"/>
      <sheetName val="BATC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주요물량분석"/>
      <sheetName val="Concrete물량분석"/>
      <sheetName val="BIDBase"/>
      <sheetName val="비교1"/>
      <sheetName val="비교2"/>
      <sheetName val="비교3"/>
      <sheetName val="BM(2)_Humepipe"/>
      <sheetName val="BM(3)_Total(CVnSTR)"/>
      <sheetName val="U00"/>
      <sheetName val="U01"/>
      <sheetName val="U02"/>
      <sheetName val="U03"/>
      <sheetName val="U06"/>
      <sheetName val="U07"/>
      <sheetName val="U08"/>
      <sheetName val="U09"/>
      <sheetName val="U10"/>
      <sheetName val="U11"/>
      <sheetName val="U13"/>
      <sheetName val="U31_Base"/>
      <sheetName val="U21"/>
      <sheetName val="U25"/>
      <sheetName val="U26"/>
      <sheetName val="U29"/>
      <sheetName val="U30"/>
      <sheetName val="U40"/>
      <sheetName val="U42"/>
      <sheetName val="U43"/>
      <sheetName val="U45"/>
      <sheetName val="U47"/>
      <sheetName val="U48"/>
      <sheetName val="U60"/>
      <sheetName val="Circular18"/>
      <sheetName val="U47U48_Pway"/>
      <sheetName val="U25_SWI"/>
      <sheetName val="U20_GTG"/>
      <sheetName val="SPrep_MainONLY"/>
      <sheetName val="SPrep_E3TK(R264)"/>
      <sheetName val="SPrep_E4TK(R187)"/>
      <sheetName val="SPrep_E4TK (R233)"/>
      <sheetName val="U43_Opt-Rmote"/>
      <sheetName val="Category"/>
      <sheetName val="SortedList"/>
      <sheetName val="eq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 2 BM list"/>
      <sheetName val="7.3.3.B"/>
      <sheetName val="7.3.3.B_Attachment"/>
      <sheetName val="SPrep_E4TK(R187)"/>
      <sheetName val="U00"/>
      <sheetName val="U01"/>
      <sheetName val="U02"/>
      <sheetName val="U03"/>
      <sheetName val="U06"/>
      <sheetName val="U07"/>
      <sheetName val="U08"/>
      <sheetName val="U09"/>
      <sheetName val="U10"/>
      <sheetName val="U11"/>
      <sheetName val="U13"/>
      <sheetName val="U21"/>
      <sheetName val="U25"/>
      <sheetName val="U26"/>
      <sheetName val="U29"/>
      <sheetName val="U30"/>
      <sheetName val="U31_Base"/>
      <sheetName val="U40"/>
      <sheetName val="U42"/>
      <sheetName val="U43"/>
      <sheetName val="U45"/>
      <sheetName val="U47"/>
      <sheetName val="U48"/>
      <sheetName val="U60"/>
      <sheetName val="Sorted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경제지표"/>
      <sheetName val="인원"/>
      <sheetName val="부서면적"/>
      <sheetName val="부서면적1"/>
      <sheetName val="임대면적"/>
      <sheetName val="출장교통"/>
      <sheetName val="세금자료"/>
      <sheetName val="인원계획"/>
      <sheetName val="공사비_NDE"/>
      <sheetName val="POL6차-PIPING"/>
      <sheetName val="INPUT DATA"/>
      <sheetName val="SPrep_E4TK(R187)"/>
      <sheetName val="U00"/>
      <sheetName val="U01"/>
      <sheetName val="U02"/>
      <sheetName val="U03"/>
      <sheetName val="U06"/>
      <sheetName val="U07"/>
      <sheetName val="U08"/>
      <sheetName val="U09"/>
      <sheetName val="U10"/>
      <sheetName val="U11"/>
      <sheetName val="U13"/>
      <sheetName val="U21"/>
      <sheetName val="U25"/>
      <sheetName val="U26"/>
      <sheetName val="U29"/>
      <sheetName val="U30"/>
      <sheetName val="U31_Base"/>
      <sheetName val="U40"/>
      <sheetName val="U42"/>
      <sheetName val="U43"/>
      <sheetName val="U45"/>
      <sheetName val="U47"/>
      <sheetName val="U48"/>
      <sheetName val="U6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
      <sheetName val="t"/>
      <sheetName val="os"/>
      <sheetName val="Sheet1"/>
      <sheetName val="Sheet2"/>
      <sheetName val="INPUT DATA"/>
      <sheetName val="INSTR"/>
      <sheetName val="IT-BAT"/>
      <sheetName val="eq_data"/>
      <sheetName val="경제지표"/>
      <sheetName val="세금자료"/>
      <sheetName val="SortedLis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CON"/>
      <sheetName val="INPUT DATA"/>
      <sheetName val="INPUT COST"/>
      <sheetName val="CSTSUM"/>
      <sheetName val="TOTAL"/>
      <sheetName val="SUBTOTAL_FWBS1000"/>
      <sheetName val="DETAIL_FWBS1000"/>
      <sheetName val="SUBTOTAL_FWBS2000"/>
      <sheetName val="DETAIL_FWBS2000"/>
      <sheetName val="SUBTOTAL_FWBS3000"/>
      <sheetName val="DETAIL_FWBS3000"/>
      <sheetName val="SUBTOTAL_FWBS_ADD"/>
      <sheetName val="DETAIL_FWBS_ADD"/>
      <sheetName val="Dialog2"/>
      <sheetName val="Dialog3"/>
      <sheetName val="Module1"/>
      <sheetName val="Module2"/>
      <sheetName val="Module8"/>
      <sheetName val="COPY DATA (Neglect)"/>
      <sheetName val="Standardform_Neglect"/>
      <sheetName val="단가정보"/>
      <sheetName val="SPrep_E4TK(R187)"/>
      <sheetName val="U00"/>
      <sheetName val="U01"/>
      <sheetName val="U02"/>
      <sheetName val="U03"/>
      <sheetName val="U06"/>
      <sheetName val="U07"/>
      <sheetName val="U08"/>
      <sheetName val="U09"/>
      <sheetName val="U10"/>
      <sheetName val="U11"/>
      <sheetName val="U13"/>
      <sheetName val="U21"/>
      <sheetName val="U25"/>
      <sheetName val="U26"/>
      <sheetName val="U29"/>
      <sheetName val="U30"/>
      <sheetName val="U31_Base"/>
      <sheetName val="U40"/>
      <sheetName val="U42"/>
      <sheetName val="U43"/>
      <sheetName val="U45"/>
      <sheetName val="U47"/>
      <sheetName val="U48"/>
      <sheetName val="U60"/>
      <sheetName val="LV CDB"/>
      <sheetName val="Motor DB"/>
      <sheetName val="eq_data"/>
      <sheetName val="steel data sheet"/>
      <sheetName val="영업소실적"/>
      <sheetName val="Sheet1"/>
      <sheetName val="rate"/>
      <sheetName val="L V Separator"/>
      <sheetName val="INSTR"/>
      <sheetName val="BM-Total-FWBS-EPSCC1-LR1"/>
      <sheetName val="Cover"/>
      <sheetName val="TIP-NOZZLE"/>
      <sheetName val="Summary"/>
      <sheetName val="HVAC"/>
      <sheetName val="WIND"/>
      <sheetName val="TOEC"/>
      <sheetName val="노무비단가"/>
      <sheetName val="Compressors"/>
      <sheetName val="실행내역"/>
      <sheetName val="OUT"/>
    </sheetNames>
    <sheetDataSet>
      <sheetData sheetId="0" refreshError="1"/>
      <sheetData sheetId="1" refreshError="1"/>
      <sheetData sheetId="2"/>
      <sheetData sheetId="3"/>
      <sheetData sheetId="4" refreshError="1"/>
      <sheetData sheetId="5"/>
      <sheetData sheetId="6" refreshError="1"/>
      <sheetData sheetId="7"/>
      <sheetData sheetId="8" refreshError="1"/>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BOQ_Summary"/>
      <sheetName val="BOQ_HVAC &amp; Plumbing"/>
      <sheetName val="h-013211-2"/>
      <sheetName val="경제지표"/>
      <sheetName val="세금자료"/>
    </sheetNames>
    <sheetDataSet>
      <sheetData sheetId="0" refreshError="1"/>
      <sheetData sheetId="1"/>
      <sheetData sheetId="2" refreshError="1"/>
      <sheetData sheetId="3" refreshError="1"/>
      <sheetData sheetId="4" refreshError="1"/>
      <sheetData sheetId="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경제지표"/>
      <sheetName val="인원"/>
      <sheetName val="부서면적"/>
      <sheetName val="부서면적1"/>
      <sheetName val="임대면적"/>
      <sheetName val="출장교통"/>
      <sheetName val="세금자료"/>
      <sheetName val="수입"/>
      <sheetName val="산근"/>
      <sheetName val="h-013211-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표지"/>
      <sheetName val="경제지표"/>
      <sheetName val="인원"/>
      <sheetName val="부서면적"/>
      <sheetName val="부서면적1"/>
      <sheetName val="임대면적"/>
      <sheetName val="출장교통"/>
      <sheetName val="세금자료"/>
      <sheetName val="인원계획"/>
      <sheetName val="공사비_NDE"/>
      <sheetName val="POL6차-PIPING"/>
      <sheetName val="h-013211-2"/>
      <sheetName val="공사비 내역 (가)"/>
      <sheetName val="Sheet1"/>
      <sheetName val="INPUT DATA"/>
      <sheetName val="산근"/>
      <sheetName val="BOJUNGGM"/>
      <sheetName val="정부노임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사업부배부A"/>
      <sheetName val="영업소실적"/>
      <sheetName val="사업부배부B"/>
      <sheetName val="사업부별실적A"/>
      <sheetName val="사업부별실적B"/>
      <sheetName val="계정별실적"/>
      <sheetName val="분기별계획"/>
      <sheetName val="임대원가"/>
      <sheetName val="관리비 추정"/>
      <sheetName val="예산초과내역"/>
      <sheetName val="해외인원추이"/>
      <sheetName val="배부비교"/>
      <sheetName val="상반기손익차2총괄"/>
      <sheetName val="BEND LOSS"/>
      <sheetName val="부표"/>
      <sheetName val="장비종합부표"/>
      <sheetName val="도급양식"/>
      <sheetName val="접대비명세서"/>
      <sheetName val="C급보 "/>
      <sheetName val="Sheet1"/>
      <sheetName val="환율"/>
      <sheetName val="6호기"/>
      <sheetName val="N賃率-職"/>
      <sheetName val="간접비 총괄표"/>
      <sheetName val="할증 "/>
      <sheetName val="배부961"/>
      <sheetName val="b_balju-단가단가단가"/>
      <sheetName val="패널"/>
      <sheetName val="세금자료"/>
      <sheetName val="주관사업"/>
      <sheetName val="수입"/>
      <sheetName val="노임단가"/>
      <sheetName val="공사내역"/>
      <sheetName val="노무비"/>
      <sheetName val="물가대비표"/>
      <sheetName val="단가산출"/>
      <sheetName val="7단가"/>
      <sheetName val="70%"/>
      <sheetName val="일위대가(건축)"/>
      <sheetName val="공사비_NDE"/>
      <sheetName val="견적서을"/>
      <sheetName val="설계명세서"/>
      <sheetName val="품셈표"/>
      <sheetName val="DATE"/>
      <sheetName val="2.1.1"/>
      <sheetName val="첨1.4"/>
      <sheetName val="첨1.5"/>
      <sheetName val="첨1.3"/>
      <sheetName val="2공구산출내역"/>
      <sheetName val="내역서"/>
      <sheetName val="실행예산SHEET도장재검토"/>
      <sheetName val="C3"/>
      <sheetName val="예산내역"/>
      <sheetName val="총괄수지표"/>
      <sheetName val="Cover"/>
      <sheetName val="매각(6)"/>
      <sheetName val="잡설비내역"/>
      <sheetName val="일위목록"/>
      <sheetName val="요율"/>
      <sheetName val="SIMULATION"/>
      <sheetName val="#REF"/>
      <sheetName val="도장시공집계"/>
      <sheetName val="가로등내역서"/>
      <sheetName val="NPC500"/>
      <sheetName val="부표총괄"/>
      <sheetName val="경제지표"/>
      <sheetName val="Sheet2"/>
      <sheetName val="PI"/>
      <sheetName val="Back up"/>
      <sheetName val="LOOKUP"/>
      <sheetName val="수주추정"/>
      <sheetName val="Bond Fee"/>
      <sheetName val="9-1차이내역"/>
      <sheetName val="eq_data"/>
      <sheetName val="산근"/>
      <sheetName val="97 사업추정(WEKI)"/>
      <sheetName val="코드목록(시스템담당용)"/>
      <sheetName val="1호인버트수량"/>
      <sheetName val="외화"/>
      <sheetName val="품셈"/>
      <sheetName val="노임단가산출근거"/>
      <sheetName val="DAN"/>
      <sheetName val="백호우계수"/>
      <sheetName val="정산표2"/>
      <sheetName val="h-013211-2"/>
      <sheetName val="PumpSpec"/>
      <sheetName val="손익차9월2"/>
      <sheetName val="입력"/>
      <sheetName val="연돌일위집계"/>
      <sheetName val="RENUN"/>
      <sheetName val="당초"/>
      <sheetName val="95삼성급(본사)"/>
      <sheetName val="CAT_5"/>
      <sheetName val="자재표"/>
      <sheetName val="견적서"/>
      <sheetName val="집계표"/>
      <sheetName val="노임9월"/>
      <sheetName val="가도공"/>
      <sheetName val="도기류"/>
      <sheetName val="전선 및 전선관"/>
      <sheetName val="INSTR"/>
      <sheetName val="Piping(Methanol)"/>
      <sheetName val="공사비 내역 (가)"/>
      <sheetName val="인건비"/>
      <sheetName val="관리비_추정"/>
      <sheetName val="공사자료입력"/>
      <sheetName val="BEND_LOSS"/>
      <sheetName val="C급보_"/>
      <sheetName val="간접비_총괄표"/>
      <sheetName val="할증_"/>
      <sheetName val="2_1_1"/>
      <sheetName val="첨1_4"/>
      <sheetName val="첨1_5"/>
      <sheetName val="첨1_3"/>
      <sheetName val="Back_up"/>
      <sheetName val="Bond_Fee"/>
      <sheetName val="97_사업추정(WEKI)"/>
      <sheetName val="자재단가"/>
      <sheetName val="전선_및_전선관"/>
      <sheetName val="ANALYSER"/>
      <sheetName val="3.건축(현장안)"/>
      <sheetName val="투입실적"/>
      <sheetName val="CBE-VSL"/>
      <sheetName val="member design"/>
      <sheetName val="working load at the btm ft."/>
      <sheetName val="soil bearing check"/>
      <sheetName val="육상토목 견적대비표-Rev.0(13.07.03).xlsx"/>
      <sheetName val="BM"/>
      <sheetName val="P.M 별"/>
      <sheetName val="골조시행"/>
      <sheetName val="옥외 전력간선공사"/>
      <sheetName val="단가조사"/>
      <sheetName val="ELEC_DCI"/>
      <sheetName val="INST_DCI"/>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비_NDE"/>
      <sheetName val="공사비_BULK"/>
      <sheetName val="공사비_INSUL"/>
      <sheetName val="BULK"/>
      <sheetName val="INSULATION"/>
      <sheetName val="PAINT"/>
      <sheetName val="NDE"/>
      <sheetName val="h-013211-2"/>
      <sheetName val="공사내역"/>
      <sheetName val="jobhist"/>
      <sheetName val="DATE"/>
      <sheetName val="전체"/>
      <sheetName val="청천내"/>
      <sheetName val="세금자료"/>
      <sheetName val="노임단가"/>
      <sheetName val="공사계획서"/>
      <sheetName val="품셈표"/>
      <sheetName val="현장업무"/>
      <sheetName val="접대비명세서"/>
      <sheetName val="VA_code"/>
      <sheetName val="B"/>
      <sheetName val="산근"/>
      <sheetName val="경제지표"/>
      <sheetName val="GeneralNote"/>
      <sheetName val="수입"/>
      <sheetName val="CAT_5"/>
      <sheetName val="3.내역서"/>
      <sheetName val="설계명세서-2"/>
      <sheetName val="eq_data"/>
      <sheetName val="FILTER"/>
      <sheetName val="내역서"/>
      <sheetName val="PDS U-1400"/>
      <sheetName val="INPUT DATA"/>
      <sheetName val="INSTR"/>
      <sheetName val="cable-data"/>
      <sheetName val="Panel제작명세서"/>
      <sheetName val="Pivot"/>
      <sheetName val="노임"/>
      <sheetName val="Cash2"/>
      <sheetName val="Z"/>
      <sheetName val="A"/>
      <sheetName val="데이타"/>
      <sheetName val="UnitList"/>
      <sheetName val="data_dci"/>
      <sheetName val="data_mci"/>
      <sheetName val="behind"/>
      <sheetName val="Main"/>
      <sheetName val="BREAKDOWN"/>
      <sheetName val="BUSINESS TRIP-TRAVELING EXPENSE"/>
      <sheetName val="LIST OF AIR FARE"/>
      <sheetName val="CAMP - RENTAL"/>
      <sheetName val="CAMP - COMMON FACILITIES"/>
      <sheetName val="ELECTRIC POWER CONSUMPTION"/>
      <sheetName val="INDIRECT SALARY"/>
      <sheetName val="EUR, TCN &amp; LOC STAFF SALARY"/>
      <sheetName val="INDIRECT MOBILIZATION PLAN"/>
      <sheetName val="MANPOWER MOBILIZATION"/>
      <sheetName val="STAFF MOBILIZATION PLAN"/>
      <sheetName val="LABOR MOBILIZATION PLAN"/>
      <sheetName val="LIST OF OFFICE EQUIPMENT"/>
      <sheetName val="PERSONNEL SETUP"/>
      <sheetName val="KOREAN STAFF SALARY - BRANCH"/>
      <sheetName val="TEMPORARY FACILITIES"/>
      <sheetName val="WATER SUPPLY"/>
      <sheetName val="품셈 "/>
      <sheetName val="설계내역서"/>
      <sheetName val="공사비 내역 (가)"/>
      <sheetName val="1100-1200-1300-1910-2140-LEV 2"/>
      <sheetName val="TOTAL"/>
      <sheetName val="base"/>
      <sheetName val="ANALYSER"/>
      <sheetName val="3.공통공사대비"/>
      <sheetName val="costing_CV"/>
      <sheetName val="CondPol"/>
      <sheetName val="NEWCPS"/>
      <sheetName val="설계명세서"/>
      <sheetName val="BQ"/>
      <sheetName val="w't table"/>
      <sheetName val="Ind"/>
      <sheetName val="mhrrate"/>
      <sheetName val="A01"/>
      <sheetName val="A11"/>
      <sheetName val="A16"/>
      <sheetName val="A02"/>
      <sheetName val="A03"/>
      <sheetName val="A04"/>
      <sheetName val="A05"/>
      <sheetName val="A06"/>
      <sheetName val="A07"/>
      <sheetName val="A08a"/>
      <sheetName val="A08b"/>
      <sheetName val="Sheet1"/>
      <sheetName val="정부노임단가"/>
      <sheetName val="Cover"/>
      <sheetName val="Currencies"/>
      <sheetName val="02-10 (실행)"/>
      <sheetName val="영업2"/>
      <sheetName val="영업3"/>
      <sheetName val="#REF"/>
    </sheetNames>
    <sheetDataSet>
      <sheetData sheetId="0" refreshError="1"/>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사업부배부"/>
      <sheetName val="요약배부"/>
      <sheetName val="요약배부 (보고)"/>
      <sheetName val="요약배부 (보고) (2)"/>
      <sheetName val="배부부별"/>
      <sheetName val="배부비목"/>
      <sheetName val="배부기준체계"/>
      <sheetName val="배부기준설명"/>
      <sheetName val="예실차이"/>
      <sheetName val="예실차이 (2)"/>
      <sheetName val="내용분석(비율)"/>
      <sheetName val="임대원가"/>
      <sheetName val="기타매출"/>
      <sheetName val="기타매출1"/>
      <sheetName val="영업소실적"/>
      <sheetName val="새마을금고"/>
      <sheetName val="Module1"/>
      <sheetName val="참고인원"/>
      <sheetName val="인원대비표"/>
      <sheetName val="사업부배부A"/>
      <sheetName val="단가"/>
      <sheetName val="총괄표"/>
      <sheetName val="97 사업추정(WEKI)"/>
      <sheetName val="노임"/>
      <sheetName val="Sheet5"/>
      <sheetName val="MOKDONG(1)"/>
      <sheetName val="Option"/>
      <sheetName val="N賃率-職"/>
      <sheetName val="노임단가"/>
      <sheetName val="I一般比"/>
      <sheetName val="수입"/>
      <sheetName val="SIMULATION"/>
      <sheetName val="공사비_NDE"/>
      <sheetName val="지급자재"/>
      <sheetName val="단가조사"/>
      <sheetName val="단가산출"/>
      <sheetName val="unit 4"/>
      <sheetName val="일위목차"/>
      <sheetName val="97 사업추정_WEKI_"/>
      <sheetName val="수량A"/>
      <sheetName val="예산"/>
      <sheetName val="분당임차변경"/>
      <sheetName val="공사내역"/>
      <sheetName val="설계명세서"/>
      <sheetName val="품셈표"/>
      <sheetName val="집계표"/>
      <sheetName val="당초"/>
      <sheetName val="BQ_Utl_Off"/>
      <sheetName val="공통"/>
      <sheetName val="단위수량"/>
      <sheetName val="배부97121"/>
      <sheetName val="지우기"/>
      <sheetName val="일위대가"/>
      <sheetName val="SubCon"/>
      <sheetName val="정산표"/>
      <sheetName val="년말집계"/>
      <sheetName val="Sheet1"/>
      <sheetName val="PI"/>
      <sheetName val="RENUN"/>
      <sheetName val="단가일람"/>
      <sheetName val="단위량당중기"/>
      <sheetName val="간접비 총괄표"/>
      <sheetName val="Cover"/>
      <sheetName val="Sheet2"/>
      <sheetName val="eq_data"/>
      <sheetName val="세금자료"/>
      <sheetName val="경제지표"/>
      <sheetName val="상반기손익차2총괄"/>
      <sheetName val="b_balju-단가단가단가"/>
      <sheetName val="휴일check"/>
      <sheetName val=" FURNACE현설"/>
      <sheetName val="급여관련자료"/>
      <sheetName val="h-013211-2"/>
      <sheetName val="NPC500"/>
      <sheetName val="갑지"/>
      <sheetName val="노점수분"/>
      <sheetName val="6호기"/>
      <sheetName val="RCF CLAIMED"/>
      <sheetName val="Bond Fee"/>
      <sheetName val="Units"/>
      <sheetName val="Instructions"/>
      <sheetName val="BLDG_DCI"/>
      <sheetName val="BLDG_MCI"/>
      <sheetName val="내역"/>
      <sheetName val="DATA1"/>
      <sheetName val="PumpSpec"/>
      <sheetName val="순공사비"/>
      <sheetName val="별표1"/>
      <sheetName val="예산내역"/>
      <sheetName val="총괄수지표"/>
      <sheetName val="매설배관"/>
      <sheetName val="A LINE"/>
      <sheetName val="인원계획"/>
      <sheetName val="요약배부_(보고)"/>
      <sheetName val="요약배부_(보고)_(2)"/>
      <sheetName val="예실차이_(2)"/>
      <sheetName val="POL6차-PIPING"/>
      <sheetName val="97_사업추정(WEKI)"/>
      <sheetName val="_FURNACE현설"/>
      <sheetName val="97_사업추정_WEKI_"/>
      <sheetName val="unit_4"/>
      <sheetName val="간접비_총괄표"/>
      <sheetName val="RCF_CLAIMED"/>
      <sheetName val="Bond_Fee"/>
      <sheetName val="C3"/>
      <sheetName val="자재단가비교표"/>
      <sheetName val="2.대외공문"/>
      <sheetName val="95하U$가격"/>
      <sheetName val="미지급금"/>
      <sheetName val="노임9월"/>
      <sheetName val="DATE"/>
      <sheetName val="주관사업"/>
      <sheetName val="일위대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인원계획"/>
      <sheetName val="인원계획 (2)"/>
      <sheetName val="인원계획 (3)"/>
      <sheetName val="인원차이"/>
      <sheetName val="인원차이 (2)"/>
      <sheetName val="영업소실적"/>
      <sheetName val=" 갑지"/>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인원계획"/>
      <sheetName val="인원계획 (2)"/>
      <sheetName val="인원계획 (3)"/>
      <sheetName val="인원차이"/>
      <sheetName val="인원차이 (2)"/>
      <sheetName val="9-1차이내역"/>
      <sheetName val="정부노임단가"/>
      <sheetName val="효율표"/>
      <sheetName val="소화실적"/>
      <sheetName val=" 갑지"/>
      <sheetName val="갑지"/>
      <sheetName val="영업소실적"/>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수입"/>
      <sheetName val="세금자료"/>
      <sheetName val="eq_data"/>
      <sheetName val="단중표-ST"/>
      <sheetName val="요약배부"/>
      <sheetName val="주관사업"/>
      <sheetName val="말뚝물량"/>
      <sheetName val="SUM-OVERSEAS"/>
      <sheetName val="Sheet1"/>
      <sheetName val="COST-850"/>
      <sheetName val="96.12"/>
      <sheetName val="sort"/>
      <sheetName val="영업소실적"/>
      <sheetName val="95년12월말"/>
      <sheetName val="수정양식"/>
      <sheetName val="DNT OSBL"/>
      <sheetName val="INPUT DATA"/>
      <sheetName val="PipWT"/>
      <sheetName val="경제지표"/>
      <sheetName val="BCPAB"/>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fitToPage="1"/>
  </sheetPr>
  <dimension ref="A1:AH27"/>
  <sheetViews>
    <sheetView showGridLines="0" view="pageBreakPreview" topLeftCell="A2" zoomScale="85" zoomScaleNormal="60" zoomScaleSheetLayoutView="85" workbookViewId="0">
      <selection activeCell="A28" sqref="A28"/>
    </sheetView>
  </sheetViews>
  <sheetFormatPr defaultRowHeight="14.45"/>
  <cols>
    <col min="1" max="3" width="8.7109375" style="96" customWidth="1"/>
    <col min="4" max="7" width="8.85546875" style="96" customWidth="1"/>
    <col min="8" max="8" width="9.28515625" style="96" customWidth="1"/>
    <col min="9" max="11" width="14.7109375" style="96" customWidth="1"/>
    <col min="12" max="17" width="8.85546875" style="96" customWidth="1"/>
    <col min="18" max="19" width="8.7109375" style="96" customWidth="1"/>
    <col min="20" max="20" width="15.42578125" style="96" customWidth="1"/>
    <col min="21" max="32" width="9" style="96" customWidth="1"/>
    <col min="33" max="33" width="6.7109375" style="96" customWidth="1"/>
    <col min="34" max="34" width="10" style="96" hidden="1" customWidth="1"/>
    <col min="35" max="256" width="9" style="96" customWidth="1"/>
    <col min="257" max="259" width="8.7109375" style="96" customWidth="1"/>
    <col min="260" max="263" width="8.85546875" style="96" customWidth="1"/>
    <col min="264" max="264" width="9.28515625" style="96" customWidth="1"/>
    <col min="265" max="267" width="14.7109375" style="96" customWidth="1"/>
    <col min="268" max="273" width="8.85546875" style="96" customWidth="1"/>
    <col min="274" max="275" width="8.7109375" style="96" customWidth="1"/>
    <col min="276" max="276" width="15.42578125" style="96" customWidth="1"/>
    <col min="277" max="512" width="9" style="96" customWidth="1"/>
    <col min="513" max="515" width="8.7109375" style="96" customWidth="1"/>
    <col min="516" max="519" width="8.85546875" style="96" customWidth="1"/>
    <col min="520" max="520" width="9.28515625" style="96" customWidth="1"/>
    <col min="521" max="523" width="14.7109375" style="96" customWidth="1"/>
    <col min="524" max="529" width="8.85546875" style="96" customWidth="1"/>
    <col min="530" max="531" width="8.7109375" style="96" customWidth="1"/>
    <col min="532" max="532" width="15.42578125" style="96" customWidth="1"/>
    <col min="533" max="768" width="9" style="96" customWidth="1"/>
    <col min="769" max="771" width="8.7109375" style="96" customWidth="1"/>
    <col min="772" max="775" width="8.85546875" style="96" customWidth="1"/>
    <col min="776" max="776" width="9.28515625" style="96" customWidth="1"/>
    <col min="777" max="779" width="14.7109375" style="96" customWidth="1"/>
    <col min="780" max="785" width="8.85546875" style="96" customWidth="1"/>
    <col min="786" max="787" width="8.7109375" style="96" customWidth="1"/>
    <col min="788" max="788" width="15.42578125" style="96" customWidth="1"/>
    <col min="789" max="1024" width="9" style="96" customWidth="1"/>
    <col min="1025" max="1027" width="8.7109375" style="96" customWidth="1"/>
    <col min="1028" max="1031" width="8.85546875" style="96" customWidth="1"/>
    <col min="1032" max="1032" width="9.28515625" style="96" customWidth="1"/>
    <col min="1033" max="1035" width="14.7109375" style="96" customWidth="1"/>
    <col min="1036" max="1041" width="8.85546875" style="96" customWidth="1"/>
    <col min="1042" max="1043" width="8.7109375" style="96" customWidth="1"/>
    <col min="1044" max="1044" width="15.42578125" style="96" customWidth="1"/>
    <col min="1045" max="1280" width="9" style="96" customWidth="1"/>
    <col min="1281" max="1283" width="8.7109375" style="96" customWidth="1"/>
    <col min="1284" max="1287" width="8.85546875" style="96" customWidth="1"/>
    <col min="1288" max="1288" width="9.28515625" style="96" customWidth="1"/>
    <col min="1289" max="1291" width="14.7109375" style="96" customWidth="1"/>
    <col min="1292" max="1297" width="8.85546875" style="96" customWidth="1"/>
    <col min="1298" max="1299" width="8.7109375" style="96" customWidth="1"/>
    <col min="1300" max="1300" width="15.42578125" style="96" customWidth="1"/>
    <col min="1301" max="1536" width="9" style="96" customWidth="1"/>
    <col min="1537" max="1539" width="8.7109375" style="96" customWidth="1"/>
    <col min="1540" max="1543" width="8.85546875" style="96" customWidth="1"/>
    <col min="1544" max="1544" width="9.28515625" style="96" customWidth="1"/>
    <col min="1545" max="1547" width="14.7109375" style="96" customWidth="1"/>
    <col min="1548" max="1553" width="8.85546875" style="96" customWidth="1"/>
    <col min="1554" max="1555" width="8.7109375" style="96" customWidth="1"/>
    <col min="1556" max="1556" width="15.42578125" style="96" customWidth="1"/>
    <col min="1557" max="1792" width="9" style="96" customWidth="1"/>
    <col min="1793" max="1795" width="8.7109375" style="96" customWidth="1"/>
    <col min="1796" max="1799" width="8.85546875" style="96" customWidth="1"/>
    <col min="1800" max="1800" width="9.28515625" style="96" customWidth="1"/>
    <col min="1801" max="1803" width="14.7109375" style="96" customWidth="1"/>
    <col min="1804" max="1809" width="8.85546875" style="96" customWidth="1"/>
    <col min="1810" max="1811" width="8.7109375" style="96" customWidth="1"/>
    <col min="1812" max="1812" width="15.42578125" style="96" customWidth="1"/>
    <col min="1813" max="2048" width="9" style="96" customWidth="1"/>
    <col min="2049" max="2051" width="8.7109375" style="96" customWidth="1"/>
    <col min="2052" max="2055" width="8.85546875" style="96" customWidth="1"/>
    <col min="2056" max="2056" width="9.28515625" style="96" customWidth="1"/>
    <col min="2057" max="2059" width="14.7109375" style="96" customWidth="1"/>
    <col min="2060" max="2065" width="8.85546875" style="96" customWidth="1"/>
    <col min="2066" max="2067" width="8.7109375" style="96" customWidth="1"/>
    <col min="2068" max="2068" width="15.42578125" style="96" customWidth="1"/>
    <col min="2069" max="2304" width="9" style="96" customWidth="1"/>
    <col min="2305" max="2307" width="8.7109375" style="96" customWidth="1"/>
    <col min="2308" max="2311" width="8.85546875" style="96" customWidth="1"/>
    <col min="2312" max="2312" width="9.28515625" style="96" customWidth="1"/>
    <col min="2313" max="2315" width="14.7109375" style="96" customWidth="1"/>
    <col min="2316" max="2321" width="8.85546875" style="96" customWidth="1"/>
    <col min="2322" max="2323" width="8.7109375" style="96" customWidth="1"/>
    <col min="2324" max="2324" width="15.42578125" style="96" customWidth="1"/>
    <col min="2325" max="2560" width="9" style="96" customWidth="1"/>
    <col min="2561" max="2563" width="8.7109375" style="96" customWidth="1"/>
    <col min="2564" max="2567" width="8.85546875" style="96" customWidth="1"/>
    <col min="2568" max="2568" width="9.28515625" style="96" customWidth="1"/>
    <col min="2569" max="2571" width="14.7109375" style="96" customWidth="1"/>
    <col min="2572" max="2577" width="8.85546875" style="96" customWidth="1"/>
    <col min="2578" max="2579" width="8.7109375" style="96" customWidth="1"/>
    <col min="2580" max="2580" width="15.42578125" style="96" customWidth="1"/>
    <col min="2581" max="2816" width="9" style="96" customWidth="1"/>
    <col min="2817" max="2819" width="8.7109375" style="96" customWidth="1"/>
    <col min="2820" max="2823" width="8.85546875" style="96" customWidth="1"/>
    <col min="2824" max="2824" width="9.28515625" style="96" customWidth="1"/>
    <col min="2825" max="2827" width="14.7109375" style="96" customWidth="1"/>
    <col min="2828" max="2833" width="8.85546875" style="96" customWidth="1"/>
    <col min="2834" max="2835" width="8.7109375" style="96" customWidth="1"/>
    <col min="2836" max="2836" width="15.42578125" style="96" customWidth="1"/>
    <col min="2837" max="3072" width="9" style="96" customWidth="1"/>
    <col min="3073" max="3075" width="8.7109375" style="96" customWidth="1"/>
    <col min="3076" max="3079" width="8.85546875" style="96" customWidth="1"/>
    <col min="3080" max="3080" width="9.28515625" style="96" customWidth="1"/>
    <col min="3081" max="3083" width="14.7109375" style="96" customWidth="1"/>
    <col min="3084" max="3089" width="8.85546875" style="96" customWidth="1"/>
    <col min="3090" max="3091" width="8.7109375" style="96" customWidth="1"/>
    <col min="3092" max="3092" width="15.42578125" style="96" customWidth="1"/>
    <col min="3093" max="3328" width="9" style="96" customWidth="1"/>
    <col min="3329" max="3331" width="8.7109375" style="96" customWidth="1"/>
    <col min="3332" max="3335" width="8.85546875" style="96" customWidth="1"/>
    <col min="3336" max="3336" width="9.28515625" style="96" customWidth="1"/>
    <col min="3337" max="3339" width="14.7109375" style="96" customWidth="1"/>
    <col min="3340" max="3345" width="8.85546875" style="96" customWidth="1"/>
    <col min="3346" max="3347" width="8.7109375" style="96" customWidth="1"/>
    <col min="3348" max="3348" width="15.42578125" style="96" customWidth="1"/>
    <col min="3349" max="3584" width="9" style="96" customWidth="1"/>
    <col min="3585" max="3587" width="8.7109375" style="96" customWidth="1"/>
    <col min="3588" max="3591" width="8.85546875" style="96" customWidth="1"/>
    <col min="3592" max="3592" width="9.28515625" style="96" customWidth="1"/>
    <col min="3593" max="3595" width="14.7109375" style="96" customWidth="1"/>
    <col min="3596" max="3601" width="8.85546875" style="96" customWidth="1"/>
    <col min="3602" max="3603" width="8.7109375" style="96" customWidth="1"/>
    <col min="3604" max="3604" width="15.42578125" style="96" customWidth="1"/>
    <col min="3605" max="3840" width="9" style="96" customWidth="1"/>
    <col min="3841" max="3843" width="8.7109375" style="96" customWidth="1"/>
    <col min="3844" max="3847" width="8.85546875" style="96" customWidth="1"/>
    <col min="3848" max="3848" width="9.28515625" style="96" customWidth="1"/>
    <col min="3849" max="3851" width="14.7109375" style="96" customWidth="1"/>
    <col min="3852" max="3857" width="8.85546875" style="96" customWidth="1"/>
    <col min="3858" max="3859" width="8.7109375" style="96" customWidth="1"/>
    <col min="3860" max="3860" width="15.42578125" style="96" customWidth="1"/>
    <col min="3861" max="4096" width="9" style="96" customWidth="1"/>
    <col min="4097" max="4099" width="8.7109375" style="96" customWidth="1"/>
    <col min="4100" max="4103" width="8.85546875" style="96" customWidth="1"/>
    <col min="4104" max="4104" width="9.28515625" style="96" customWidth="1"/>
    <col min="4105" max="4107" width="14.7109375" style="96" customWidth="1"/>
    <col min="4108" max="4113" width="8.85546875" style="96" customWidth="1"/>
    <col min="4114" max="4115" width="8.7109375" style="96" customWidth="1"/>
    <col min="4116" max="4116" width="15.42578125" style="96" customWidth="1"/>
    <col min="4117" max="4352" width="9" style="96" customWidth="1"/>
    <col min="4353" max="4355" width="8.7109375" style="96" customWidth="1"/>
    <col min="4356" max="4359" width="8.85546875" style="96" customWidth="1"/>
    <col min="4360" max="4360" width="9.28515625" style="96" customWidth="1"/>
    <col min="4361" max="4363" width="14.7109375" style="96" customWidth="1"/>
    <col min="4364" max="4369" width="8.85546875" style="96" customWidth="1"/>
    <col min="4370" max="4371" width="8.7109375" style="96" customWidth="1"/>
    <col min="4372" max="4372" width="15.42578125" style="96" customWidth="1"/>
    <col min="4373" max="4608" width="9" style="96" customWidth="1"/>
    <col min="4609" max="4611" width="8.7109375" style="96" customWidth="1"/>
    <col min="4612" max="4615" width="8.85546875" style="96" customWidth="1"/>
    <col min="4616" max="4616" width="9.28515625" style="96" customWidth="1"/>
    <col min="4617" max="4619" width="14.7109375" style="96" customWidth="1"/>
    <col min="4620" max="4625" width="8.85546875" style="96" customWidth="1"/>
    <col min="4626" max="4627" width="8.7109375" style="96" customWidth="1"/>
    <col min="4628" max="4628" width="15.42578125" style="96" customWidth="1"/>
    <col min="4629" max="4864" width="9" style="96" customWidth="1"/>
    <col min="4865" max="4867" width="8.7109375" style="96" customWidth="1"/>
    <col min="4868" max="4871" width="8.85546875" style="96" customWidth="1"/>
    <col min="4872" max="4872" width="9.28515625" style="96" customWidth="1"/>
    <col min="4873" max="4875" width="14.7109375" style="96" customWidth="1"/>
    <col min="4876" max="4881" width="8.85546875" style="96" customWidth="1"/>
    <col min="4882" max="4883" width="8.7109375" style="96" customWidth="1"/>
    <col min="4884" max="4884" width="15.42578125" style="96" customWidth="1"/>
    <col min="4885" max="5120" width="9" style="96" customWidth="1"/>
    <col min="5121" max="5123" width="8.7109375" style="96" customWidth="1"/>
    <col min="5124" max="5127" width="8.85546875" style="96" customWidth="1"/>
    <col min="5128" max="5128" width="9.28515625" style="96" customWidth="1"/>
    <col min="5129" max="5131" width="14.7109375" style="96" customWidth="1"/>
    <col min="5132" max="5137" width="8.85546875" style="96" customWidth="1"/>
    <col min="5138" max="5139" width="8.7109375" style="96" customWidth="1"/>
    <col min="5140" max="5140" width="15.42578125" style="96" customWidth="1"/>
    <col min="5141" max="5376" width="9" style="96" customWidth="1"/>
    <col min="5377" max="5379" width="8.7109375" style="96" customWidth="1"/>
    <col min="5380" max="5383" width="8.85546875" style="96" customWidth="1"/>
    <col min="5384" max="5384" width="9.28515625" style="96" customWidth="1"/>
    <col min="5385" max="5387" width="14.7109375" style="96" customWidth="1"/>
    <col min="5388" max="5393" width="8.85546875" style="96" customWidth="1"/>
    <col min="5394" max="5395" width="8.7109375" style="96" customWidth="1"/>
    <col min="5396" max="5396" width="15.42578125" style="96" customWidth="1"/>
    <col min="5397" max="5632" width="9" style="96" customWidth="1"/>
    <col min="5633" max="5635" width="8.7109375" style="96" customWidth="1"/>
    <col min="5636" max="5639" width="8.85546875" style="96" customWidth="1"/>
    <col min="5640" max="5640" width="9.28515625" style="96" customWidth="1"/>
    <col min="5641" max="5643" width="14.7109375" style="96" customWidth="1"/>
    <col min="5644" max="5649" width="8.85546875" style="96" customWidth="1"/>
    <col min="5650" max="5651" width="8.7109375" style="96" customWidth="1"/>
    <col min="5652" max="5652" width="15.42578125" style="96" customWidth="1"/>
    <col min="5653" max="5888" width="9" style="96" customWidth="1"/>
    <col min="5889" max="5891" width="8.7109375" style="96" customWidth="1"/>
    <col min="5892" max="5895" width="8.85546875" style="96" customWidth="1"/>
    <col min="5896" max="5896" width="9.28515625" style="96" customWidth="1"/>
    <col min="5897" max="5899" width="14.7109375" style="96" customWidth="1"/>
    <col min="5900" max="5905" width="8.85546875" style="96" customWidth="1"/>
    <col min="5906" max="5907" width="8.7109375" style="96" customWidth="1"/>
    <col min="5908" max="5908" width="15.42578125" style="96" customWidth="1"/>
    <col min="5909" max="6144" width="9" style="96" customWidth="1"/>
    <col min="6145" max="6147" width="8.7109375" style="96" customWidth="1"/>
    <col min="6148" max="6151" width="8.85546875" style="96" customWidth="1"/>
    <col min="6152" max="6152" width="9.28515625" style="96" customWidth="1"/>
    <col min="6153" max="6155" width="14.7109375" style="96" customWidth="1"/>
    <col min="6156" max="6161" width="8.85546875" style="96" customWidth="1"/>
    <col min="6162" max="6163" width="8.7109375" style="96" customWidth="1"/>
    <col min="6164" max="6164" width="15.42578125" style="96" customWidth="1"/>
    <col min="6165" max="6400" width="9" style="96" customWidth="1"/>
    <col min="6401" max="6403" width="8.7109375" style="96" customWidth="1"/>
    <col min="6404" max="6407" width="8.85546875" style="96" customWidth="1"/>
    <col min="6408" max="6408" width="9.28515625" style="96" customWidth="1"/>
    <col min="6409" max="6411" width="14.7109375" style="96" customWidth="1"/>
    <col min="6412" max="6417" width="8.85546875" style="96" customWidth="1"/>
    <col min="6418" max="6419" width="8.7109375" style="96" customWidth="1"/>
    <col min="6420" max="6420" width="15.42578125" style="96" customWidth="1"/>
    <col min="6421" max="6656" width="9" style="96" customWidth="1"/>
    <col min="6657" max="6659" width="8.7109375" style="96" customWidth="1"/>
    <col min="6660" max="6663" width="8.85546875" style="96" customWidth="1"/>
    <col min="6664" max="6664" width="9.28515625" style="96" customWidth="1"/>
    <col min="6665" max="6667" width="14.7109375" style="96" customWidth="1"/>
    <col min="6668" max="6673" width="8.85546875" style="96" customWidth="1"/>
    <col min="6674" max="6675" width="8.7109375" style="96" customWidth="1"/>
    <col min="6676" max="6676" width="15.42578125" style="96" customWidth="1"/>
    <col min="6677" max="6912" width="9" style="96" customWidth="1"/>
    <col min="6913" max="6915" width="8.7109375" style="96" customWidth="1"/>
    <col min="6916" max="6919" width="8.85546875" style="96" customWidth="1"/>
    <col min="6920" max="6920" width="9.28515625" style="96" customWidth="1"/>
    <col min="6921" max="6923" width="14.7109375" style="96" customWidth="1"/>
    <col min="6924" max="6929" width="8.85546875" style="96" customWidth="1"/>
    <col min="6930" max="6931" width="8.7109375" style="96" customWidth="1"/>
    <col min="6932" max="6932" width="15.42578125" style="96" customWidth="1"/>
    <col min="6933" max="7168" width="9" style="96" customWidth="1"/>
    <col min="7169" max="7171" width="8.7109375" style="96" customWidth="1"/>
    <col min="7172" max="7175" width="8.85546875" style="96" customWidth="1"/>
    <col min="7176" max="7176" width="9.28515625" style="96" customWidth="1"/>
    <col min="7177" max="7179" width="14.7109375" style="96" customWidth="1"/>
    <col min="7180" max="7185" width="8.85546875" style="96" customWidth="1"/>
    <col min="7186" max="7187" width="8.7109375" style="96" customWidth="1"/>
    <col min="7188" max="7188" width="15.42578125" style="96" customWidth="1"/>
    <col min="7189" max="7424" width="9" style="96" customWidth="1"/>
    <col min="7425" max="7427" width="8.7109375" style="96" customWidth="1"/>
    <col min="7428" max="7431" width="8.85546875" style="96" customWidth="1"/>
    <col min="7432" max="7432" width="9.28515625" style="96" customWidth="1"/>
    <col min="7433" max="7435" width="14.7109375" style="96" customWidth="1"/>
    <col min="7436" max="7441" width="8.85546875" style="96" customWidth="1"/>
    <col min="7442" max="7443" width="8.7109375" style="96" customWidth="1"/>
    <col min="7444" max="7444" width="15.42578125" style="96" customWidth="1"/>
    <col min="7445" max="7680" width="9" style="96" customWidth="1"/>
    <col min="7681" max="7683" width="8.7109375" style="96" customWidth="1"/>
    <col min="7684" max="7687" width="8.85546875" style="96" customWidth="1"/>
    <col min="7688" max="7688" width="9.28515625" style="96" customWidth="1"/>
    <col min="7689" max="7691" width="14.7109375" style="96" customWidth="1"/>
    <col min="7692" max="7697" width="8.85546875" style="96" customWidth="1"/>
    <col min="7698" max="7699" width="8.7109375" style="96" customWidth="1"/>
    <col min="7700" max="7700" width="15.42578125" style="96" customWidth="1"/>
    <col min="7701" max="7936" width="9" style="96" customWidth="1"/>
    <col min="7937" max="7939" width="8.7109375" style="96" customWidth="1"/>
    <col min="7940" max="7943" width="8.85546875" style="96" customWidth="1"/>
    <col min="7944" max="7944" width="9.28515625" style="96" customWidth="1"/>
    <col min="7945" max="7947" width="14.7109375" style="96" customWidth="1"/>
    <col min="7948" max="7953" width="8.85546875" style="96" customWidth="1"/>
    <col min="7954" max="7955" width="8.7109375" style="96" customWidth="1"/>
    <col min="7956" max="7956" width="15.42578125" style="96" customWidth="1"/>
    <col min="7957" max="8192" width="9" style="96" customWidth="1"/>
    <col min="8193" max="8195" width="8.7109375" style="96" customWidth="1"/>
    <col min="8196" max="8199" width="8.85546875" style="96" customWidth="1"/>
    <col min="8200" max="8200" width="9.28515625" style="96" customWidth="1"/>
    <col min="8201" max="8203" width="14.7109375" style="96" customWidth="1"/>
    <col min="8204" max="8209" width="8.85546875" style="96" customWidth="1"/>
    <col min="8210" max="8211" width="8.7109375" style="96" customWidth="1"/>
    <col min="8212" max="8212" width="15.42578125" style="96" customWidth="1"/>
    <col min="8213" max="8448" width="9" style="96" customWidth="1"/>
    <col min="8449" max="8451" width="8.7109375" style="96" customWidth="1"/>
    <col min="8452" max="8455" width="8.85546875" style="96" customWidth="1"/>
    <col min="8456" max="8456" width="9.28515625" style="96" customWidth="1"/>
    <col min="8457" max="8459" width="14.7109375" style="96" customWidth="1"/>
    <col min="8460" max="8465" width="8.85546875" style="96" customWidth="1"/>
    <col min="8466" max="8467" width="8.7109375" style="96" customWidth="1"/>
    <col min="8468" max="8468" width="15.42578125" style="96" customWidth="1"/>
    <col min="8469" max="8704" width="9" style="96" customWidth="1"/>
    <col min="8705" max="8707" width="8.7109375" style="96" customWidth="1"/>
    <col min="8708" max="8711" width="8.85546875" style="96" customWidth="1"/>
    <col min="8712" max="8712" width="9.28515625" style="96" customWidth="1"/>
    <col min="8713" max="8715" width="14.7109375" style="96" customWidth="1"/>
    <col min="8716" max="8721" width="8.85546875" style="96" customWidth="1"/>
    <col min="8722" max="8723" width="8.7109375" style="96" customWidth="1"/>
    <col min="8724" max="8724" width="15.42578125" style="96" customWidth="1"/>
    <col min="8725" max="8960" width="9" style="96" customWidth="1"/>
    <col min="8961" max="8963" width="8.7109375" style="96" customWidth="1"/>
    <col min="8964" max="8967" width="8.85546875" style="96" customWidth="1"/>
    <col min="8968" max="8968" width="9.28515625" style="96" customWidth="1"/>
    <col min="8969" max="8971" width="14.7109375" style="96" customWidth="1"/>
    <col min="8972" max="8977" width="8.85546875" style="96" customWidth="1"/>
    <col min="8978" max="8979" width="8.7109375" style="96" customWidth="1"/>
    <col min="8980" max="8980" width="15.42578125" style="96" customWidth="1"/>
    <col min="8981" max="9216" width="9" style="96" customWidth="1"/>
    <col min="9217" max="9219" width="8.7109375" style="96" customWidth="1"/>
    <col min="9220" max="9223" width="8.85546875" style="96" customWidth="1"/>
    <col min="9224" max="9224" width="9.28515625" style="96" customWidth="1"/>
    <col min="9225" max="9227" width="14.7109375" style="96" customWidth="1"/>
    <col min="9228" max="9233" width="8.85546875" style="96" customWidth="1"/>
    <col min="9234" max="9235" width="8.7109375" style="96" customWidth="1"/>
    <col min="9236" max="9236" width="15.42578125" style="96" customWidth="1"/>
    <col min="9237" max="9472" width="9" style="96" customWidth="1"/>
    <col min="9473" max="9475" width="8.7109375" style="96" customWidth="1"/>
    <col min="9476" max="9479" width="8.85546875" style="96" customWidth="1"/>
    <col min="9480" max="9480" width="9.28515625" style="96" customWidth="1"/>
    <col min="9481" max="9483" width="14.7109375" style="96" customWidth="1"/>
    <col min="9484" max="9489" width="8.85546875" style="96" customWidth="1"/>
    <col min="9490" max="9491" width="8.7109375" style="96" customWidth="1"/>
    <col min="9492" max="9492" width="15.42578125" style="96" customWidth="1"/>
    <col min="9493" max="9728" width="9" style="96" customWidth="1"/>
    <col min="9729" max="9731" width="8.7109375" style="96" customWidth="1"/>
    <col min="9732" max="9735" width="8.85546875" style="96" customWidth="1"/>
    <col min="9736" max="9736" width="9.28515625" style="96" customWidth="1"/>
    <col min="9737" max="9739" width="14.7109375" style="96" customWidth="1"/>
    <col min="9740" max="9745" width="8.85546875" style="96" customWidth="1"/>
    <col min="9746" max="9747" width="8.7109375" style="96" customWidth="1"/>
    <col min="9748" max="9748" width="15.42578125" style="96" customWidth="1"/>
    <col min="9749" max="9984" width="9" style="96" customWidth="1"/>
    <col min="9985" max="9987" width="8.7109375" style="96" customWidth="1"/>
    <col min="9988" max="9991" width="8.85546875" style="96" customWidth="1"/>
    <col min="9992" max="9992" width="9.28515625" style="96" customWidth="1"/>
    <col min="9993" max="9995" width="14.7109375" style="96" customWidth="1"/>
    <col min="9996" max="10001" width="8.85546875" style="96" customWidth="1"/>
    <col min="10002" max="10003" width="8.7109375" style="96" customWidth="1"/>
    <col min="10004" max="10004" width="15.42578125" style="96" customWidth="1"/>
    <col min="10005" max="10240" width="9" style="96" customWidth="1"/>
    <col min="10241" max="10243" width="8.7109375" style="96" customWidth="1"/>
    <col min="10244" max="10247" width="8.85546875" style="96" customWidth="1"/>
    <col min="10248" max="10248" width="9.28515625" style="96" customWidth="1"/>
    <col min="10249" max="10251" width="14.7109375" style="96" customWidth="1"/>
    <col min="10252" max="10257" width="8.85546875" style="96" customWidth="1"/>
    <col min="10258" max="10259" width="8.7109375" style="96" customWidth="1"/>
    <col min="10260" max="10260" width="15.42578125" style="96" customWidth="1"/>
    <col min="10261" max="10496" width="9" style="96" customWidth="1"/>
    <col min="10497" max="10499" width="8.7109375" style="96" customWidth="1"/>
    <col min="10500" max="10503" width="8.85546875" style="96" customWidth="1"/>
    <col min="10504" max="10504" width="9.28515625" style="96" customWidth="1"/>
    <col min="10505" max="10507" width="14.7109375" style="96" customWidth="1"/>
    <col min="10508" max="10513" width="8.85546875" style="96" customWidth="1"/>
    <col min="10514" max="10515" width="8.7109375" style="96" customWidth="1"/>
    <col min="10516" max="10516" width="15.42578125" style="96" customWidth="1"/>
    <col min="10517" max="10752" width="9" style="96" customWidth="1"/>
    <col min="10753" max="10755" width="8.7109375" style="96" customWidth="1"/>
    <col min="10756" max="10759" width="8.85546875" style="96" customWidth="1"/>
    <col min="10760" max="10760" width="9.28515625" style="96" customWidth="1"/>
    <col min="10761" max="10763" width="14.7109375" style="96" customWidth="1"/>
    <col min="10764" max="10769" width="8.85546875" style="96" customWidth="1"/>
    <col min="10770" max="10771" width="8.7109375" style="96" customWidth="1"/>
    <col min="10772" max="10772" width="15.42578125" style="96" customWidth="1"/>
    <col min="10773" max="11008" width="9" style="96" customWidth="1"/>
    <col min="11009" max="11011" width="8.7109375" style="96" customWidth="1"/>
    <col min="11012" max="11015" width="8.85546875" style="96" customWidth="1"/>
    <col min="11016" max="11016" width="9.28515625" style="96" customWidth="1"/>
    <col min="11017" max="11019" width="14.7109375" style="96" customWidth="1"/>
    <col min="11020" max="11025" width="8.85546875" style="96" customWidth="1"/>
    <col min="11026" max="11027" width="8.7109375" style="96" customWidth="1"/>
    <col min="11028" max="11028" width="15.42578125" style="96" customWidth="1"/>
    <col min="11029" max="11264" width="9" style="96" customWidth="1"/>
    <col min="11265" max="11267" width="8.7109375" style="96" customWidth="1"/>
    <col min="11268" max="11271" width="8.85546875" style="96" customWidth="1"/>
    <col min="11272" max="11272" width="9.28515625" style="96" customWidth="1"/>
    <col min="11273" max="11275" width="14.7109375" style="96" customWidth="1"/>
    <col min="11276" max="11281" width="8.85546875" style="96" customWidth="1"/>
    <col min="11282" max="11283" width="8.7109375" style="96" customWidth="1"/>
    <col min="11284" max="11284" width="15.42578125" style="96" customWidth="1"/>
    <col min="11285" max="11520" width="9" style="96" customWidth="1"/>
    <col min="11521" max="11523" width="8.7109375" style="96" customWidth="1"/>
    <col min="11524" max="11527" width="8.85546875" style="96" customWidth="1"/>
    <col min="11528" max="11528" width="9.28515625" style="96" customWidth="1"/>
    <col min="11529" max="11531" width="14.7109375" style="96" customWidth="1"/>
    <col min="11532" max="11537" width="8.85546875" style="96" customWidth="1"/>
    <col min="11538" max="11539" width="8.7109375" style="96" customWidth="1"/>
    <col min="11540" max="11540" width="15.42578125" style="96" customWidth="1"/>
    <col min="11541" max="11776" width="9" style="96" customWidth="1"/>
    <col min="11777" max="11779" width="8.7109375" style="96" customWidth="1"/>
    <col min="11780" max="11783" width="8.85546875" style="96" customWidth="1"/>
    <col min="11784" max="11784" width="9.28515625" style="96" customWidth="1"/>
    <col min="11785" max="11787" width="14.7109375" style="96" customWidth="1"/>
    <col min="11788" max="11793" width="8.85546875" style="96" customWidth="1"/>
    <col min="11794" max="11795" width="8.7109375" style="96" customWidth="1"/>
    <col min="11796" max="11796" width="15.42578125" style="96" customWidth="1"/>
    <col min="11797" max="12032" width="9" style="96" customWidth="1"/>
    <col min="12033" max="12035" width="8.7109375" style="96" customWidth="1"/>
    <col min="12036" max="12039" width="8.85546875" style="96" customWidth="1"/>
    <col min="12040" max="12040" width="9.28515625" style="96" customWidth="1"/>
    <col min="12041" max="12043" width="14.7109375" style="96" customWidth="1"/>
    <col min="12044" max="12049" width="8.85546875" style="96" customWidth="1"/>
    <col min="12050" max="12051" width="8.7109375" style="96" customWidth="1"/>
    <col min="12052" max="12052" width="15.42578125" style="96" customWidth="1"/>
    <col min="12053" max="12288" width="9" style="96" customWidth="1"/>
    <col min="12289" max="12291" width="8.7109375" style="96" customWidth="1"/>
    <col min="12292" max="12295" width="8.85546875" style="96" customWidth="1"/>
    <col min="12296" max="12296" width="9.28515625" style="96" customWidth="1"/>
    <col min="12297" max="12299" width="14.7109375" style="96" customWidth="1"/>
    <col min="12300" max="12305" width="8.85546875" style="96" customWidth="1"/>
    <col min="12306" max="12307" width="8.7109375" style="96" customWidth="1"/>
    <col min="12308" max="12308" width="15.42578125" style="96" customWidth="1"/>
    <col min="12309" max="12544" width="9" style="96" customWidth="1"/>
    <col min="12545" max="12547" width="8.7109375" style="96" customWidth="1"/>
    <col min="12548" max="12551" width="8.85546875" style="96" customWidth="1"/>
    <col min="12552" max="12552" width="9.28515625" style="96" customWidth="1"/>
    <col min="12553" max="12555" width="14.7109375" style="96" customWidth="1"/>
    <col min="12556" max="12561" width="8.85546875" style="96" customWidth="1"/>
    <col min="12562" max="12563" width="8.7109375" style="96" customWidth="1"/>
    <col min="12564" max="12564" width="15.42578125" style="96" customWidth="1"/>
    <col min="12565" max="12800" width="9" style="96" customWidth="1"/>
    <col min="12801" max="12803" width="8.7109375" style="96" customWidth="1"/>
    <col min="12804" max="12807" width="8.85546875" style="96" customWidth="1"/>
    <col min="12808" max="12808" width="9.28515625" style="96" customWidth="1"/>
    <col min="12809" max="12811" width="14.7109375" style="96" customWidth="1"/>
    <col min="12812" max="12817" width="8.85546875" style="96" customWidth="1"/>
    <col min="12818" max="12819" width="8.7109375" style="96" customWidth="1"/>
    <col min="12820" max="12820" width="15.42578125" style="96" customWidth="1"/>
    <col min="12821" max="13056" width="9" style="96" customWidth="1"/>
    <col min="13057" max="13059" width="8.7109375" style="96" customWidth="1"/>
    <col min="13060" max="13063" width="8.85546875" style="96" customWidth="1"/>
    <col min="13064" max="13064" width="9.28515625" style="96" customWidth="1"/>
    <col min="13065" max="13067" width="14.7109375" style="96" customWidth="1"/>
    <col min="13068" max="13073" width="8.85546875" style="96" customWidth="1"/>
    <col min="13074" max="13075" width="8.7109375" style="96" customWidth="1"/>
    <col min="13076" max="13076" width="15.42578125" style="96" customWidth="1"/>
    <col min="13077" max="13312" width="9" style="96" customWidth="1"/>
    <col min="13313" max="13315" width="8.7109375" style="96" customWidth="1"/>
    <col min="13316" max="13319" width="8.85546875" style="96" customWidth="1"/>
    <col min="13320" max="13320" width="9.28515625" style="96" customWidth="1"/>
    <col min="13321" max="13323" width="14.7109375" style="96" customWidth="1"/>
    <col min="13324" max="13329" width="8.85546875" style="96" customWidth="1"/>
    <col min="13330" max="13331" width="8.7109375" style="96" customWidth="1"/>
    <col min="13332" max="13332" width="15.42578125" style="96" customWidth="1"/>
    <col min="13333" max="13568" width="9" style="96" customWidth="1"/>
    <col min="13569" max="13571" width="8.7109375" style="96" customWidth="1"/>
    <col min="13572" max="13575" width="8.85546875" style="96" customWidth="1"/>
    <col min="13576" max="13576" width="9.28515625" style="96" customWidth="1"/>
    <col min="13577" max="13579" width="14.7109375" style="96" customWidth="1"/>
    <col min="13580" max="13585" width="8.85546875" style="96" customWidth="1"/>
    <col min="13586" max="13587" width="8.7109375" style="96" customWidth="1"/>
    <col min="13588" max="13588" width="15.42578125" style="96" customWidth="1"/>
    <col min="13589" max="13824" width="9" style="96" customWidth="1"/>
    <col min="13825" max="13827" width="8.7109375" style="96" customWidth="1"/>
    <col min="13828" max="13831" width="8.85546875" style="96" customWidth="1"/>
    <col min="13832" max="13832" width="9.28515625" style="96" customWidth="1"/>
    <col min="13833" max="13835" width="14.7109375" style="96" customWidth="1"/>
    <col min="13836" max="13841" width="8.85546875" style="96" customWidth="1"/>
    <col min="13842" max="13843" width="8.7109375" style="96" customWidth="1"/>
    <col min="13844" max="13844" width="15.42578125" style="96" customWidth="1"/>
    <col min="13845" max="14080" width="9" style="96" customWidth="1"/>
    <col min="14081" max="14083" width="8.7109375" style="96" customWidth="1"/>
    <col min="14084" max="14087" width="8.85546875" style="96" customWidth="1"/>
    <col min="14088" max="14088" width="9.28515625" style="96" customWidth="1"/>
    <col min="14089" max="14091" width="14.7109375" style="96" customWidth="1"/>
    <col min="14092" max="14097" width="8.85546875" style="96" customWidth="1"/>
    <col min="14098" max="14099" width="8.7109375" style="96" customWidth="1"/>
    <col min="14100" max="14100" width="15.42578125" style="96" customWidth="1"/>
    <col min="14101" max="14336" width="9" style="96" customWidth="1"/>
    <col min="14337" max="14339" width="8.7109375" style="96" customWidth="1"/>
    <col min="14340" max="14343" width="8.85546875" style="96" customWidth="1"/>
    <col min="14344" max="14344" width="9.28515625" style="96" customWidth="1"/>
    <col min="14345" max="14347" width="14.7109375" style="96" customWidth="1"/>
    <col min="14348" max="14353" width="8.85546875" style="96" customWidth="1"/>
    <col min="14354" max="14355" width="8.7109375" style="96" customWidth="1"/>
    <col min="14356" max="14356" width="15.42578125" style="96" customWidth="1"/>
    <col min="14357" max="14592" width="9" style="96" customWidth="1"/>
    <col min="14593" max="14595" width="8.7109375" style="96" customWidth="1"/>
    <col min="14596" max="14599" width="8.85546875" style="96" customWidth="1"/>
    <col min="14600" max="14600" width="9.28515625" style="96" customWidth="1"/>
    <col min="14601" max="14603" width="14.7109375" style="96" customWidth="1"/>
    <col min="14604" max="14609" width="8.85546875" style="96" customWidth="1"/>
    <col min="14610" max="14611" width="8.7109375" style="96" customWidth="1"/>
    <col min="14612" max="14612" width="15.42578125" style="96" customWidth="1"/>
    <col min="14613" max="14848" width="9" style="96" customWidth="1"/>
    <col min="14849" max="14851" width="8.7109375" style="96" customWidth="1"/>
    <col min="14852" max="14855" width="8.85546875" style="96" customWidth="1"/>
    <col min="14856" max="14856" width="9.28515625" style="96" customWidth="1"/>
    <col min="14857" max="14859" width="14.7109375" style="96" customWidth="1"/>
    <col min="14860" max="14865" width="8.85546875" style="96" customWidth="1"/>
    <col min="14866" max="14867" width="8.7109375" style="96" customWidth="1"/>
    <col min="14868" max="14868" width="15.42578125" style="96" customWidth="1"/>
    <col min="14869" max="15104" width="9" style="96" customWidth="1"/>
    <col min="15105" max="15107" width="8.7109375" style="96" customWidth="1"/>
    <col min="15108" max="15111" width="8.85546875" style="96" customWidth="1"/>
    <col min="15112" max="15112" width="9.28515625" style="96" customWidth="1"/>
    <col min="15113" max="15115" width="14.7109375" style="96" customWidth="1"/>
    <col min="15116" max="15121" width="8.85546875" style="96" customWidth="1"/>
    <col min="15122" max="15123" width="8.7109375" style="96" customWidth="1"/>
    <col min="15124" max="15124" width="15.42578125" style="96" customWidth="1"/>
    <col min="15125" max="15360" width="9" style="96" customWidth="1"/>
    <col min="15361" max="15363" width="8.7109375" style="96" customWidth="1"/>
    <col min="15364" max="15367" width="8.85546875" style="96" customWidth="1"/>
    <col min="15368" max="15368" width="9.28515625" style="96" customWidth="1"/>
    <col min="15369" max="15371" width="14.7109375" style="96" customWidth="1"/>
    <col min="15372" max="15377" width="8.85546875" style="96" customWidth="1"/>
    <col min="15378" max="15379" width="8.7109375" style="96" customWidth="1"/>
    <col min="15380" max="15380" width="15.42578125" style="96" customWidth="1"/>
    <col min="15381" max="15616" width="9" style="96" customWidth="1"/>
    <col min="15617" max="15619" width="8.7109375" style="96" customWidth="1"/>
    <col min="15620" max="15623" width="8.85546875" style="96" customWidth="1"/>
    <col min="15624" max="15624" width="9.28515625" style="96" customWidth="1"/>
    <col min="15625" max="15627" width="14.7109375" style="96" customWidth="1"/>
    <col min="15628" max="15633" width="8.85546875" style="96" customWidth="1"/>
    <col min="15634" max="15635" width="8.7109375" style="96" customWidth="1"/>
    <col min="15636" max="15636" width="15.42578125" style="96" customWidth="1"/>
    <col min="15637" max="15872" width="9" style="96" customWidth="1"/>
    <col min="15873" max="15875" width="8.7109375" style="96" customWidth="1"/>
    <col min="15876" max="15879" width="8.85546875" style="96" customWidth="1"/>
    <col min="15880" max="15880" width="9.28515625" style="96" customWidth="1"/>
    <col min="15881" max="15883" width="14.7109375" style="96" customWidth="1"/>
    <col min="15884" max="15889" width="8.85546875" style="96" customWidth="1"/>
    <col min="15890" max="15891" width="8.7109375" style="96" customWidth="1"/>
    <col min="15892" max="15892" width="15.42578125" style="96" customWidth="1"/>
    <col min="15893" max="16128" width="9" style="96" customWidth="1"/>
    <col min="16129" max="16131" width="8.7109375" style="96" customWidth="1"/>
    <col min="16132" max="16135" width="8.85546875" style="96" customWidth="1"/>
    <col min="16136" max="16136" width="9.28515625" style="96" customWidth="1"/>
    <col min="16137" max="16139" width="14.7109375" style="96" customWidth="1"/>
    <col min="16140" max="16145" width="8.85546875" style="96" customWidth="1"/>
    <col min="16146" max="16147" width="8.7109375" style="96" customWidth="1"/>
    <col min="16148" max="16148" width="15.42578125" style="96" customWidth="1"/>
    <col min="16149" max="16384" width="9" style="96" customWidth="1"/>
  </cols>
  <sheetData>
    <row r="1" spans="1:20" s="83" customFormat="1" ht="44.25" customHeight="1">
      <c r="A1" s="81"/>
      <c r="B1" s="82"/>
      <c r="C1" s="82"/>
      <c r="D1" s="82"/>
      <c r="E1" s="82"/>
      <c r="F1" s="82"/>
      <c r="G1" s="82"/>
      <c r="H1" s="82"/>
      <c r="I1" s="82"/>
      <c r="J1" s="82"/>
      <c r="K1" s="82"/>
      <c r="L1" s="82"/>
      <c r="M1" s="82"/>
      <c r="N1" s="82"/>
      <c r="O1" s="82"/>
      <c r="P1" s="82"/>
      <c r="Q1" s="82"/>
      <c r="R1" s="82"/>
      <c r="S1" s="82"/>
      <c r="T1" s="82"/>
    </row>
    <row r="2" spans="1:20" s="83" customFormat="1" ht="85.5" customHeight="1">
      <c r="A2" s="113" t="s">
        <v>0</v>
      </c>
      <c r="B2" s="115"/>
      <c r="C2" s="115"/>
      <c r="D2" s="115"/>
      <c r="E2" s="115"/>
      <c r="F2" s="115"/>
      <c r="G2" s="115"/>
      <c r="H2" s="115"/>
      <c r="I2" s="115"/>
      <c r="J2" s="115"/>
      <c r="K2" s="115"/>
      <c r="L2" s="115"/>
      <c r="M2" s="115"/>
      <c r="N2" s="115"/>
      <c r="O2" s="115"/>
      <c r="P2" s="115"/>
      <c r="Q2" s="115"/>
      <c r="R2" s="115"/>
      <c r="S2" s="115"/>
      <c r="T2" s="84"/>
    </row>
    <row r="3" spans="1:20" s="83" customFormat="1" ht="13.9" customHeight="1">
      <c r="A3" s="82"/>
      <c r="B3" s="82"/>
      <c r="C3" s="82"/>
      <c r="D3" s="82"/>
      <c r="E3" s="82"/>
      <c r="F3" s="82"/>
      <c r="G3" s="82"/>
      <c r="H3" s="82"/>
      <c r="I3" s="82"/>
      <c r="J3" s="82"/>
      <c r="K3" s="82"/>
      <c r="L3" s="82"/>
      <c r="M3" s="82"/>
      <c r="N3" s="82"/>
      <c r="O3" s="82"/>
      <c r="P3" s="82"/>
      <c r="Q3" s="82"/>
      <c r="R3" s="82"/>
      <c r="S3" s="82"/>
      <c r="T3" s="82"/>
    </row>
    <row r="4" spans="1:20" s="83" customFormat="1" ht="13.9" customHeight="1">
      <c r="A4" s="82"/>
      <c r="B4" s="82"/>
      <c r="C4" s="82"/>
      <c r="D4" s="82"/>
      <c r="E4" s="82"/>
      <c r="F4" s="82"/>
      <c r="G4" s="82"/>
      <c r="H4" s="82"/>
      <c r="I4" s="82"/>
      <c r="J4" s="82"/>
      <c r="K4" s="82"/>
      <c r="L4" s="82"/>
      <c r="M4" s="82"/>
      <c r="N4" s="82"/>
      <c r="O4" s="82"/>
      <c r="P4" s="82"/>
      <c r="Q4" s="82"/>
      <c r="R4" s="82"/>
      <c r="S4" s="82"/>
      <c r="T4" s="82"/>
    </row>
    <row r="5" spans="1:20" s="83" customFormat="1" ht="13.9" customHeight="1">
      <c r="A5" s="82"/>
      <c r="B5" s="82"/>
      <c r="C5" s="82"/>
      <c r="D5" s="82"/>
      <c r="E5" s="82"/>
      <c r="F5" s="82"/>
      <c r="G5" s="82"/>
      <c r="H5" s="82"/>
      <c r="I5" s="82"/>
      <c r="J5" s="82"/>
      <c r="K5" s="82"/>
      <c r="L5" s="82"/>
      <c r="M5" s="82"/>
      <c r="N5" s="82"/>
      <c r="O5" s="82"/>
      <c r="P5" s="82"/>
      <c r="Q5" s="82"/>
      <c r="R5" s="82"/>
      <c r="S5" s="82"/>
      <c r="T5" s="82"/>
    </row>
    <row r="6" spans="1:20" s="83" customFormat="1" ht="13.9" customHeight="1">
      <c r="A6" s="82"/>
      <c r="B6" s="82"/>
      <c r="C6" s="82"/>
      <c r="D6" s="82"/>
      <c r="E6" s="82"/>
      <c r="F6" s="82"/>
      <c r="G6" s="82"/>
      <c r="H6" s="82"/>
      <c r="I6" s="82"/>
      <c r="J6" s="82"/>
      <c r="K6" s="82"/>
      <c r="L6" s="82"/>
      <c r="M6" s="82"/>
      <c r="N6" s="82"/>
      <c r="O6" s="82"/>
      <c r="P6" s="82"/>
      <c r="Q6" s="82"/>
      <c r="R6" s="82"/>
      <c r="S6" s="82"/>
      <c r="T6" s="82"/>
    </row>
    <row r="7" spans="1:20" s="83" customFormat="1" ht="13.9" customHeight="1">
      <c r="A7" s="82"/>
      <c r="B7" s="82"/>
      <c r="C7" s="82"/>
      <c r="D7" s="82"/>
      <c r="E7" s="82"/>
      <c r="F7" s="82"/>
      <c r="G7" s="82"/>
      <c r="H7" s="82"/>
      <c r="I7" s="82"/>
      <c r="J7" s="82"/>
      <c r="K7" s="82"/>
      <c r="L7" s="82"/>
      <c r="M7" s="82"/>
      <c r="N7" s="82"/>
      <c r="O7" s="82"/>
      <c r="P7" s="82"/>
      <c r="Q7" s="82"/>
      <c r="R7" s="82"/>
      <c r="S7" s="82"/>
      <c r="T7" s="82"/>
    </row>
    <row r="8" spans="1:20" s="83" customFormat="1" ht="13.9" customHeight="1">
      <c r="A8" s="82"/>
      <c r="B8" s="82"/>
      <c r="C8" s="82"/>
      <c r="D8" s="82"/>
      <c r="E8" s="82"/>
      <c r="F8" s="82"/>
      <c r="G8" s="82"/>
      <c r="H8" s="82"/>
      <c r="I8" s="82"/>
      <c r="J8" s="82"/>
      <c r="K8" s="82"/>
      <c r="L8" s="82"/>
      <c r="M8" s="82"/>
      <c r="N8" s="82"/>
      <c r="O8" s="82"/>
      <c r="P8" s="82"/>
      <c r="Q8" s="82"/>
      <c r="R8" s="82"/>
      <c r="S8" s="82"/>
      <c r="T8" s="82"/>
    </row>
    <row r="9" spans="1:20" s="83" customFormat="1" ht="21.2" customHeight="1">
      <c r="A9" s="85"/>
      <c r="B9" s="85"/>
      <c r="C9" s="85"/>
      <c r="D9" s="85"/>
      <c r="E9" s="86"/>
      <c r="F9" s="87"/>
      <c r="G9" s="87"/>
      <c r="H9" s="87"/>
      <c r="I9" s="87"/>
      <c r="J9" s="87"/>
      <c r="K9" s="87"/>
      <c r="L9" s="82"/>
      <c r="M9" s="82"/>
      <c r="N9" s="86"/>
      <c r="O9" s="86"/>
      <c r="P9" s="86"/>
      <c r="Q9" s="86"/>
      <c r="R9" s="86"/>
      <c r="S9" s="86"/>
      <c r="T9" s="86"/>
    </row>
    <row r="10" spans="1:20" s="83" customFormat="1" ht="13.7" customHeight="1">
      <c r="A10" s="82"/>
      <c r="B10" s="82"/>
      <c r="C10" s="82"/>
      <c r="D10" s="82"/>
      <c r="E10" s="82"/>
      <c r="F10" s="82"/>
      <c r="G10" s="82"/>
      <c r="H10" s="82"/>
      <c r="I10" s="82"/>
      <c r="J10" s="82"/>
      <c r="K10" s="82"/>
      <c r="L10" s="82"/>
      <c r="M10" s="82"/>
      <c r="N10" s="82"/>
      <c r="O10" s="82"/>
      <c r="P10" s="82"/>
      <c r="Q10" s="82"/>
      <c r="R10" s="82"/>
      <c r="S10" s="82"/>
      <c r="T10" s="82"/>
    </row>
    <row r="11" spans="1:20" s="83" customFormat="1" ht="13.9" hidden="1" customHeight="1">
      <c r="A11" s="82"/>
      <c r="B11" s="82"/>
      <c r="C11" s="82"/>
      <c r="D11" s="82"/>
      <c r="E11" s="82"/>
      <c r="F11" s="82"/>
      <c r="G11" s="82"/>
      <c r="H11" s="82"/>
      <c r="I11" s="82"/>
      <c r="J11" s="82"/>
      <c r="K11" s="82"/>
      <c r="L11" s="82"/>
      <c r="M11" s="82"/>
      <c r="N11" s="82"/>
      <c r="O11" s="82"/>
      <c r="P11" s="82"/>
      <c r="Q11" s="82"/>
      <c r="R11" s="82"/>
      <c r="S11" s="82"/>
      <c r="T11" s="82"/>
    </row>
    <row r="12" spans="1:20" s="83" customFormat="1" ht="24" customHeight="1">
      <c r="A12" s="88" t="s">
        <v>1</v>
      </c>
      <c r="B12" s="88"/>
      <c r="C12" s="88"/>
      <c r="D12" s="86"/>
      <c r="E12" s="88"/>
      <c r="F12" s="88"/>
      <c r="G12" s="88"/>
      <c r="H12" s="88"/>
      <c r="I12" s="88"/>
      <c r="J12" s="88"/>
      <c r="K12" s="88"/>
      <c r="L12" s="88"/>
      <c r="M12" s="88"/>
      <c r="N12" s="88"/>
      <c r="O12" s="88"/>
      <c r="P12" s="88"/>
      <c r="Q12" s="88"/>
      <c r="R12" s="88"/>
      <c r="S12" s="88"/>
      <c r="T12" s="88"/>
    </row>
    <row r="13" spans="1:20" s="83" customFormat="1" ht="39" customHeight="1">
      <c r="A13" s="111" t="s">
        <v>2</v>
      </c>
      <c r="B13" s="115"/>
      <c r="C13" s="115"/>
      <c r="D13" s="115"/>
      <c r="E13" s="115"/>
      <c r="F13" s="115"/>
      <c r="G13" s="115"/>
      <c r="H13" s="115"/>
      <c r="I13" s="115"/>
      <c r="J13" s="115"/>
      <c r="K13" s="115"/>
      <c r="L13" s="115"/>
      <c r="M13" s="115"/>
      <c r="N13" s="115"/>
      <c r="O13" s="115"/>
      <c r="P13" s="115"/>
      <c r="Q13" s="115"/>
      <c r="R13" s="115"/>
      <c r="S13" s="115"/>
      <c r="T13" s="89"/>
    </row>
    <row r="14" spans="1:20" s="83" customFormat="1" ht="13.9" customHeight="1">
      <c r="A14" s="82"/>
      <c r="B14" s="82"/>
      <c r="C14" s="82"/>
      <c r="D14" s="82"/>
      <c r="E14" s="82"/>
      <c r="F14" s="82"/>
      <c r="G14" s="82"/>
      <c r="H14" s="82"/>
      <c r="I14" s="82"/>
      <c r="J14" s="82"/>
      <c r="K14" s="82"/>
      <c r="L14" s="82"/>
      <c r="M14" s="82"/>
      <c r="N14" s="82"/>
      <c r="O14" s="82"/>
      <c r="P14" s="82"/>
      <c r="Q14" s="82"/>
      <c r="R14" s="82"/>
      <c r="S14" s="82"/>
      <c r="T14" s="82"/>
    </row>
    <row r="15" spans="1:20" s="94" customFormat="1" ht="9" customHeight="1">
      <c r="A15" s="90"/>
      <c r="B15" s="91"/>
      <c r="C15" s="92"/>
      <c r="D15" s="91"/>
      <c r="E15" s="90"/>
      <c r="F15" s="90"/>
      <c r="G15" s="90"/>
      <c r="H15" s="90"/>
      <c r="I15" s="90"/>
      <c r="J15" s="90"/>
      <c r="K15" s="93"/>
      <c r="L15" s="93"/>
      <c r="N15" s="95"/>
      <c r="O15" s="95"/>
      <c r="P15" s="95"/>
      <c r="Q15" s="93"/>
    </row>
    <row r="16" spans="1:20" s="94" customFormat="1" ht="12.75" customHeight="1" thickBot="1">
      <c r="A16" s="90"/>
      <c r="B16" s="91"/>
      <c r="C16" s="92"/>
      <c r="D16" s="91"/>
      <c r="E16" s="90"/>
      <c r="F16" s="90"/>
      <c r="G16" s="90"/>
      <c r="H16" s="90"/>
      <c r="I16" s="90"/>
      <c r="J16" s="90"/>
      <c r="K16" s="93"/>
      <c r="L16" s="93"/>
      <c r="N16" s="95"/>
      <c r="O16" s="95"/>
      <c r="P16" s="95"/>
      <c r="Q16" s="93"/>
    </row>
    <row r="17" spans="1:20" s="94" customFormat="1" ht="28.5" customHeight="1" thickBot="1">
      <c r="A17" s="90"/>
      <c r="B17" s="91"/>
      <c r="C17" s="92"/>
      <c r="D17" s="91"/>
      <c r="E17" s="92"/>
      <c r="F17" s="90"/>
      <c r="G17" s="90"/>
      <c r="H17" s="96"/>
      <c r="I17" s="97" t="s">
        <v>3</v>
      </c>
      <c r="J17" s="98" t="s">
        <v>4</v>
      </c>
      <c r="K17" s="98" t="s">
        <v>5</v>
      </c>
      <c r="L17" s="93"/>
      <c r="M17" s="93"/>
      <c r="N17" s="93"/>
      <c r="O17" s="93"/>
      <c r="P17" s="93"/>
      <c r="Q17" s="93"/>
    </row>
    <row r="18" spans="1:20" s="94" customFormat="1" ht="39" customHeight="1">
      <c r="A18" s="90"/>
      <c r="B18" s="91"/>
      <c r="C18" s="92"/>
      <c r="D18" s="91"/>
      <c r="E18" s="90"/>
      <c r="F18" s="90"/>
      <c r="G18" s="90"/>
      <c r="H18" s="96"/>
      <c r="I18" s="99"/>
      <c r="J18" s="99"/>
      <c r="K18" s="99"/>
      <c r="L18" s="93"/>
      <c r="M18" s="93"/>
      <c r="N18" s="93"/>
      <c r="O18" s="93"/>
      <c r="P18" s="93"/>
      <c r="Q18" s="93"/>
    </row>
    <row r="19" spans="1:20" s="94" customFormat="1" ht="41.25" customHeight="1" thickBot="1">
      <c r="A19" s="90"/>
      <c r="B19" s="91"/>
      <c r="C19" s="92"/>
      <c r="D19" s="92"/>
      <c r="E19" s="92"/>
      <c r="F19" s="92"/>
      <c r="G19" s="90"/>
      <c r="H19" s="96"/>
      <c r="I19" s="100"/>
      <c r="J19" s="100"/>
      <c r="K19" s="100"/>
      <c r="L19" s="93"/>
      <c r="M19" s="93"/>
      <c r="N19" s="93"/>
      <c r="O19" s="93"/>
      <c r="P19" s="93"/>
      <c r="Q19" s="93"/>
    </row>
    <row r="20" spans="1:20" s="94" customFormat="1" ht="51" customHeight="1">
      <c r="A20" s="90"/>
      <c r="B20" s="91"/>
      <c r="C20" s="92"/>
      <c r="D20" s="92"/>
      <c r="E20" s="92"/>
      <c r="F20" s="92"/>
      <c r="G20" s="90"/>
      <c r="H20" s="90"/>
      <c r="I20" s="90"/>
      <c r="J20" s="90"/>
      <c r="K20" s="93"/>
      <c r="L20" s="93"/>
      <c r="M20" s="93"/>
      <c r="N20" s="93"/>
      <c r="O20" s="93"/>
      <c r="P20" s="93"/>
      <c r="Q20" s="93"/>
    </row>
    <row r="21" spans="1:20" s="94" customFormat="1" ht="37.5" customHeight="1">
      <c r="A21" s="90"/>
      <c r="B21" s="91"/>
      <c r="C21" s="92"/>
      <c r="D21" s="92"/>
      <c r="E21" s="92"/>
      <c r="F21" s="92"/>
      <c r="G21" s="90"/>
      <c r="H21" s="90"/>
      <c r="I21" s="90"/>
      <c r="J21" s="90"/>
      <c r="K21" s="93"/>
      <c r="L21" s="93"/>
      <c r="M21" s="93"/>
      <c r="N21" s="93"/>
      <c r="O21" s="93"/>
      <c r="P21" s="93"/>
      <c r="Q21" s="93"/>
    </row>
    <row r="22" spans="1:20" s="94" customFormat="1" ht="33.75" customHeight="1"/>
    <row r="23" spans="1:20" s="94" customFormat="1" ht="13.5" customHeight="1"/>
    <row r="24" spans="1:20" s="94" customFormat="1" ht="13.5" customHeight="1"/>
    <row r="25" spans="1:20" s="94" customFormat="1" ht="13.5" customHeight="1"/>
    <row r="26" spans="1:20" s="94" customFormat="1" ht="13.5" customHeight="1"/>
    <row r="27" spans="1:20" s="94" customFormat="1" ht="36" customHeight="1">
      <c r="A27" s="112" t="s">
        <v>6</v>
      </c>
      <c r="B27" s="116"/>
      <c r="C27" s="116"/>
      <c r="D27" s="116"/>
      <c r="E27" s="116"/>
      <c r="F27" s="116"/>
      <c r="G27" s="116"/>
      <c r="H27" s="116"/>
      <c r="I27" s="116"/>
      <c r="J27" s="116"/>
      <c r="K27" s="116"/>
      <c r="L27" s="116"/>
      <c r="M27" s="116"/>
      <c r="N27" s="116"/>
      <c r="O27" s="116"/>
      <c r="P27" s="116"/>
      <c r="Q27" s="116"/>
      <c r="R27" s="116"/>
      <c r="S27" s="116"/>
      <c r="T27" s="116"/>
    </row>
  </sheetData>
  <mergeCells count="3">
    <mergeCell ref="A13:S13"/>
    <mergeCell ref="A27:T27"/>
    <mergeCell ref="A2:S2"/>
  </mergeCells>
  <printOptions horizontalCentered="1"/>
  <pageMargins left="0.74803149606299213" right="0.74803149606299213" top="0.98425196850393704" bottom="0.78740157480314965" header="0.78740157480314965" footer="0.39370078740157483"/>
  <pageSetup paperSize="9" scale="70" fitToHeight="9" orientation="landscape" verticalDpi="300"/>
  <headerFooter alignWithMargins="0">
    <oddHeader>&amp;L&amp;"Aptos"&amp;8&amp;K000000 대외비(Restricted)&amp;1#_x000D_&amp;"Calibri"&amp;11&amp;K000000&amp;"Calibri"&amp;11&amp;K000000&amp;"Calibri"&amp;1 &amp;K000000 대외비(Restricted)#_x000D_</oddHead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BA196"/>
  <sheetViews>
    <sheetView zoomScale="40" zoomScaleNormal="40" workbookViewId="0">
      <pane xSplit="16" ySplit="5" topLeftCell="Z6" activePane="bottomRight" state="frozen"/>
      <selection pane="bottomRight" activeCell="S4" sqref="S1:AU1048576"/>
      <selection pane="bottomLeft" activeCell="A6" sqref="A6"/>
      <selection pane="topRight" activeCell="Q1" sqref="Q1"/>
    </sheetView>
  </sheetViews>
  <sheetFormatPr defaultRowHeight="14.45" outlineLevelCol="1"/>
  <cols>
    <col min="1" max="1" width="5.7109375" customWidth="1"/>
    <col min="2" max="2" width="11.28515625" customWidth="1"/>
    <col min="3" max="3" width="21.28515625" customWidth="1"/>
    <col min="4" max="4" width="8.7109375" customWidth="1"/>
    <col min="5" max="5" width="18" customWidth="1" outlineLevel="1"/>
    <col min="6" max="6" width="14.28515625" customWidth="1"/>
    <col min="7" max="7" width="35.7109375" customWidth="1"/>
    <col min="8" max="8" width="14.28515625" customWidth="1"/>
    <col min="9" max="9" width="28.7109375" customWidth="1"/>
    <col min="10" max="16" width="14.28515625" hidden="1" customWidth="1" outlineLevel="1"/>
    <col min="17" max="17" width="8.7109375" customWidth="1" collapsed="1"/>
    <col min="18" max="18" width="11.28515625" customWidth="1"/>
    <col min="19" max="41" width="13" customWidth="1"/>
    <col min="42" max="42" width="13" customWidth="1" collapsed="1"/>
    <col min="43" max="52" width="13" customWidth="1"/>
    <col min="53" max="53" width="21.28515625" customWidth="1"/>
  </cols>
  <sheetData>
    <row r="1" spans="1:53" ht="18.75" customHeight="1">
      <c r="A1" s="109" t="s">
        <v>7</v>
      </c>
      <c r="B1" s="117"/>
      <c r="C1" s="117"/>
      <c r="D1" s="117"/>
      <c r="E1" s="117"/>
      <c r="F1" s="117"/>
      <c r="G1" s="117"/>
      <c r="H1" s="117"/>
      <c r="I1" s="117"/>
      <c r="J1" s="117"/>
      <c r="K1" s="117"/>
      <c r="L1" s="117"/>
      <c r="M1" s="117"/>
      <c r="N1" s="117"/>
      <c r="O1" s="117"/>
      <c r="P1" s="117"/>
      <c r="Q1" s="117"/>
      <c r="R1" s="117"/>
      <c r="S1" s="117"/>
      <c r="T1" s="117"/>
      <c r="U1" s="117"/>
      <c r="V1" s="117"/>
      <c r="W1" s="117"/>
      <c r="X1" s="117"/>
      <c r="Y1" s="117"/>
      <c r="Z1" s="117"/>
      <c r="AA1" s="117"/>
      <c r="AB1" s="117"/>
      <c r="AC1" s="117"/>
      <c r="AD1" s="117"/>
      <c r="AE1" s="117"/>
      <c r="AF1" s="117"/>
      <c r="AG1" s="117"/>
      <c r="AH1" s="117"/>
      <c r="AI1" s="117"/>
      <c r="AJ1" s="117"/>
      <c r="AK1" s="117"/>
      <c r="AL1" s="117"/>
      <c r="AM1" s="117"/>
      <c r="AN1" s="117"/>
      <c r="AO1" s="117"/>
      <c r="AP1" s="117"/>
      <c r="AQ1" s="117"/>
      <c r="AR1" s="117"/>
      <c r="AS1" s="117"/>
      <c r="AT1" s="117"/>
      <c r="AU1" s="117"/>
      <c r="AV1" s="117"/>
      <c r="AW1" s="117"/>
      <c r="AX1" s="117"/>
      <c r="AY1" s="117"/>
      <c r="AZ1" s="117"/>
      <c r="BA1" s="117"/>
    </row>
    <row r="2" spans="1:53" ht="13.5" customHeight="1">
      <c r="A2" s="110" t="s">
        <v>8</v>
      </c>
      <c r="B2" s="118"/>
      <c r="C2" s="118"/>
      <c r="D2" s="118"/>
      <c r="E2" s="118"/>
      <c r="F2" s="118"/>
      <c r="G2" s="118"/>
      <c r="H2" s="118"/>
      <c r="I2" s="118"/>
      <c r="J2" s="118"/>
      <c r="K2" s="118"/>
      <c r="L2" s="118"/>
      <c r="M2" s="118"/>
      <c r="N2" s="118"/>
      <c r="O2" s="118"/>
      <c r="P2" s="118"/>
      <c r="Q2" s="118"/>
      <c r="R2" s="118"/>
      <c r="S2" s="118"/>
      <c r="T2" s="118"/>
      <c r="U2" s="118"/>
      <c r="V2" s="118"/>
      <c r="W2" s="118"/>
      <c r="X2" s="118"/>
      <c r="Y2" s="118"/>
      <c r="Z2" s="118"/>
      <c r="AA2" s="118"/>
      <c r="AB2" s="118"/>
      <c r="AC2" s="118"/>
      <c r="AD2" s="118"/>
      <c r="AE2" s="118"/>
      <c r="AF2" s="118"/>
      <c r="AG2" s="118"/>
      <c r="AH2" s="118"/>
      <c r="AI2" s="118"/>
      <c r="AJ2" s="118"/>
      <c r="AK2" s="118"/>
      <c r="AL2" s="118"/>
      <c r="AM2" s="118"/>
      <c r="AN2" s="118"/>
      <c r="AO2" s="118"/>
      <c r="AP2" s="118"/>
      <c r="AQ2" s="118"/>
      <c r="AR2" s="118"/>
      <c r="AS2" s="118"/>
      <c r="AT2" s="118"/>
      <c r="AU2" s="118"/>
      <c r="AV2" s="118"/>
      <c r="AW2" s="118"/>
      <c r="AX2" s="118"/>
      <c r="AY2" s="118"/>
      <c r="AZ2" s="118"/>
      <c r="BA2" s="118"/>
    </row>
    <row r="3" spans="1:53" ht="23.25" customHeight="1">
      <c r="A3" s="102" t="s">
        <v>9</v>
      </c>
      <c r="B3" s="102" t="s">
        <v>10</v>
      </c>
      <c r="C3" s="102" t="s">
        <v>11</v>
      </c>
      <c r="D3" s="102" t="s">
        <v>12</v>
      </c>
      <c r="E3" s="102" t="s">
        <v>13</v>
      </c>
      <c r="F3" s="102" t="s">
        <v>14</v>
      </c>
      <c r="G3" s="102" t="s">
        <v>15</v>
      </c>
      <c r="I3" s="102" t="s">
        <v>16</v>
      </c>
      <c r="J3" s="102" t="s">
        <v>17</v>
      </c>
      <c r="K3" s="102" t="s">
        <v>18</v>
      </c>
      <c r="L3" s="102" t="s">
        <v>19</v>
      </c>
      <c r="M3" s="102" t="s">
        <v>20</v>
      </c>
      <c r="N3" s="102" t="s">
        <v>21</v>
      </c>
      <c r="O3" s="102" t="s">
        <v>22</v>
      </c>
      <c r="P3" s="102" t="s">
        <v>23</v>
      </c>
      <c r="Q3" s="107" t="s">
        <v>24</v>
      </c>
      <c r="R3" s="107" t="s">
        <v>25</v>
      </c>
      <c r="S3" s="108" t="s">
        <v>26</v>
      </c>
      <c r="T3" s="119"/>
      <c r="U3" s="119"/>
      <c r="V3" s="119"/>
      <c r="W3" s="119"/>
      <c r="X3" s="119"/>
      <c r="Y3" s="119"/>
      <c r="Z3" s="119"/>
      <c r="AA3" s="119"/>
      <c r="AB3" s="119"/>
      <c r="AC3" s="119"/>
      <c r="AD3" s="119"/>
      <c r="AE3" s="120"/>
      <c r="AF3" s="108" t="s">
        <v>27</v>
      </c>
      <c r="AG3" s="119"/>
      <c r="AH3" s="119"/>
      <c r="AI3" s="119"/>
      <c r="AJ3" s="119"/>
      <c r="AK3" s="119"/>
      <c r="AL3" s="119"/>
      <c r="AM3" s="119"/>
      <c r="AN3" s="119"/>
      <c r="AO3" s="119"/>
      <c r="AP3" s="119"/>
      <c r="AQ3" s="119"/>
      <c r="AR3" s="119"/>
      <c r="AS3" s="119"/>
      <c r="AT3" s="119"/>
      <c r="AU3" s="119"/>
      <c r="AV3" s="119"/>
      <c r="AW3" s="119"/>
      <c r="AX3" s="119"/>
      <c r="AY3" s="119"/>
      <c r="AZ3" s="120"/>
      <c r="BA3" s="107" t="s">
        <v>28</v>
      </c>
    </row>
    <row r="4" spans="1:53" ht="23.25" customHeight="1">
      <c r="G4" s="102" t="s">
        <v>29</v>
      </c>
      <c r="H4" s="102" t="s">
        <v>30</v>
      </c>
      <c r="Q4" s="121"/>
      <c r="R4" s="121"/>
      <c r="S4" s="101" t="s">
        <v>31</v>
      </c>
      <c r="T4" s="101" t="s">
        <v>32</v>
      </c>
      <c r="U4" s="101" t="s">
        <v>33</v>
      </c>
      <c r="V4" s="101" t="s">
        <v>34</v>
      </c>
      <c r="W4" s="101" t="s">
        <v>35</v>
      </c>
      <c r="X4" s="101" t="s">
        <v>36</v>
      </c>
      <c r="Y4" s="102" t="s">
        <v>37</v>
      </c>
      <c r="Z4" s="102" t="s">
        <v>38</v>
      </c>
      <c r="AA4" s="101" t="s">
        <v>39</v>
      </c>
      <c r="AB4" s="101" t="s">
        <v>40</v>
      </c>
      <c r="AC4" s="102" t="s">
        <v>41</v>
      </c>
      <c r="AD4" s="101" t="s">
        <v>42</v>
      </c>
      <c r="AE4" s="101" t="s">
        <v>43</v>
      </c>
      <c r="AF4" s="102" t="s">
        <v>44</v>
      </c>
      <c r="AG4" s="102" t="s">
        <v>45</v>
      </c>
      <c r="AH4" s="101" t="s">
        <v>46</v>
      </c>
      <c r="AI4" s="102" t="s">
        <v>47</v>
      </c>
      <c r="AJ4" s="102" t="s">
        <v>48</v>
      </c>
      <c r="AK4" s="101" t="s">
        <v>49</v>
      </c>
      <c r="AL4" s="101" t="s">
        <v>50</v>
      </c>
      <c r="AM4" s="101" t="s">
        <v>51</v>
      </c>
      <c r="AN4" s="101" t="s">
        <v>52</v>
      </c>
      <c r="AO4" s="101" t="s">
        <v>53</v>
      </c>
      <c r="AP4" s="101" t="s">
        <v>54</v>
      </c>
      <c r="AQ4" s="101" t="s">
        <v>55</v>
      </c>
      <c r="AR4" s="101" t="s">
        <v>56</v>
      </c>
      <c r="AS4" s="101" t="s">
        <v>57</v>
      </c>
      <c r="AT4" s="101" t="s">
        <v>58</v>
      </c>
      <c r="AU4" s="101" t="s">
        <v>59</v>
      </c>
      <c r="AV4" s="101" t="s">
        <v>60</v>
      </c>
      <c r="AW4" s="101" t="s">
        <v>61</v>
      </c>
      <c r="AX4" s="101" t="s">
        <v>62</v>
      </c>
      <c r="AY4" s="101" t="s">
        <v>63</v>
      </c>
      <c r="AZ4" s="103" t="s">
        <v>64</v>
      </c>
      <c r="BA4" s="121"/>
    </row>
    <row r="5" spans="1:53" ht="23.25" customHeight="1">
      <c r="Q5" s="122"/>
      <c r="R5" s="122"/>
      <c r="S5" s="102" t="s">
        <v>65</v>
      </c>
      <c r="T5" s="102" t="s">
        <v>65</v>
      </c>
      <c r="U5" s="102" t="s">
        <v>66</v>
      </c>
      <c r="V5" s="101" t="s">
        <v>66</v>
      </c>
      <c r="W5" s="101" t="s">
        <v>66</v>
      </c>
      <c r="X5" s="101" t="s">
        <v>66</v>
      </c>
      <c r="Y5" s="101" t="s">
        <v>67</v>
      </c>
      <c r="Z5" s="102" t="s">
        <v>68</v>
      </c>
      <c r="AA5" s="101" t="s">
        <v>69</v>
      </c>
      <c r="AB5" s="101" t="s">
        <v>70</v>
      </c>
      <c r="AC5" s="101" t="s">
        <v>71</v>
      </c>
      <c r="AD5" s="101" t="s">
        <v>72</v>
      </c>
      <c r="AE5" s="101" t="s">
        <v>73</v>
      </c>
      <c r="AF5" s="102" t="s">
        <v>74</v>
      </c>
      <c r="AG5" s="102" t="s">
        <v>75</v>
      </c>
      <c r="AH5" s="101" t="s">
        <v>76</v>
      </c>
      <c r="AI5" s="102" t="s">
        <v>77</v>
      </c>
      <c r="AJ5" s="102" t="s">
        <v>78</v>
      </c>
      <c r="AK5" s="101" t="s">
        <v>79</v>
      </c>
      <c r="AL5" s="101" t="s">
        <v>80</v>
      </c>
      <c r="AM5" s="101" t="s">
        <v>81</v>
      </c>
      <c r="AN5" s="101" t="s">
        <v>82</v>
      </c>
      <c r="AO5" s="101" t="s">
        <v>83</v>
      </c>
      <c r="AP5" s="101" t="s">
        <v>84</v>
      </c>
      <c r="AQ5" s="101" t="s">
        <v>72</v>
      </c>
      <c r="AR5" s="101" t="s">
        <v>85</v>
      </c>
      <c r="AS5" s="101" t="s">
        <v>86</v>
      </c>
      <c r="AT5" s="101" t="s">
        <v>87</v>
      </c>
      <c r="AU5" s="101" t="s">
        <v>86</v>
      </c>
      <c r="AV5" s="101" t="s">
        <v>87</v>
      </c>
      <c r="AW5" s="101" t="s">
        <v>87</v>
      </c>
      <c r="AX5" s="101" t="s">
        <v>86</v>
      </c>
      <c r="AY5" s="101" t="s">
        <v>87</v>
      </c>
      <c r="AZ5" s="101" t="s">
        <v>87</v>
      </c>
      <c r="BA5" s="122"/>
    </row>
    <row r="6" spans="1:53">
      <c r="A6" s="4">
        <v>1</v>
      </c>
      <c r="B6" s="5" t="s">
        <v>88</v>
      </c>
      <c r="C6" s="6"/>
      <c r="D6" s="6" t="s">
        <v>89</v>
      </c>
      <c r="E6" s="4"/>
      <c r="F6" s="6" t="s">
        <v>90</v>
      </c>
      <c r="G6" s="7"/>
      <c r="H6" s="9"/>
      <c r="I6" s="7"/>
      <c r="J6" s="4"/>
      <c r="K6" s="19">
        <v>0</v>
      </c>
      <c r="L6" s="4"/>
      <c r="M6" s="19">
        <v>0</v>
      </c>
      <c r="N6" s="20">
        <v>0</v>
      </c>
      <c r="O6" s="4"/>
      <c r="P6" s="4"/>
      <c r="Q6" s="4"/>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9"/>
    </row>
    <row r="7" spans="1:53">
      <c r="A7" s="4">
        <v>2</v>
      </c>
      <c r="B7" s="5" t="s">
        <v>88</v>
      </c>
      <c r="C7" s="6"/>
      <c r="D7" s="37" t="s">
        <v>91</v>
      </c>
      <c r="E7" s="50"/>
      <c r="F7" s="37" t="s">
        <v>92</v>
      </c>
      <c r="G7" s="53"/>
      <c r="H7" s="9"/>
      <c r="I7" s="7"/>
      <c r="J7" s="4"/>
      <c r="K7" s="19">
        <v>0</v>
      </c>
      <c r="L7" s="4"/>
      <c r="M7" s="19">
        <v>0</v>
      </c>
      <c r="N7" s="20">
        <v>0</v>
      </c>
      <c r="O7" s="4"/>
      <c r="P7" s="4"/>
      <c r="Q7" s="4"/>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9"/>
    </row>
    <row r="8" spans="1:53">
      <c r="A8" s="4">
        <v>3</v>
      </c>
      <c r="B8" s="21" t="s">
        <v>88</v>
      </c>
      <c r="C8" s="3"/>
      <c r="D8" s="1"/>
      <c r="E8" s="2"/>
      <c r="F8" s="1"/>
      <c r="G8" s="26" t="s">
        <v>93</v>
      </c>
      <c r="H8" s="1"/>
      <c r="I8" s="22"/>
      <c r="J8" s="2"/>
      <c r="K8" s="23">
        <v>0</v>
      </c>
      <c r="L8" s="2"/>
      <c r="M8" s="23">
        <v>0</v>
      </c>
      <c r="N8" s="24">
        <v>0</v>
      </c>
      <c r="O8" s="2"/>
      <c r="P8" s="2"/>
      <c r="Q8" s="2"/>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1"/>
    </row>
    <row r="9" spans="1:53" ht="26.45" customHeight="1">
      <c r="A9" s="4">
        <v>4</v>
      </c>
      <c r="B9" s="21" t="s">
        <v>88</v>
      </c>
      <c r="C9" s="3"/>
      <c r="D9" s="1"/>
      <c r="E9" s="2"/>
      <c r="F9" s="1"/>
      <c r="G9" s="26" t="s">
        <v>94</v>
      </c>
      <c r="H9" s="1"/>
      <c r="I9" s="22"/>
      <c r="J9" s="2"/>
      <c r="K9" s="23">
        <v>0</v>
      </c>
      <c r="L9" s="2"/>
      <c r="M9" s="23">
        <v>0</v>
      </c>
      <c r="N9" s="24">
        <v>0</v>
      </c>
      <c r="O9" s="2"/>
      <c r="P9" s="2"/>
      <c r="Q9" s="2"/>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1"/>
    </row>
    <row r="10" spans="1:53">
      <c r="A10" s="4">
        <v>5</v>
      </c>
      <c r="B10" s="21" t="s">
        <v>88</v>
      </c>
      <c r="C10" s="3"/>
      <c r="D10" s="1"/>
      <c r="E10" s="2"/>
      <c r="F10" s="1"/>
      <c r="G10" s="26" t="s">
        <v>95</v>
      </c>
      <c r="H10" s="1"/>
      <c r="I10" s="22"/>
      <c r="J10" s="2"/>
      <c r="K10" s="23">
        <v>0</v>
      </c>
      <c r="L10" s="2"/>
      <c r="M10" s="23">
        <v>0</v>
      </c>
      <c r="N10" s="24">
        <v>0</v>
      </c>
      <c r="O10" s="2"/>
      <c r="P10" s="2"/>
      <c r="Q10" s="2"/>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1"/>
    </row>
    <row r="11" spans="1:53" ht="26.45" customHeight="1">
      <c r="A11" s="4">
        <v>6</v>
      </c>
      <c r="B11" s="21" t="s">
        <v>88</v>
      </c>
      <c r="C11" s="3"/>
      <c r="D11" s="1"/>
      <c r="E11" s="2"/>
      <c r="F11" s="1"/>
      <c r="G11" s="26" t="s">
        <v>96</v>
      </c>
      <c r="H11" s="1"/>
      <c r="I11" s="22"/>
      <c r="J11" s="2"/>
      <c r="K11" s="23">
        <v>0</v>
      </c>
      <c r="L11" s="2"/>
      <c r="M11" s="23">
        <v>0</v>
      </c>
      <c r="N11" s="24">
        <v>0</v>
      </c>
      <c r="O11" s="2"/>
      <c r="P11" s="2"/>
      <c r="Q11" s="2"/>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1"/>
    </row>
    <row r="12" spans="1:53" ht="39.6" customHeight="1">
      <c r="A12" s="4">
        <v>7</v>
      </c>
      <c r="B12" s="21" t="s">
        <v>88</v>
      </c>
      <c r="C12" s="3"/>
      <c r="D12" s="1"/>
      <c r="E12" s="2"/>
      <c r="F12" s="1"/>
      <c r="G12" s="26" t="s">
        <v>97</v>
      </c>
      <c r="H12" s="1"/>
      <c r="I12" s="22"/>
      <c r="J12" s="2"/>
      <c r="K12" s="23">
        <v>0</v>
      </c>
      <c r="L12" s="2"/>
      <c r="M12" s="23">
        <v>0</v>
      </c>
      <c r="N12" s="24">
        <v>0</v>
      </c>
      <c r="O12" s="2"/>
      <c r="P12" s="2"/>
      <c r="Q12" s="2"/>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1"/>
    </row>
    <row r="13" spans="1:53" ht="26.45" customHeight="1">
      <c r="A13" s="4">
        <v>8</v>
      </c>
      <c r="B13" s="21" t="s">
        <v>88</v>
      </c>
      <c r="C13" s="3"/>
      <c r="D13" s="1"/>
      <c r="E13" s="2"/>
      <c r="F13" s="1"/>
      <c r="G13" s="26" t="s">
        <v>98</v>
      </c>
      <c r="H13" s="1"/>
      <c r="I13" s="22"/>
      <c r="J13" s="2"/>
      <c r="K13" s="23">
        <v>0</v>
      </c>
      <c r="L13" s="2"/>
      <c r="M13" s="23">
        <v>0</v>
      </c>
      <c r="N13" s="24">
        <v>0</v>
      </c>
      <c r="O13" s="2"/>
      <c r="P13" s="2"/>
      <c r="Q13" s="2"/>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1"/>
    </row>
    <row r="14" spans="1:53">
      <c r="A14" s="4">
        <v>9</v>
      </c>
      <c r="B14" s="21" t="s">
        <v>88</v>
      </c>
      <c r="C14" s="3"/>
      <c r="D14" s="1"/>
      <c r="E14" s="2"/>
      <c r="F14" s="1"/>
      <c r="G14" s="26" t="s">
        <v>99</v>
      </c>
      <c r="H14" s="1"/>
      <c r="I14" s="22"/>
      <c r="J14" s="2"/>
      <c r="K14" s="23">
        <v>0</v>
      </c>
      <c r="L14" s="2"/>
      <c r="M14" s="23">
        <v>0</v>
      </c>
      <c r="N14" s="24">
        <v>0</v>
      </c>
      <c r="O14" s="2"/>
      <c r="P14" s="2"/>
      <c r="Q14" s="2"/>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1"/>
    </row>
    <row r="15" spans="1:53">
      <c r="A15" s="4">
        <v>10</v>
      </c>
      <c r="B15" s="21" t="s">
        <v>88</v>
      </c>
      <c r="C15" s="3"/>
      <c r="D15" s="1"/>
      <c r="E15" s="2"/>
      <c r="F15" s="1"/>
      <c r="G15" s="26" t="s">
        <v>100</v>
      </c>
      <c r="H15" s="1"/>
      <c r="I15" s="22"/>
      <c r="J15" s="2"/>
      <c r="K15" s="23">
        <v>0</v>
      </c>
      <c r="L15" s="2"/>
      <c r="M15" s="23">
        <v>0</v>
      </c>
      <c r="N15" s="24">
        <v>0</v>
      </c>
      <c r="O15" s="2"/>
      <c r="P15" s="2"/>
      <c r="Q15" s="2"/>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1"/>
    </row>
    <row r="16" spans="1:53">
      <c r="A16" s="4">
        <v>11</v>
      </c>
      <c r="B16" s="21" t="s">
        <v>88</v>
      </c>
      <c r="C16" s="3"/>
      <c r="D16" s="1"/>
      <c r="E16" s="2"/>
      <c r="F16" s="1"/>
      <c r="G16" s="26" t="s">
        <v>101</v>
      </c>
      <c r="H16" s="1"/>
      <c r="I16" s="22"/>
      <c r="J16" s="2"/>
      <c r="K16" s="23">
        <v>0</v>
      </c>
      <c r="L16" s="2"/>
      <c r="M16" s="23">
        <v>0</v>
      </c>
      <c r="N16" s="24">
        <v>0</v>
      </c>
      <c r="O16" s="2"/>
      <c r="P16" s="2"/>
      <c r="Q16" s="2"/>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1"/>
    </row>
    <row r="17" spans="1:53">
      <c r="A17" s="4">
        <v>12</v>
      </c>
      <c r="B17" s="21" t="s">
        <v>88</v>
      </c>
      <c r="C17" s="3"/>
      <c r="D17" s="1"/>
      <c r="E17" s="2"/>
      <c r="F17" s="1"/>
      <c r="G17" s="26" t="s">
        <v>102</v>
      </c>
      <c r="H17" s="1"/>
      <c r="I17" s="22"/>
      <c r="J17" s="2"/>
      <c r="K17" s="23">
        <v>0</v>
      </c>
      <c r="L17" s="2"/>
      <c r="M17" s="23">
        <v>0</v>
      </c>
      <c r="N17" s="24">
        <v>0</v>
      </c>
      <c r="O17" s="2"/>
      <c r="P17" s="2"/>
      <c r="Q17" s="2"/>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1"/>
    </row>
    <row r="18" spans="1:53">
      <c r="A18" s="4">
        <v>13</v>
      </c>
      <c r="B18" s="11" t="s">
        <v>88</v>
      </c>
      <c r="C18" s="12"/>
      <c r="D18" s="12" t="s">
        <v>103</v>
      </c>
      <c r="E18" s="13"/>
      <c r="F18" s="14"/>
      <c r="G18" s="15"/>
      <c r="H18" s="12" t="s">
        <v>104</v>
      </c>
      <c r="I18" s="18" t="s">
        <v>105</v>
      </c>
      <c r="J18" s="13" t="s">
        <v>106</v>
      </c>
      <c r="K18" s="10">
        <v>3</v>
      </c>
      <c r="L18" s="13" t="s">
        <v>89</v>
      </c>
      <c r="M18" s="10">
        <v>12</v>
      </c>
      <c r="N18" s="27">
        <v>0</v>
      </c>
      <c r="O18" s="13" t="s">
        <v>107</v>
      </c>
      <c r="P18" s="13" t="s">
        <v>108</v>
      </c>
      <c r="Q18" s="13" t="s">
        <v>109</v>
      </c>
      <c r="R18" s="17">
        <f>SUM(S18:AZ18)</f>
        <v>15800</v>
      </c>
      <c r="S18" s="17"/>
      <c r="T18" s="17"/>
      <c r="U18" s="17">
        <f>16*200+9*200+54*200</f>
        <v>15800</v>
      </c>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2"/>
    </row>
    <row r="19" spans="1:53">
      <c r="A19" s="4">
        <v>14</v>
      </c>
      <c r="B19" s="11" t="s">
        <v>88</v>
      </c>
      <c r="C19" s="12"/>
      <c r="D19" s="12" t="s">
        <v>110</v>
      </c>
      <c r="E19" s="13"/>
      <c r="F19" s="14"/>
      <c r="G19" s="15"/>
      <c r="H19" s="12" t="s">
        <v>104</v>
      </c>
      <c r="I19" s="18" t="s">
        <v>111</v>
      </c>
      <c r="J19" s="10"/>
      <c r="K19" s="10">
        <v>3</v>
      </c>
      <c r="L19" s="13" t="s">
        <v>89</v>
      </c>
      <c r="M19" s="10">
        <v>12</v>
      </c>
      <c r="N19" s="27">
        <v>0</v>
      </c>
      <c r="O19" s="13" t="s">
        <v>107</v>
      </c>
      <c r="P19" s="10"/>
      <c r="Q19" s="13" t="s">
        <v>109</v>
      </c>
      <c r="R19" s="17">
        <f>SUM(S19:AZ19)</f>
        <v>0</v>
      </c>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2"/>
    </row>
    <row r="20" spans="1:53">
      <c r="A20" s="4">
        <v>15</v>
      </c>
      <c r="B20" s="11" t="s">
        <v>88</v>
      </c>
      <c r="C20" s="12"/>
      <c r="D20" s="12" t="s">
        <v>112</v>
      </c>
      <c r="E20" s="13"/>
      <c r="F20" s="14"/>
      <c r="G20" s="15"/>
      <c r="H20" s="12" t="s">
        <v>113</v>
      </c>
      <c r="I20" s="18" t="s">
        <v>105</v>
      </c>
      <c r="J20" s="13" t="s">
        <v>106</v>
      </c>
      <c r="K20" s="10">
        <v>3</v>
      </c>
      <c r="L20" s="13" t="s">
        <v>89</v>
      </c>
      <c r="M20" s="10">
        <v>10</v>
      </c>
      <c r="N20" s="27">
        <v>0</v>
      </c>
      <c r="O20" s="13" t="s">
        <v>107</v>
      </c>
      <c r="P20" s="13" t="s">
        <v>114</v>
      </c>
      <c r="Q20" s="13" t="s">
        <v>109</v>
      </c>
      <c r="R20" s="17">
        <f>SUM(S20:AZ20)</f>
        <v>0</v>
      </c>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2"/>
    </row>
    <row r="21" spans="1:53">
      <c r="A21" s="4">
        <v>16</v>
      </c>
      <c r="B21" s="11" t="s">
        <v>88</v>
      </c>
      <c r="C21" s="12"/>
      <c r="D21" s="12" t="s">
        <v>115</v>
      </c>
      <c r="E21" s="13"/>
      <c r="F21" s="14"/>
      <c r="G21" s="15"/>
      <c r="H21" s="12" t="s">
        <v>116</v>
      </c>
      <c r="I21" s="18" t="s">
        <v>111</v>
      </c>
      <c r="J21" s="10"/>
      <c r="K21" s="10">
        <v>3</v>
      </c>
      <c r="L21" s="13" t="s">
        <v>89</v>
      </c>
      <c r="M21" s="10">
        <v>2</v>
      </c>
      <c r="N21" s="27">
        <v>0</v>
      </c>
      <c r="O21" s="13" t="s">
        <v>107</v>
      </c>
      <c r="P21" s="10"/>
      <c r="Q21" s="13" t="s">
        <v>109</v>
      </c>
      <c r="R21" s="17">
        <f>SUM(S21:AZ21)</f>
        <v>0</v>
      </c>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4"/>
    </row>
    <row r="22" spans="1:53">
      <c r="A22" s="4">
        <v>17</v>
      </c>
      <c r="B22" s="11" t="s">
        <v>88</v>
      </c>
      <c r="C22" s="12"/>
      <c r="D22" s="12" t="s">
        <v>117</v>
      </c>
      <c r="E22" s="13"/>
      <c r="F22" s="14"/>
      <c r="G22" s="15"/>
      <c r="H22" s="12" t="s">
        <v>118</v>
      </c>
      <c r="I22" s="18" t="s">
        <v>111</v>
      </c>
      <c r="J22" s="10"/>
      <c r="K22" s="10">
        <v>3</v>
      </c>
      <c r="L22" s="13" t="s">
        <v>89</v>
      </c>
      <c r="M22" s="10">
        <v>8</v>
      </c>
      <c r="N22" s="27">
        <v>0</v>
      </c>
      <c r="O22" s="13" t="s">
        <v>107</v>
      </c>
      <c r="P22" s="10"/>
      <c r="Q22" s="13" t="s">
        <v>109</v>
      </c>
      <c r="R22" s="17">
        <f>SUM(S22:AZ22)</f>
        <v>1000</v>
      </c>
      <c r="S22" s="17"/>
      <c r="T22" s="17"/>
      <c r="U22" s="17">
        <f>2*500</f>
        <v>1000</v>
      </c>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4"/>
    </row>
    <row r="23" spans="1:53">
      <c r="A23" s="4"/>
      <c r="B23" s="11"/>
      <c r="C23" s="12"/>
      <c r="D23" s="12" t="s">
        <v>119</v>
      </c>
      <c r="E23" s="13"/>
      <c r="F23" s="14"/>
      <c r="G23" s="15"/>
      <c r="H23" s="12" t="s">
        <v>120</v>
      </c>
      <c r="I23" s="18" t="s">
        <v>121</v>
      </c>
      <c r="J23" s="10"/>
      <c r="K23" s="10"/>
      <c r="L23" s="13"/>
      <c r="M23" s="10"/>
      <c r="N23" s="27"/>
      <c r="O23" s="13"/>
      <c r="P23" s="10"/>
      <c r="Q23" s="13"/>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4"/>
    </row>
    <row r="24" spans="1:53">
      <c r="A24" s="4">
        <v>18</v>
      </c>
      <c r="B24" s="5" t="s">
        <v>88</v>
      </c>
      <c r="C24" s="6"/>
      <c r="D24" s="37" t="s">
        <v>122</v>
      </c>
      <c r="E24" s="50"/>
      <c r="F24" s="37" t="s">
        <v>123</v>
      </c>
      <c r="G24" s="53"/>
      <c r="H24" s="9"/>
      <c r="I24" s="7"/>
      <c r="J24" s="4"/>
      <c r="K24" s="19">
        <v>0</v>
      </c>
      <c r="L24" s="4"/>
      <c r="M24" s="19">
        <v>0</v>
      </c>
      <c r="N24" s="20">
        <v>0</v>
      </c>
      <c r="O24" s="4"/>
      <c r="P24" s="4"/>
      <c r="Q24" s="4"/>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9"/>
    </row>
    <row r="25" spans="1:53">
      <c r="A25" s="4">
        <v>19</v>
      </c>
      <c r="B25" s="21" t="s">
        <v>88</v>
      </c>
      <c r="C25" s="3"/>
      <c r="D25" s="1"/>
      <c r="E25" s="2"/>
      <c r="F25" s="1"/>
      <c r="G25" s="26" t="s">
        <v>93</v>
      </c>
      <c r="H25" s="1"/>
      <c r="I25" s="22"/>
      <c r="J25" s="2"/>
      <c r="K25" s="23">
        <v>0</v>
      </c>
      <c r="L25" s="2"/>
      <c r="M25" s="23">
        <v>0</v>
      </c>
      <c r="N25" s="24">
        <v>0</v>
      </c>
      <c r="O25" s="2"/>
      <c r="P25" s="2"/>
      <c r="Q25" s="2"/>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1"/>
    </row>
    <row r="26" spans="1:53" ht="26.45" customHeight="1">
      <c r="A26" s="4">
        <v>20</v>
      </c>
      <c r="B26" s="21" t="s">
        <v>88</v>
      </c>
      <c r="C26" s="3"/>
      <c r="D26" s="1"/>
      <c r="E26" s="2"/>
      <c r="F26" s="1"/>
      <c r="G26" s="26" t="s">
        <v>94</v>
      </c>
      <c r="H26" s="1"/>
      <c r="I26" s="22"/>
      <c r="J26" s="2"/>
      <c r="K26" s="23">
        <v>0</v>
      </c>
      <c r="L26" s="2"/>
      <c r="M26" s="23">
        <v>0</v>
      </c>
      <c r="N26" s="24">
        <v>0</v>
      </c>
      <c r="O26" s="2"/>
      <c r="P26" s="2"/>
      <c r="Q26" s="2"/>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1"/>
    </row>
    <row r="27" spans="1:53">
      <c r="A27" s="4">
        <v>21</v>
      </c>
      <c r="B27" s="21" t="s">
        <v>88</v>
      </c>
      <c r="C27" s="3"/>
      <c r="D27" s="1"/>
      <c r="E27" s="2"/>
      <c r="F27" s="1"/>
      <c r="G27" s="26" t="s">
        <v>124</v>
      </c>
      <c r="H27" s="1"/>
      <c r="I27" s="22"/>
      <c r="J27" s="2"/>
      <c r="K27" s="23">
        <v>0</v>
      </c>
      <c r="L27" s="2"/>
      <c r="M27" s="23">
        <v>0</v>
      </c>
      <c r="N27" s="24">
        <v>0</v>
      </c>
      <c r="O27" s="2"/>
      <c r="P27" s="2"/>
      <c r="Q27" s="2"/>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1"/>
    </row>
    <row r="28" spans="1:53" ht="26.45" customHeight="1">
      <c r="A28" s="4">
        <v>22</v>
      </c>
      <c r="B28" s="21" t="s">
        <v>88</v>
      </c>
      <c r="C28" s="3"/>
      <c r="D28" s="1"/>
      <c r="E28" s="2"/>
      <c r="F28" s="1"/>
      <c r="G28" s="26" t="s">
        <v>96</v>
      </c>
      <c r="H28" s="1"/>
      <c r="I28" s="22"/>
      <c r="J28" s="2"/>
      <c r="K28" s="23">
        <v>0</v>
      </c>
      <c r="L28" s="2"/>
      <c r="M28" s="23">
        <v>0</v>
      </c>
      <c r="N28" s="24">
        <v>0</v>
      </c>
      <c r="O28" s="2"/>
      <c r="P28" s="2"/>
      <c r="Q28" s="2"/>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1"/>
    </row>
    <row r="29" spans="1:53" ht="39.6" customHeight="1">
      <c r="A29" s="4">
        <v>23</v>
      </c>
      <c r="B29" s="21" t="s">
        <v>88</v>
      </c>
      <c r="C29" s="3"/>
      <c r="D29" s="1"/>
      <c r="E29" s="2"/>
      <c r="F29" s="1"/>
      <c r="G29" s="26" t="s">
        <v>97</v>
      </c>
      <c r="H29" s="1"/>
      <c r="I29" s="22"/>
      <c r="J29" s="2"/>
      <c r="K29" s="23">
        <v>0</v>
      </c>
      <c r="L29" s="2"/>
      <c r="M29" s="23">
        <v>0</v>
      </c>
      <c r="N29" s="24">
        <v>0</v>
      </c>
      <c r="O29" s="2"/>
      <c r="P29" s="2"/>
      <c r="Q29" s="2"/>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1"/>
    </row>
    <row r="30" spans="1:53" ht="26.45" customHeight="1">
      <c r="A30" s="4">
        <v>24</v>
      </c>
      <c r="B30" s="21" t="s">
        <v>88</v>
      </c>
      <c r="C30" s="3"/>
      <c r="D30" s="1"/>
      <c r="E30" s="2"/>
      <c r="F30" s="1"/>
      <c r="G30" s="26" t="s">
        <v>98</v>
      </c>
      <c r="H30" s="1"/>
      <c r="I30" s="22"/>
      <c r="J30" s="2"/>
      <c r="K30" s="23">
        <v>0</v>
      </c>
      <c r="L30" s="2"/>
      <c r="M30" s="23">
        <v>0</v>
      </c>
      <c r="N30" s="24">
        <v>0</v>
      </c>
      <c r="O30" s="2"/>
      <c r="P30" s="2"/>
      <c r="Q30" s="2"/>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1"/>
    </row>
    <row r="31" spans="1:53">
      <c r="A31" s="4">
        <v>25</v>
      </c>
      <c r="B31" s="21" t="s">
        <v>88</v>
      </c>
      <c r="C31" s="3"/>
      <c r="D31" s="1"/>
      <c r="E31" s="2"/>
      <c r="F31" s="1"/>
      <c r="G31" s="26" t="s">
        <v>99</v>
      </c>
      <c r="H31" s="1"/>
      <c r="I31" s="22"/>
      <c r="J31" s="2"/>
      <c r="K31" s="23">
        <v>0</v>
      </c>
      <c r="L31" s="2"/>
      <c r="M31" s="23">
        <v>0</v>
      </c>
      <c r="N31" s="24">
        <v>0</v>
      </c>
      <c r="O31" s="2"/>
      <c r="P31" s="2"/>
      <c r="Q31" s="2"/>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1"/>
    </row>
    <row r="32" spans="1:53">
      <c r="A32" s="4">
        <v>26</v>
      </c>
      <c r="B32" s="21" t="s">
        <v>88</v>
      </c>
      <c r="C32" s="3"/>
      <c r="D32" s="1"/>
      <c r="E32" s="2"/>
      <c r="F32" s="1"/>
      <c r="G32" s="26" t="s">
        <v>100</v>
      </c>
      <c r="H32" s="1"/>
      <c r="I32" s="22"/>
      <c r="J32" s="2"/>
      <c r="K32" s="23">
        <v>0</v>
      </c>
      <c r="L32" s="2"/>
      <c r="M32" s="23">
        <v>0</v>
      </c>
      <c r="N32" s="24">
        <v>0</v>
      </c>
      <c r="O32" s="2"/>
      <c r="P32" s="2"/>
      <c r="Q32" s="2"/>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1"/>
    </row>
    <row r="33" spans="1:53">
      <c r="A33" s="4">
        <v>27</v>
      </c>
      <c r="B33" s="21" t="s">
        <v>88</v>
      </c>
      <c r="C33" s="3"/>
      <c r="D33" s="1"/>
      <c r="E33" s="2"/>
      <c r="F33" s="1"/>
      <c r="G33" s="26" t="s">
        <v>101</v>
      </c>
      <c r="H33" s="1"/>
      <c r="I33" s="22"/>
      <c r="J33" s="2"/>
      <c r="K33" s="23">
        <v>0</v>
      </c>
      <c r="L33" s="2"/>
      <c r="M33" s="23">
        <v>0</v>
      </c>
      <c r="N33" s="24">
        <v>0</v>
      </c>
      <c r="O33" s="2"/>
      <c r="P33" s="2"/>
      <c r="Q33" s="2"/>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1"/>
    </row>
    <row r="34" spans="1:53">
      <c r="A34" s="4">
        <v>28</v>
      </c>
      <c r="B34" s="21" t="s">
        <v>88</v>
      </c>
      <c r="C34" s="3"/>
      <c r="D34" s="1"/>
      <c r="E34" s="2"/>
      <c r="F34" s="1"/>
      <c r="G34" s="26" t="s">
        <v>102</v>
      </c>
      <c r="H34" s="1"/>
      <c r="I34" s="22"/>
      <c r="J34" s="2"/>
      <c r="K34" s="23">
        <v>0</v>
      </c>
      <c r="L34" s="2"/>
      <c r="M34" s="23">
        <v>0</v>
      </c>
      <c r="N34" s="24">
        <v>0</v>
      </c>
      <c r="O34" s="2"/>
      <c r="P34" s="2"/>
      <c r="Q34" s="2"/>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1"/>
    </row>
    <row r="35" spans="1:53">
      <c r="A35" s="4">
        <v>29</v>
      </c>
      <c r="B35" s="11" t="s">
        <v>88</v>
      </c>
      <c r="C35" s="12"/>
      <c r="D35" s="12" t="s">
        <v>125</v>
      </c>
      <c r="E35" s="13"/>
      <c r="F35" s="14"/>
      <c r="G35" s="15"/>
      <c r="H35" s="12" t="s">
        <v>126</v>
      </c>
      <c r="I35" s="18" t="s">
        <v>121</v>
      </c>
      <c r="J35" s="13" t="s">
        <v>127</v>
      </c>
      <c r="K35" s="10">
        <v>3</v>
      </c>
      <c r="L35" s="13" t="s">
        <v>89</v>
      </c>
      <c r="M35" s="10">
        <v>14</v>
      </c>
      <c r="N35" s="27">
        <v>0</v>
      </c>
      <c r="O35" s="13" t="s">
        <v>107</v>
      </c>
      <c r="P35" s="13" t="s">
        <v>128</v>
      </c>
      <c r="Q35" s="13" t="s">
        <v>109</v>
      </c>
      <c r="R35" s="17">
        <f>SUM(S35:AZ35)</f>
        <v>0</v>
      </c>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2"/>
    </row>
    <row r="36" spans="1:53">
      <c r="A36" s="4">
        <v>30</v>
      </c>
      <c r="B36" s="11" t="s">
        <v>88</v>
      </c>
      <c r="C36" s="12"/>
      <c r="D36" s="12" t="s">
        <v>129</v>
      </c>
      <c r="E36" s="13"/>
      <c r="F36" s="14"/>
      <c r="G36" s="15"/>
      <c r="H36" s="12" t="s">
        <v>104</v>
      </c>
      <c r="I36" s="18" t="s">
        <v>121</v>
      </c>
      <c r="J36" s="13" t="s">
        <v>127</v>
      </c>
      <c r="K36" s="10">
        <v>3</v>
      </c>
      <c r="L36" s="13" t="s">
        <v>89</v>
      </c>
      <c r="M36" s="10">
        <v>12</v>
      </c>
      <c r="N36" s="27">
        <v>0</v>
      </c>
      <c r="O36" s="13" t="s">
        <v>107</v>
      </c>
      <c r="P36" s="13" t="s">
        <v>130</v>
      </c>
      <c r="Q36" s="13" t="s">
        <v>109</v>
      </c>
      <c r="R36" s="17">
        <f>SUM(S36:AZ36)</f>
        <v>2400</v>
      </c>
      <c r="S36" s="17"/>
      <c r="T36" s="17"/>
      <c r="U36" s="17"/>
      <c r="V36" s="17"/>
      <c r="W36" s="17"/>
      <c r="X36" s="17"/>
      <c r="Y36" s="17">
        <f>9*100</f>
        <v>900</v>
      </c>
      <c r="Z36" s="17">
        <f>6*100</f>
        <v>600</v>
      </c>
      <c r="AA36" s="17"/>
      <c r="AB36" s="17"/>
      <c r="AC36" s="17">
        <f>9*100</f>
        <v>900</v>
      </c>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2"/>
    </row>
    <row r="37" spans="1:53">
      <c r="A37" s="4">
        <v>31</v>
      </c>
      <c r="B37" s="11" t="s">
        <v>88</v>
      </c>
      <c r="C37" s="12"/>
      <c r="D37" s="12" t="s">
        <v>131</v>
      </c>
      <c r="E37" s="13"/>
      <c r="F37" s="14"/>
      <c r="G37" s="15"/>
      <c r="H37" s="12" t="s">
        <v>132</v>
      </c>
      <c r="I37" s="18" t="s">
        <v>133</v>
      </c>
      <c r="J37" s="10"/>
      <c r="K37" s="10">
        <v>3</v>
      </c>
      <c r="L37" s="13" t="s">
        <v>89</v>
      </c>
      <c r="M37" s="10">
        <v>12</v>
      </c>
      <c r="N37" s="27">
        <v>0</v>
      </c>
      <c r="O37" s="13" t="s">
        <v>107</v>
      </c>
      <c r="P37" s="10"/>
      <c r="Q37" s="13" t="s">
        <v>109</v>
      </c>
      <c r="R37" s="17">
        <f>SUM(S37:AZ37)</f>
        <v>0</v>
      </c>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4"/>
    </row>
    <row r="38" spans="1:53">
      <c r="A38" s="4">
        <v>32</v>
      </c>
      <c r="B38" s="11" t="s">
        <v>88</v>
      </c>
      <c r="C38" s="12"/>
      <c r="D38" s="12" t="s">
        <v>134</v>
      </c>
      <c r="E38" s="13"/>
      <c r="F38" s="14"/>
      <c r="G38" s="15"/>
      <c r="H38" s="12" t="s">
        <v>113</v>
      </c>
      <c r="I38" s="18" t="s">
        <v>121</v>
      </c>
      <c r="J38" s="13" t="s">
        <v>127</v>
      </c>
      <c r="K38" s="10">
        <v>3</v>
      </c>
      <c r="L38" s="13" t="s">
        <v>89</v>
      </c>
      <c r="M38" s="10">
        <v>10</v>
      </c>
      <c r="N38" s="27">
        <v>0</v>
      </c>
      <c r="O38" s="13" t="s">
        <v>107</v>
      </c>
      <c r="P38" s="13" t="s">
        <v>135</v>
      </c>
      <c r="Q38" s="13" t="s">
        <v>109</v>
      </c>
      <c r="R38" s="17">
        <f>SUM(S38:AZ38)</f>
        <v>0</v>
      </c>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2"/>
    </row>
    <row r="39" spans="1:53">
      <c r="A39" s="4">
        <v>33</v>
      </c>
      <c r="B39" s="11" t="s">
        <v>88</v>
      </c>
      <c r="C39" s="12"/>
      <c r="D39" s="12" t="s">
        <v>136</v>
      </c>
      <c r="E39" s="13"/>
      <c r="F39" s="14"/>
      <c r="G39" s="15"/>
      <c r="H39" s="12" t="s">
        <v>137</v>
      </c>
      <c r="I39" s="18" t="s">
        <v>121</v>
      </c>
      <c r="J39" s="13" t="s">
        <v>127</v>
      </c>
      <c r="K39" s="10">
        <v>3</v>
      </c>
      <c r="L39" s="13" t="s">
        <v>89</v>
      </c>
      <c r="M39" s="10">
        <v>8</v>
      </c>
      <c r="N39" s="27">
        <v>0</v>
      </c>
      <c r="O39" s="13" t="s">
        <v>107</v>
      </c>
      <c r="P39" s="13" t="s">
        <v>138</v>
      </c>
      <c r="Q39" s="13" t="s">
        <v>109</v>
      </c>
      <c r="R39" s="17">
        <f>SUM(S39:AZ39)</f>
        <v>0</v>
      </c>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2"/>
    </row>
    <row r="40" spans="1:53">
      <c r="A40" s="4">
        <v>34</v>
      </c>
      <c r="B40" s="11" t="s">
        <v>88</v>
      </c>
      <c r="C40" s="12"/>
      <c r="D40" s="12" t="s">
        <v>139</v>
      </c>
      <c r="E40" s="13"/>
      <c r="F40" s="14"/>
      <c r="G40" s="15"/>
      <c r="H40" s="12" t="s">
        <v>118</v>
      </c>
      <c r="I40" s="18" t="s">
        <v>121</v>
      </c>
      <c r="J40" s="13" t="s">
        <v>127</v>
      </c>
      <c r="K40" s="10">
        <v>3</v>
      </c>
      <c r="L40" s="13" t="s">
        <v>89</v>
      </c>
      <c r="M40" s="10">
        <v>6</v>
      </c>
      <c r="N40" s="27">
        <v>0</v>
      </c>
      <c r="O40" s="13" t="s">
        <v>107</v>
      </c>
      <c r="P40" s="13" t="s">
        <v>140</v>
      </c>
      <c r="Q40" s="13" t="s">
        <v>109</v>
      </c>
      <c r="R40" s="17">
        <f>SUM(S40:AZ40)</f>
        <v>2600</v>
      </c>
      <c r="S40" s="17"/>
      <c r="T40" s="17"/>
      <c r="U40" s="17"/>
      <c r="V40" s="17"/>
      <c r="W40" s="17"/>
      <c r="X40" s="17"/>
      <c r="Y40" s="17">
        <f>2*100+2*100+2*100</f>
        <v>600</v>
      </c>
      <c r="Z40" s="17">
        <f>2*100+2*100+2*100+2*2*100+2*2*100</f>
        <v>1400</v>
      </c>
      <c r="AA40" s="17"/>
      <c r="AB40" s="17"/>
      <c r="AC40" s="17">
        <f>2*100+2*100+2*100</f>
        <v>600</v>
      </c>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2"/>
    </row>
    <row r="41" spans="1:53">
      <c r="A41" s="4">
        <v>35</v>
      </c>
      <c r="B41" s="11" t="s">
        <v>88</v>
      </c>
      <c r="C41" s="12"/>
      <c r="D41" s="12" t="s">
        <v>141</v>
      </c>
      <c r="E41" s="13"/>
      <c r="F41" s="14"/>
      <c r="G41" s="15"/>
      <c r="H41" s="12" t="s">
        <v>120</v>
      </c>
      <c r="I41" s="18" t="s">
        <v>121</v>
      </c>
      <c r="J41" s="13" t="s">
        <v>127</v>
      </c>
      <c r="K41" s="10">
        <v>2</v>
      </c>
      <c r="L41" s="13" t="s">
        <v>89</v>
      </c>
      <c r="M41" s="10">
        <v>14</v>
      </c>
      <c r="N41" s="27">
        <v>0</v>
      </c>
      <c r="O41" s="13" t="s">
        <v>107</v>
      </c>
      <c r="P41" s="13" t="s">
        <v>142</v>
      </c>
      <c r="Q41" s="13" t="s">
        <v>109</v>
      </c>
      <c r="R41" s="17">
        <f>SUM(S41:AZ41)</f>
        <v>2400</v>
      </c>
      <c r="S41" s="17"/>
      <c r="T41" s="17"/>
      <c r="U41" s="17"/>
      <c r="V41" s="17"/>
      <c r="W41" s="17"/>
      <c r="X41" s="17"/>
      <c r="Y41" s="17">
        <f>9*100</f>
        <v>900</v>
      </c>
      <c r="Z41" s="17">
        <f>6*100</f>
        <v>600</v>
      </c>
      <c r="AA41" s="17"/>
      <c r="AB41" s="17"/>
      <c r="AC41" s="17">
        <f>9*100</f>
        <v>900</v>
      </c>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2"/>
    </row>
    <row r="42" spans="1:53">
      <c r="A42" s="4">
        <v>36</v>
      </c>
      <c r="B42" s="5" t="s">
        <v>88</v>
      </c>
      <c r="C42" s="6"/>
      <c r="D42" s="37" t="s">
        <v>143</v>
      </c>
      <c r="E42" s="50"/>
      <c r="F42" s="37" t="s">
        <v>144</v>
      </c>
      <c r="G42" s="53"/>
      <c r="H42" s="9"/>
      <c r="I42" s="7"/>
      <c r="J42" s="4"/>
      <c r="K42" s="19">
        <v>0</v>
      </c>
      <c r="L42" s="4"/>
      <c r="M42" s="19">
        <v>0</v>
      </c>
      <c r="N42" s="20">
        <v>0</v>
      </c>
      <c r="O42" s="4"/>
      <c r="P42" s="4"/>
      <c r="Q42" s="4"/>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9"/>
    </row>
    <row r="43" spans="1:53">
      <c r="A43" s="4">
        <v>37</v>
      </c>
      <c r="B43" s="21" t="s">
        <v>88</v>
      </c>
      <c r="C43" s="3"/>
      <c r="D43" s="1"/>
      <c r="E43" s="2"/>
      <c r="F43" s="1"/>
      <c r="G43" s="26" t="s">
        <v>145</v>
      </c>
      <c r="H43" s="1"/>
      <c r="I43" s="22"/>
      <c r="J43" s="2"/>
      <c r="K43" s="23">
        <v>0</v>
      </c>
      <c r="L43" s="2"/>
      <c r="M43" s="23">
        <v>0</v>
      </c>
      <c r="N43" s="24">
        <v>0</v>
      </c>
      <c r="O43" s="2"/>
      <c r="P43" s="2"/>
      <c r="Q43" s="2"/>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1"/>
    </row>
    <row r="44" spans="1:53" ht="26.45" customHeight="1">
      <c r="A44" s="4">
        <v>38</v>
      </c>
      <c r="B44" s="21" t="s">
        <v>88</v>
      </c>
      <c r="C44" s="3"/>
      <c r="D44" s="1"/>
      <c r="E44" s="2"/>
      <c r="F44" s="1"/>
      <c r="G44" s="26" t="s">
        <v>94</v>
      </c>
      <c r="H44" s="1"/>
      <c r="I44" s="22"/>
      <c r="J44" s="2"/>
      <c r="K44" s="23">
        <v>0</v>
      </c>
      <c r="L44" s="2"/>
      <c r="M44" s="23">
        <v>0</v>
      </c>
      <c r="N44" s="24">
        <v>0</v>
      </c>
      <c r="O44" s="2"/>
      <c r="P44" s="2"/>
      <c r="Q44" s="2"/>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1"/>
    </row>
    <row r="45" spans="1:53">
      <c r="A45" s="4">
        <v>39</v>
      </c>
      <c r="B45" s="21" t="s">
        <v>88</v>
      </c>
      <c r="C45" s="3"/>
      <c r="D45" s="1"/>
      <c r="E45" s="2"/>
      <c r="F45" s="1"/>
      <c r="G45" s="26" t="s">
        <v>124</v>
      </c>
      <c r="H45" s="1"/>
      <c r="I45" s="22"/>
      <c r="J45" s="2"/>
      <c r="K45" s="23">
        <v>0</v>
      </c>
      <c r="L45" s="2"/>
      <c r="M45" s="23">
        <v>0</v>
      </c>
      <c r="N45" s="24">
        <v>0</v>
      </c>
      <c r="O45" s="2"/>
      <c r="P45" s="2"/>
      <c r="Q45" s="2"/>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1"/>
    </row>
    <row r="46" spans="1:53">
      <c r="A46" s="4">
        <v>40</v>
      </c>
      <c r="B46" s="21" t="s">
        <v>88</v>
      </c>
      <c r="C46" s="3"/>
      <c r="D46" s="1"/>
      <c r="E46" s="2"/>
      <c r="F46" s="1"/>
      <c r="G46" s="26" t="s">
        <v>146</v>
      </c>
      <c r="H46" s="1"/>
      <c r="I46" s="22"/>
      <c r="J46" s="2"/>
      <c r="K46" s="23">
        <v>0</v>
      </c>
      <c r="L46" s="2"/>
      <c r="M46" s="23">
        <v>0</v>
      </c>
      <c r="N46" s="24">
        <v>0</v>
      </c>
      <c r="O46" s="2"/>
      <c r="P46" s="2"/>
      <c r="Q46" s="2"/>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1"/>
    </row>
    <row r="47" spans="1:53" ht="26.45" customHeight="1">
      <c r="A47" s="4">
        <v>41</v>
      </c>
      <c r="B47" s="21" t="s">
        <v>88</v>
      </c>
      <c r="C47" s="3"/>
      <c r="D47" s="1"/>
      <c r="E47" s="2"/>
      <c r="F47" s="1"/>
      <c r="G47" s="26" t="s">
        <v>147</v>
      </c>
      <c r="H47" s="1"/>
      <c r="I47" s="22"/>
      <c r="J47" s="2"/>
      <c r="K47" s="23">
        <v>0</v>
      </c>
      <c r="L47" s="2"/>
      <c r="M47" s="23">
        <v>0</v>
      </c>
      <c r="N47" s="24">
        <v>0</v>
      </c>
      <c r="O47" s="2"/>
      <c r="P47" s="2"/>
      <c r="Q47" s="2"/>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1"/>
    </row>
    <row r="48" spans="1:53" ht="26.45" customHeight="1">
      <c r="A48" s="4">
        <v>42</v>
      </c>
      <c r="B48" s="21" t="s">
        <v>88</v>
      </c>
      <c r="C48" s="3"/>
      <c r="D48" s="1"/>
      <c r="E48" s="2"/>
      <c r="F48" s="1"/>
      <c r="G48" s="26" t="s">
        <v>98</v>
      </c>
      <c r="H48" s="1"/>
      <c r="I48" s="22"/>
      <c r="J48" s="2"/>
      <c r="K48" s="23">
        <v>0</v>
      </c>
      <c r="L48" s="2"/>
      <c r="M48" s="23">
        <v>0</v>
      </c>
      <c r="N48" s="24">
        <v>0</v>
      </c>
      <c r="O48" s="2"/>
      <c r="P48" s="2"/>
      <c r="Q48" s="2"/>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1"/>
    </row>
    <row r="49" spans="1:53">
      <c r="A49" s="4">
        <v>43</v>
      </c>
      <c r="B49" s="21" t="s">
        <v>88</v>
      </c>
      <c r="C49" s="3"/>
      <c r="D49" s="1"/>
      <c r="E49" s="2"/>
      <c r="F49" s="1"/>
      <c r="G49" s="26" t="s">
        <v>100</v>
      </c>
      <c r="H49" s="1"/>
      <c r="I49" s="22"/>
      <c r="J49" s="2"/>
      <c r="K49" s="23">
        <v>0</v>
      </c>
      <c r="L49" s="2"/>
      <c r="M49" s="23">
        <v>0</v>
      </c>
      <c r="N49" s="24">
        <v>0</v>
      </c>
      <c r="O49" s="2"/>
      <c r="P49" s="2"/>
      <c r="Q49" s="2"/>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1"/>
    </row>
    <row r="50" spans="1:53">
      <c r="A50" s="4">
        <v>44</v>
      </c>
      <c r="B50" s="21" t="s">
        <v>88</v>
      </c>
      <c r="C50" s="3"/>
      <c r="D50" s="1"/>
      <c r="E50" s="2"/>
      <c r="F50" s="1"/>
      <c r="G50" s="26" t="s">
        <v>101</v>
      </c>
      <c r="H50" s="1"/>
      <c r="I50" s="22"/>
      <c r="J50" s="2"/>
      <c r="K50" s="23">
        <v>0</v>
      </c>
      <c r="L50" s="2"/>
      <c r="M50" s="23">
        <v>0</v>
      </c>
      <c r="N50" s="24">
        <v>0</v>
      </c>
      <c r="O50" s="2"/>
      <c r="P50" s="2"/>
      <c r="Q50" s="2"/>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1"/>
    </row>
    <row r="51" spans="1:53">
      <c r="A51" s="4">
        <v>45</v>
      </c>
      <c r="B51" s="21" t="s">
        <v>88</v>
      </c>
      <c r="C51" s="3"/>
      <c r="D51" s="1"/>
      <c r="E51" s="2"/>
      <c r="F51" s="1"/>
      <c r="G51" s="26" t="s">
        <v>102</v>
      </c>
      <c r="H51" s="1"/>
      <c r="I51" s="22"/>
      <c r="J51" s="2"/>
      <c r="K51" s="23">
        <v>0</v>
      </c>
      <c r="L51" s="2"/>
      <c r="M51" s="23">
        <v>0</v>
      </c>
      <c r="N51" s="24">
        <v>0</v>
      </c>
      <c r="O51" s="2"/>
      <c r="P51" s="2"/>
      <c r="Q51" s="2"/>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1"/>
    </row>
    <row r="52" spans="1:53">
      <c r="A52" s="4">
        <v>46</v>
      </c>
      <c r="B52" s="11" t="s">
        <v>88</v>
      </c>
      <c r="C52" s="12"/>
      <c r="D52" s="12" t="s">
        <v>148</v>
      </c>
      <c r="E52" s="13"/>
      <c r="F52" s="14"/>
      <c r="G52" s="15"/>
      <c r="H52" s="12" t="s">
        <v>149</v>
      </c>
      <c r="I52" s="18" t="s">
        <v>150</v>
      </c>
      <c r="J52" s="13" t="s">
        <v>151</v>
      </c>
      <c r="K52" s="10">
        <v>1</v>
      </c>
      <c r="L52" s="13" t="s">
        <v>89</v>
      </c>
      <c r="M52" s="10">
        <v>10</v>
      </c>
      <c r="N52" s="27">
        <v>0</v>
      </c>
      <c r="O52" s="13" t="s">
        <v>107</v>
      </c>
      <c r="P52" s="13" t="s">
        <v>152</v>
      </c>
      <c r="Q52" s="13" t="s">
        <v>109</v>
      </c>
      <c r="R52" s="17">
        <f>SUM(S52:AZ52)</f>
        <v>5895</v>
      </c>
      <c r="S52" s="17"/>
      <c r="T52" s="17"/>
      <c r="U52" s="17">
        <f>SUM((5*198+5*16+5*54+20*2),(5*198+5*16+5*54+20*2),(5*198+5*16+5*54+20*2),(5*198+5*16+5*54+20*2))</f>
        <v>5520</v>
      </c>
      <c r="V52" s="17"/>
      <c r="W52" s="17"/>
      <c r="X52" s="17"/>
      <c r="Y52" s="17">
        <f>5*12+5*6+5*4</f>
        <v>110</v>
      </c>
      <c r="Z52" s="17">
        <f>5*11+5*10+5*4</f>
        <v>125</v>
      </c>
      <c r="AA52" s="17"/>
      <c r="AB52" s="17"/>
      <c r="AC52" s="17">
        <f>5*10+5*14+5*4</f>
        <v>140</v>
      </c>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2"/>
    </row>
    <row r="53" spans="1:53">
      <c r="A53" s="4">
        <v>47</v>
      </c>
      <c r="B53" s="11" t="s">
        <v>88</v>
      </c>
      <c r="C53" s="12"/>
      <c r="D53" s="12" t="s">
        <v>153</v>
      </c>
      <c r="E53" s="13"/>
      <c r="F53" s="14"/>
      <c r="G53" s="15"/>
      <c r="H53" s="12" t="s">
        <v>154</v>
      </c>
      <c r="I53" s="18" t="s">
        <v>150</v>
      </c>
      <c r="J53" s="13" t="s">
        <v>151</v>
      </c>
      <c r="K53" s="10">
        <v>1</v>
      </c>
      <c r="L53" s="13" t="s">
        <v>89</v>
      </c>
      <c r="M53" s="10">
        <v>2</v>
      </c>
      <c r="N53" s="27">
        <v>0</v>
      </c>
      <c r="O53" s="13" t="s">
        <v>107</v>
      </c>
      <c r="P53" s="13" t="s">
        <v>155</v>
      </c>
      <c r="Q53" s="13" t="s">
        <v>109</v>
      </c>
      <c r="R53" s="17">
        <f>SUM(S53:AZ53)</f>
        <v>25440</v>
      </c>
      <c r="S53" s="17"/>
      <c r="T53" s="17"/>
      <c r="U53" s="17">
        <f>SUM((20*198+20*72+20*34+20*9),(20*198+20*72+20*34+20*9),(20*198+20*72+20*34+20*9),(20*198+20*72+20*34+20*9))</f>
        <v>25040</v>
      </c>
      <c r="V53" s="17"/>
      <c r="W53" s="17"/>
      <c r="X53" s="17"/>
      <c r="Y53" s="17">
        <f>20*4</f>
        <v>80</v>
      </c>
      <c r="Z53" s="17">
        <f>20*12</f>
        <v>240</v>
      </c>
      <c r="AA53" s="17"/>
      <c r="AB53" s="17"/>
      <c r="AC53" s="17">
        <f>20*4</f>
        <v>80</v>
      </c>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2"/>
    </row>
    <row r="54" spans="1:53">
      <c r="A54" s="4">
        <v>48</v>
      </c>
      <c r="B54" s="11" t="s">
        <v>88</v>
      </c>
      <c r="C54" s="12"/>
      <c r="D54" s="12" t="s">
        <v>156</v>
      </c>
      <c r="E54" s="13"/>
      <c r="F54" s="14"/>
      <c r="G54" s="15"/>
      <c r="H54" s="12" t="s">
        <v>154</v>
      </c>
      <c r="I54" s="18" t="s">
        <v>157</v>
      </c>
      <c r="J54" s="10"/>
      <c r="K54" s="10">
        <v>1</v>
      </c>
      <c r="L54" s="13" t="s">
        <v>89</v>
      </c>
      <c r="M54" s="10">
        <v>2</v>
      </c>
      <c r="N54" s="27">
        <v>0</v>
      </c>
      <c r="O54" s="13" t="s">
        <v>107</v>
      </c>
      <c r="P54" s="10"/>
      <c r="Q54" s="13" t="s">
        <v>109</v>
      </c>
      <c r="R54" s="17">
        <f>SUM(S54:AZ54)</f>
        <v>0</v>
      </c>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4"/>
    </row>
    <row r="55" spans="1:53">
      <c r="A55" s="4">
        <v>49</v>
      </c>
      <c r="B55" s="21" t="s">
        <v>88</v>
      </c>
      <c r="C55" s="3"/>
      <c r="D55" s="1"/>
      <c r="E55" s="2"/>
      <c r="F55" s="1"/>
      <c r="G55" s="26" t="s">
        <v>145</v>
      </c>
      <c r="H55" s="1"/>
      <c r="I55" s="22"/>
      <c r="J55" s="2"/>
      <c r="K55" s="23">
        <v>0</v>
      </c>
      <c r="L55" s="2"/>
      <c r="M55" s="23">
        <v>0</v>
      </c>
      <c r="N55" s="24">
        <v>0</v>
      </c>
      <c r="O55" s="2"/>
      <c r="P55" s="2"/>
      <c r="Q55" s="2"/>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1"/>
    </row>
    <row r="56" spans="1:53" ht="26.45" customHeight="1">
      <c r="A56" s="4">
        <v>50</v>
      </c>
      <c r="B56" s="21" t="s">
        <v>88</v>
      </c>
      <c r="C56" s="3"/>
      <c r="D56" s="1"/>
      <c r="E56" s="2"/>
      <c r="F56" s="1"/>
      <c r="G56" s="26" t="s">
        <v>94</v>
      </c>
      <c r="H56" s="1"/>
      <c r="I56" s="22"/>
      <c r="J56" s="2"/>
      <c r="K56" s="23">
        <v>0</v>
      </c>
      <c r="L56" s="2"/>
      <c r="M56" s="23">
        <v>0</v>
      </c>
      <c r="N56" s="24">
        <v>0</v>
      </c>
      <c r="O56" s="2"/>
      <c r="P56" s="2"/>
      <c r="Q56" s="2"/>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1"/>
    </row>
    <row r="57" spans="1:53">
      <c r="A57" s="4">
        <v>51</v>
      </c>
      <c r="B57" s="21" t="s">
        <v>88</v>
      </c>
      <c r="C57" s="3"/>
      <c r="D57" s="1"/>
      <c r="E57" s="2"/>
      <c r="F57" s="1"/>
      <c r="G57" s="26" t="s">
        <v>124</v>
      </c>
      <c r="H57" s="1"/>
      <c r="I57" s="22"/>
      <c r="J57" s="2"/>
      <c r="K57" s="23">
        <v>0</v>
      </c>
      <c r="L57" s="2"/>
      <c r="M57" s="23">
        <v>0</v>
      </c>
      <c r="N57" s="24">
        <v>0</v>
      </c>
      <c r="O57" s="2"/>
      <c r="P57" s="2"/>
      <c r="Q57" s="2"/>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1"/>
    </row>
    <row r="58" spans="1:53">
      <c r="A58" s="4">
        <v>52</v>
      </c>
      <c r="B58" s="21" t="s">
        <v>88</v>
      </c>
      <c r="C58" s="3"/>
      <c r="D58" s="1"/>
      <c r="E58" s="2"/>
      <c r="F58" s="1"/>
      <c r="G58" s="26" t="s">
        <v>146</v>
      </c>
      <c r="H58" s="1"/>
      <c r="I58" s="22"/>
      <c r="J58" s="2"/>
      <c r="K58" s="23">
        <v>0</v>
      </c>
      <c r="L58" s="2"/>
      <c r="M58" s="23">
        <v>0</v>
      </c>
      <c r="N58" s="24">
        <v>0</v>
      </c>
      <c r="O58" s="2"/>
      <c r="P58" s="2"/>
      <c r="Q58" s="2"/>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1"/>
    </row>
    <row r="59" spans="1:53" ht="26.45" customHeight="1">
      <c r="A59" s="4">
        <v>53</v>
      </c>
      <c r="B59" s="21" t="s">
        <v>88</v>
      </c>
      <c r="C59" s="3"/>
      <c r="D59" s="1"/>
      <c r="E59" s="2"/>
      <c r="F59" s="1"/>
      <c r="G59" s="26" t="s">
        <v>158</v>
      </c>
      <c r="H59" s="1"/>
      <c r="I59" s="22"/>
      <c r="J59" s="2"/>
      <c r="K59" s="23">
        <v>0</v>
      </c>
      <c r="L59" s="2"/>
      <c r="M59" s="23">
        <v>0</v>
      </c>
      <c r="N59" s="24">
        <v>0</v>
      </c>
      <c r="O59" s="2"/>
      <c r="P59" s="2"/>
      <c r="Q59" s="2"/>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1"/>
    </row>
    <row r="60" spans="1:53" ht="26.45" customHeight="1">
      <c r="A60" s="4">
        <v>54</v>
      </c>
      <c r="B60" s="21" t="s">
        <v>88</v>
      </c>
      <c r="C60" s="3"/>
      <c r="D60" s="1"/>
      <c r="E60" s="2"/>
      <c r="F60" s="1"/>
      <c r="G60" s="26" t="s">
        <v>98</v>
      </c>
      <c r="H60" s="1"/>
      <c r="I60" s="22"/>
      <c r="J60" s="2"/>
      <c r="K60" s="23">
        <v>0</v>
      </c>
      <c r="L60" s="2"/>
      <c r="M60" s="23">
        <v>0</v>
      </c>
      <c r="N60" s="24">
        <v>0</v>
      </c>
      <c r="O60" s="2"/>
      <c r="P60" s="2"/>
      <c r="Q60" s="2"/>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5"/>
      <c r="AW60" s="25"/>
      <c r="AX60" s="25"/>
      <c r="AY60" s="25"/>
      <c r="AZ60" s="25"/>
      <c r="BA60" s="1"/>
    </row>
    <row r="61" spans="1:53">
      <c r="A61" s="4">
        <v>55</v>
      </c>
      <c r="B61" s="21" t="s">
        <v>88</v>
      </c>
      <c r="C61" s="3"/>
      <c r="D61" s="1"/>
      <c r="E61" s="2"/>
      <c r="F61" s="1"/>
      <c r="G61" s="26" t="s">
        <v>100</v>
      </c>
      <c r="H61" s="1"/>
      <c r="I61" s="22"/>
      <c r="J61" s="2"/>
      <c r="K61" s="23">
        <v>0</v>
      </c>
      <c r="L61" s="2"/>
      <c r="M61" s="23">
        <v>0</v>
      </c>
      <c r="N61" s="24">
        <v>0</v>
      </c>
      <c r="O61" s="2"/>
      <c r="P61" s="2"/>
      <c r="Q61" s="2"/>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c r="AU61" s="25"/>
      <c r="AV61" s="25"/>
      <c r="AW61" s="25"/>
      <c r="AX61" s="25"/>
      <c r="AY61" s="25"/>
      <c r="AZ61" s="25"/>
      <c r="BA61" s="1"/>
    </row>
    <row r="62" spans="1:53">
      <c r="A62" s="4">
        <v>56</v>
      </c>
      <c r="B62" s="21" t="s">
        <v>88</v>
      </c>
      <c r="C62" s="3"/>
      <c r="D62" s="1"/>
      <c r="E62" s="2"/>
      <c r="F62" s="1"/>
      <c r="G62" s="26" t="s">
        <v>101</v>
      </c>
      <c r="H62" s="1"/>
      <c r="I62" s="22"/>
      <c r="J62" s="2"/>
      <c r="K62" s="23">
        <v>0</v>
      </c>
      <c r="L62" s="2"/>
      <c r="M62" s="23">
        <v>0</v>
      </c>
      <c r="N62" s="24">
        <v>0</v>
      </c>
      <c r="O62" s="2"/>
      <c r="P62" s="2"/>
      <c r="Q62" s="2"/>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1"/>
    </row>
    <row r="63" spans="1:53">
      <c r="A63" s="4">
        <v>57</v>
      </c>
      <c r="B63" s="21" t="s">
        <v>88</v>
      </c>
      <c r="C63" s="3"/>
      <c r="D63" s="1"/>
      <c r="E63" s="2"/>
      <c r="F63" s="1"/>
      <c r="G63" s="26" t="s">
        <v>102</v>
      </c>
      <c r="H63" s="1"/>
      <c r="I63" s="22"/>
      <c r="J63" s="2"/>
      <c r="K63" s="23">
        <v>0</v>
      </c>
      <c r="L63" s="2"/>
      <c r="M63" s="23">
        <v>0</v>
      </c>
      <c r="N63" s="24">
        <v>0</v>
      </c>
      <c r="O63" s="2"/>
      <c r="P63" s="2"/>
      <c r="Q63" s="2"/>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1"/>
    </row>
    <row r="64" spans="1:53">
      <c r="A64" s="4">
        <v>58</v>
      </c>
      <c r="B64" s="11" t="s">
        <v>88</v>
      </c>
      <c r="C64" s="12"/>
      <c r="D64" s="12" t="s">
        <v>159</v>
      </c>
      <c r="E64" s="13"/>
      <c r="F64" s="14"/>
      <c r="G64" s="15"/>
      <c r="H64" s="12" t="s">
        <v>160</v>
      </c>
      <c r="I64" s="18" t="s">
        <v>161</v>
      </c>
      <c r="J64" s="13" t="s">
        <v>151</v>
      </c>
      <c r="K64" s="10">
        <v>1</v>
      </c>
      <c r="L64" s="13" t="s">
        <v>89</v>
      </c>
      <c r="M64" s="10">
        <v>6</v>
      </c>
      <c r="N64" s="27">
        <v>0</v>
      </c>
      <c r="O64" s="13" t="s">
        <v>107</v>
      </c>
      <c r="P64" s="13" t="s">
        <v>162</v>
      </c>
      <c r="Q64" s="13" t="s">
        <v>109</v>
      </c>
      <c r="R64" s="17">
        <f>SUM(S64:AZ64)</f>
        <v>0</v>
      </c>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2"/>
    </row>
    <row r="65" spans="1:53">
      <c r="A65" s="4">
        <v>59</v>
      </c>
      <c r="B65" s="11" t="s">
        <v>88</v>
      </c>
      <c r="C65" s="12"/>
      <c r="D65" s="12" t="s">
        <v>163</v>
      </c>
      <c r="E65" s="13"/>
      <c r="F65" s="14"/>
      <c r="G65" s="15"/>
      <c r="H65" s="12" t="s">
        <v>160</v>
      </c>
      <c r="I65" s="18" t="s">
        <v>164</v>
      </c>
      <c r="J65" s="10"/>
      <c r="K65" s="10">
        <v>1</v>
      </c>
      <c r="L65" s="13" t="s">
        <v>89</v>
      </c>
      <c r="M65" s="10">
        <v>6</v>
      </c>
      <c r="N65" s="27">
        <v>0</v>
      </c>
      <c r="O65" s="13" t="s">
        <v>107</v>
      </c>
      <c r="P65" s="10"/>
      <c r="Q65" s="13" t="s">
        <v>109</v>
      </c>
      <c r="R65" s="17">
        <f>SUM(S65:AZ65)</f>
        <v>0</v>
      </c>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4"/>
    </row>
    <row r="66" spans="1:53">
      <c r="A66" s="4">
        <v>60</v>
      </c>
      <c r="B66" s="11" t="s">
        <v>88</v>
      </c>
      <c r="C66" s="12"/>
      <c r="D66" s="12" t="s">
        <v>165</v>
      </c>
      <c r="E66" s="13"/>
      <c r="F66" s="14"/>
      <c r="G66" s="15"/>
      <c r="H66" s="12" t="s">
        <v>154</v>
      </c>
      <c r="I66" s="18" t="s">
        <v>161</v>
      </c>
      <c r="J66" s="13" t="s">
        <v>151</v>
      </c>
      <c r="K66" s="10">
        <v>1</v>
      </c>
      <c r="L66" s="13" t="s">
        <v>89</v>
      </c>
      <c r="M66" s="10">
        <v>2</v>
      </c>
      <c r="N66" s="27">
        <v>0</v>
      </c>
      <c r="O66" s="13" t="s">
        <v>107</v>
      </c>
      <c r="P66" s="13" t="s">
        <v>166</v>
      </c>
      <c r="Q66" s="13" t="s">
        <v>109</v>
      </c>
      <c r="R66" s="17">
        <f>SUM(S66:AZ66)</f>
        <v>0</v>
      </c>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2"/>
    </row>
    <row r="67" spans="1:53" ht="18.75" customHeight="1">
      <c r="A67" s="4"/>
      <c r="B67" s="11"/>
      <c r="C67" s="12"/>
      <c r="D67" s="12"/>
      <c r="E67" s="13"/>
      <c r="F67" s="14"/>
      <c r="G67" s="15"/>
      <c r="H67" s="12"/>
      <c r="I67" s="18"/>
      <c r="J67" s="13"/>
      <c r="K67" s="10"/>
      <c r="L67" s="13"/>
      <c r="M67" s="10"/>
      <c r="N67" s="27"/>
      <c r="O67" s="13"/>
      <c r="P67" s="13"/>
      <c r="Q67" s="17"/>
      <c r="R67" s="13"/>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2"/>
    </row>
    <row r="68" spans="1:53">
      <c r="A68" s="4">
        <v>61</v>
      </c>
      <c r="B68" s="5" t="s">
        <v>88</v>
      </c>
      <c r="C68" s="6"/>
      <c r="D68" s="37" t="s">
        <v>167</v>
      </c>
      <c r="E68" s="50"/>
      <c r="F68" s="37" t="s">
        <v>168</v>
      </c>
      <c r="G68" s="53"/>
      <c r="H68" s="9"/>
      <c r="I68" s="7"/>
      <c r="J68" s="4"/>
      <c r="K68" s="19">
        <v>0</v>
      </c>
      <c r="L68" s="4"/>
      <c r="M68" s="19">
        <v>0</v>
      </c>
      <c r="N68" s="20">
        <v>0</v>
      </c>
      <c r="O68" s="4"/>
      <c r="P68" s="4"/>
      <c r="Q68" s="4"/>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9"/>
    </row>
    <row r="69" spans="1:53" ht="52.9" customHeight="1">
      <c r="A69" s="4">
        <v>62</v>
      </c>
      <c r="B69" s="21" t="s">
        <v>88</v>
      </c>
      <c r="C69" s="3"/>
      <c r="D69" s="1"/>
      <c r="E69" s="2"/>
      <c r="F69" s="1"/>
      <c r="G69" s="26" t="s">
        <v>169</v>
      </c>
      <c r="H69" s="1"/>
      <c r="I69" s="22"/>
      <c r="J69" s="2"/>
      <c r="K69" s="23">
        <v>0</v>
      </c>
      <c r="L69" s="2"/>
      <c r="M69" s="23">
        <v>0</v>
      </c>
      <c r="N69" s="24">
        <v>0</v>
      </c>
      <c r="O69" s="2"/>
      <c r="P69" s="2"/>
      <c r="Q69" s="2"/>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25"/>
      <c r="AU69" s="25"/>
      <c r="AV69" s="25"/>
      <c r="AW69" s="25"/>
      <c r="AX69" s="25"/>
      <c r="AY69" s="25"/>
      <c r="AZ69" s="25"/>
      <c r="BA69" s="1"/>
    </row>
    <row r="70" spans="1:53" ht="39.6" customHeight="1">
      <c r="A70" s="4">
        <v>63</v>
      </c>
      <c r="B70" s="21" t="s">
        <v>88</v>
      </c>
      <c r="C70" s="3"/>
      <c r="D70" s="1"/>
      <c r="E70" s="2"/>
      <c r="F70" s="1"/>
      <c r="G70" s="26" t="s">
        <v>170</v>
      </c>
      <c r="H70" s="1"/>
      <c r="I70" s="22"/>
      <c r="J70" s="2"/>
      <c r="K70" s="23">
        <v>0</v>
      </c>
      <c r="L70" s="2"/>
      <c r="M70" s="23">
        <v>0</v>
      </c>
      <c r="N70" s="24">
        <v>0</v>
      </c>
      <c r="O70" s="2"/>
      <c r="P70" s="2"/>
      <c r="Q70" s="2"/>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25"/>
      <c r="AY70" s="25"/>
      <c r="AZ70" s="25"/>
      <c r="BA70" s="1"/>
    </row>
    <row r="71" spans="1:53">
      <c r="A71" s="4">
        <v>64</v>
      </c>
      <c r="B71" s="21" t="s">
        <v>88</v>
      </c>
      <c r="C71" s="3"/>
      <c r="D71" s="1"/>
      <c r="E71" s="2"/>
      <c r="F71" s="1"/>
      <c r="G71" s="26" t="s">
        <v>171</v>
      </c>
      <c r="H71" s="1"/>
      <c r="I71" s="22"/>
      <c r="J71" s="2"/>
      <c r="K71" s="23">
        <v>0</v>
      </c>
      <c r="L71" s="2"/>
      <c r="M71" s="23">
        <v>0</v>
      </c>
      <c r="N71" s="24">
        <v>0</v>
      </c>
      <c r="O71" s="2"/>
      <c r="P71" s="2"/>
      <c r="Q71" s="2"/>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c r="AX71" s="25"/>
      <c r="AY71" s="25"/>
      <c r="AZ71" s="25"/>
      <c r="BA71" s="1"/>
    </row>
    <row r="72" spans="1:53">
      <c r="A72" s="4">
        <v>65</v>
      </c>
      <c r="B72" s="21" t="s">
        <v>88</v>
      </c>
      <c r="C72" s="3"/>
      <c r="D72" s="1"/>
      <c r="E72" s="2"/>
      <c r="F72" s="1"/>
      <c r="G72" s="26" t="s">
        <v>172</v>
      </c>
      <c r="H72" s="1"/>
      <c r="I72" s="22"/>
      <c r="J72" s="2"/>
      <c r="K72" s="23">
        <v>0</v>
      </c>
      <c r="L72" s="2"/>
      <c r="M72" s="23">
        <v>0</v>
      </c>
      <c r="N72" s="24">
        <v>0</v>
      </c>
      <c r="O72" s="2"/>
      <c r="P72" s="2"/>
      <c r="Q72" s="2"/>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25"/>
      <c r="AW72" s="25"/>
      <c r="AX72" s="25"/>
      <c r="AY72" s="25"/>
      <c r="AZ72" s="25"/>
      <c r="BA72" s="1"/>
    </row>
    <row r="73" spans="1:53" ht="26.45" customHeight="1">
      <c r="A73" s="4">
        <v>66</v>
      </c>
      <c r="B73" s="21" t="s">
        <v>88</v>
      </c>
      <c r="C73" s="3"/>
      <c r="D73" s="1"/>
      <c r="E73" s="2"/>
      <c r="F73" s="1"/>
      <c r="G73" s="26" t="s">
        <v>173</v>
      </c>
      <c r="H73" s="1"/>
      <c r="I73" s="22"/>
      <c r="J73" s="2"/>
      <c r="K73" s="23">
        <v>0</v>
      </c>
      <c r="L73" s="2"/>
      <c r="M73" s="23">
        <v>0</v>
      </c>
      <c r="N73" s="24">
        <v>0</v>
      </c>
      <c r="O73" s="2"/>
      <c r="P73" s="2"/>
      <c r="Q73" s="2"/>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c r="AT73" s="25"/>
      <c r="AU73" s="25"/>
      <c r="AV73" s="25"/>
      <c r="AW73" s="25"/>
      <c r="AX73" s="25"/>
      <c r="AY73" s="25"/>
      <c r="AZ73" s="25"/>
      <c r="BA73" s="1"/>
    </row>
    <row r="74" spans="1:53">
      <c r="A74" s="4">
        <v>67</v>
      </c>
      <c r="B74" s="21" t="s">
        <v>88</v>
      </c>
      <c r="C74" s="3"/>
      <c r="D74" s="1"/>
      <c r="E74" s="2"/>
      <c r="F74" s="1"/>
      <c r="G74" s="26" t="s">
        <v>174</v>
      </c>
      <c r="H74" s="1"/>
      <c r="I74" s="22"/>
      <c r="J74" s="2"/>
      <c r="K74" s="23">
        <v>0</v>
      </c>
      <c r="L74" s="2"/>
      <c r="M74" s="23">
        <v>0</v>
      </c>
      <c r="N74" s="24">
        <v>0</v>
      </c>
      <c r="O74" s="2"/>
      <c r="P74" s="2"/>
      <c r="Q74" s="2"/>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25"/>
      <c r="AZ74" s="25"/>
      <c r="BA74" s="1"/>
    </row>
    <row r="75" spans="1:53" ht="26.45" customHeight="1">
      <c r="A75" s="4">
        <v>68</v>
      </c>
      <c r="B75" s="21" t="s">
        <v>88</v>
      </c>
      <c r="C75" s="3"/>
      <c r="D75" s="1"/>
      <c r="E75" s="2"/>
      <c r="F75" s="1"/>
      <c r="G75" s="26" t="s">
        <v>175</v>
      </c>
      <c r="H75" s="1"/>
      <c r="I75" s="22"/>
      <c r="J75" s="2"/>
      <c r="K75" s="23">
        <v>0</v>
      </c>
      <c r="L75" s="2"/>
      <c r="M75" s="23">
        <v>0</v>
      </c>
      <c r="N75" s="24">
        <v>0</v>
      </c>
      <c r="O75" s="2"/>
      <c r="P75" s="2"/>
      <c r="Q75" s="2"/>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25"/>
      <c r="AY75" s="25"/>
      <c r="AZ75" s="25"/>
      <c r="BA75" s="1"/>
    </row>
    <row r="76" spans="1:53" ht="52.9" customHeight="1">
      <c r="A76" s="4">
        <v>69</v>
      </c>
      <c r="B76" s="21" t="s">
        <v>88</v>
      </c>
      <c r="C76" s="3"/>
      <c r="D76" s="1"/>
      <c r="E76" s="2"/>
      <c r="F76" s="1"/>
      <c r="G76" s="26" t="s">
        <v>176</v>
      </c>
      <c r="H76" s="1"/>
      <c r="I76" s="22"/>
      <c r="J76" s="2"/>
      <c r="K76" s="23">
        <v>0</v>
      </c>
      <c r="L76" s="2"/>
      <c r="M76" s="23">
        <v>0</v>
      </c>
      <c r="N76" s="24">
        <v>0</v>
      </c>
      <c r="O76" s="2"/>
      <c r="P76" s="2"/>
      <c r="Q76" s="2"/>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25"/>
      <c r="AZ76" s="25"/>
      <c r="BA76" s="1"/>
    </row>
    <row r="77" spans="1:53" ht="26.45" customHeight="1">
      <c r="A77" s="4">
        <v>70</v>
      </c>
      <c r="B77" s="21" t="s">
        <v>88</v>
      </c>
      <c r="C77" s="3"/>
      <c r="D77" s="1"/>
      <c r="E77" s="2"/>
      <c r="F77" s="1"/>
      <c r="G77" s="26" t="s">
        <v>177</v>
      </c>
      <c r="H77" s="1"/>
      <c r="I77" s="22"/>
      <c r="J77" s="2"/>
      <c r="K77" s="23">
        <v>0</v>
      </c>
      <c r="L77" s="2"/>
      <c r="M77" s="23">
        <v>0</v>
      </c>
      <c r="N77" s="24">
        <v>0</v>
      </c>
      <c r="O77" s="2"/>
      <c r="P77" s="2"/>
      <c r="Q77" s="2"/>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1"/>
    </row>
    <row r="78" spans="1:53" ht="26.45" customHeight="1">
      <c r="A78" s="4">
        <v>71</v>
      </c>
      <c r="B78" s="21" t="s">
        <v>88</v>
      </c>
      <c r="C78" s="3"/>
      <c r="D78" s="1"/>
      <c r="E78" s="2"/>
      <c r="F78" s="1"/>
      <c r="G78" s="26" t="s">
        <v>178</v>
      </c>
      <c r="H78" s="1"/>
      <c r="I78" s="22"/>
      <c r="J78" s="2"/>
      <c r="K78" s="23">
        <v>0</v>
      </c>
      <c r="L78" s="2"/>
      <c r="M78" s="23">
        <v>0</v>
      </c>
      <c r="N78" s="24">
        <v>0</v>
      </c>
      <c r="O78" s="2"/>
      <c r="P78" s="2"/>
      <c r="Q78" s="2"/>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5"/>
      <c r="AX78" s="25"/>
      <c r="AY78" s="25"/>
      <c r="AZ78" s="25"/>
      <c r="BA78" s="1"/>
    </row>
    <row r="79" spans="1:53" ht="39.6" customHeight="1">
      <c r="A79" s="4">
        <v>72</v>
      </c>
      <c r="B79" s="21" t="s">
        <v>88</v>
      </c>
      <c r="C79" s="3"/>
      <c r="D79" s="1"/>
      <c r="E79" s="2"/>
      <c r="F79" s="1"/>
      <c r="G79" s="26" t="s">
        <v>179</v>
      </c>
      <c r="H79" s="1"/>
      <c r="I79" s="22"/>
      <c r="J79" s="2"/>
      <c r="K79" s="23">
        <v>0</v>
      </c>
      <c r="L79" s="2"/>
      <c r="M79" s="23">
        <v>0</v>
      </c>
      <c r="N79" s="24">
        <v>0</v>
      </c>
      <c r="O79" s="2"/>
      <c r="P79" s="2"/>
      <c r="Q79" s="2"/>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c r="AY79" s="25"/>
      <c r="AZ79" s="25"/>
      <c r="BA79" s="1"/>
    </row>
    <row r="80" spans="1:53" ht="26.45" customHeight="1">
      <c r="A80" s="4">
        <v>73</v>
      </c>
      <c r="B80" s="21" t="s">
        <v>88</v>
      </c>
      <c r="C80" s="3"/>
      <c r="D80" s="1"/>
      <c r="E80" s="2"/>
      <c r="F80" s="1"/>
      <c r="G80" s="26" t="s">
        <v>180</v>
      </c>
      <c r="H80" s="1"/>
      <c r="I80" s="22"/>
      <c r="J80" s="2"/>
      <c r="K80" s="23">
        <v>0</v>
      </c>
      <c r="L80" s="2"/>
      <c r="M80" s="23">
        <v>0</v>
      </c>
      <c r="N80" s="24">
        <v>0</v>
      </c>
      <c r="O80" s="2"/>
      <c r="P80" s="2"/>
      <c r="Q80" s="2"/>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25"/>
      <c r="AY80" s="25"/>
      <c r="AZ80" s="25"/>
      <c r="BA80" s="1"/>
    </row>
    <row r="81" spans="1:53" ht="26.45" customHeight="1">
      <c r="A81" s="4">
        <v>74</v>
      </c>
      <c r="B81" s="21" t="s">
        <v>88</v>
      </c>
      <c r="C81" s="3"/>
      <c r="D81" s="1"/>
      <c r="E81" s="2"/>
      <c r="F81" s="1"/>
      <c r="G81" s="26" t="s">
        <v>181</v>
      </c>
      <c r="H81" s="1"/>
      <c r="I81" s="22"/>
      <c r="J81" s="2"/>
      <c r="K81" s="23">
        <v>0</v>
      </c>
      <c r="L81" s="2"/>
      <c r="M81" s="23">
        <v>0</v>
      </c>
      <c r="N81" s="24">
        <v>0</v>
      </c>
      <c r="O81" s="2"/>
      <c r="P81" s="2"/>
      <c r="Q81" s="2"/>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1"/>
    </row>
    <row r="82" spans="1:53">
      <c r="A82" s="4">
        <v>75</v>
      </c>
      <c r="B82" s="21" t="s">
        <v>88</v>
      </c>
      <c r="C82" s="3"/>
      <c r="D82" s="1"/>
      <c r="E82" s="2"/>
      <c r="F82" s="1"/>
      <c r="G82" s="26" t="s">
        <v>182</v>
      </c>
      <c r="H82" s="1"/>
      <c r="I82" s="22"/>
      <c r="J82" s="2"/>
      <c r="K82" s="23">
        <v>0</v>
      </c>
      <c r="L82" s="2"/>
      <c r="M82" s="23">
        <v>0</v>
      </c>
      <c r="N82" s="24">
        <v>0</v>
      </c>
      <c r="O82" s="2"/>
      <c r="P82" s="2"/>
      <c r="Q82" s="2"/>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1"/>
    </row>
    <row r="83" spans="1:53">
      <c r="A83" s="4">
        <v>76</v>
      </c>
      <c r="B83" s="11" t="s">
        <v>88</v>
      </c>
      <c r="C83" s="12"/>
      <c r="D83" s="12" t="s">
        <v>183</v>
      </c>
      <c r="E83" s="13"/>
      <c r="F83" s="14"/>
      <c r="G83" s="15"/>
      <c r="H83" s="12" t="s">
        <v>184</v>
      </c>
      <c r="I83" s="18" t="s">
        <v>185</v>
      </c>
      <c r="J83" s="13" t="s">
        <v>186</v>
      </c>
      <c r="K83" s="10">
        <v>144</v>
      </c>
      <c r="L83" s="13" t="s">
        <v>89</v>
      </c>
      <c r="M83" s="28">
        <v>0</v>
      </c>
      <c r="N83" s="27">
        <v>0</v>
      </c>
      <c r="O83" s="10"/>
      <c r="P83" s="13" t="s">
        <v>187</v>
      </c>
      <c r="Q83" s="13" t="s">
        <v>109</v>
      </c>
      <c r="R83" s="17">
        <f>SUM(S83:AZ83)</f>
        <v>0</v>
      </c>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2"/>
    </row>
    <row r="84" spans="1:53">
      <c r="A84" s="4">
        <v>77</v>
      </c>
      <c r="B84" s="11" t="s">
        <v>88</v>
      </c>
      <c r="C84" s="12"/>
      <c r="D84" s="12" t="s">
        <v>188</v>
      </c>
      <c r="E84" s="13"/>
      <c r="F84" s="14"/>
      <c r="G84" s="15"/>
      <c r="H84" s="12" t="s">
        <v>189</v>
      </c>
      <c r="I84" s="18" t="s">
        <v>185</v>
      </c>
      <c r="J84" s="13" t="s">
        <v>186</v>
      </c>
      <c r="K84" s="10">
        <v>96</v>
      </c>
      <c r="L84" s="13" t="s">
        <v>89</v>
      </c>
      <c r="M84" s="28">
        <v>0</v>
      </c>
      <c r="N84" s="27">
        <v>0</v>
      </c>
      <c r="O84" s="10"/>
      <c r="P84" s="13" t="s">
        <v>190</v>
      </c>
      <c r="Q84" s="13" t="s">
        <v>109</v>
      </c>
      <c r="R84" s="17">
        <f>SUM(S84:AZ84)</f>
        <v>0</v>
      </c>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2"/>
    </row>
    <row r="85" spans="1:53">
      <c r="A85" s="4">
        <v>78</v>
      </c>
      <c r="B85" s="11" t="s">
        <v>88</v>
      </c>
      <c r="C85" s="12"/>
      <c r="D85" s="12" t="s">
        <v>191</v>
      </c>
      <c r="E85" s="13"/>
      <c r="F85" s="14"/>
      <c r="G85" s="15"/>
      <c r="H85" s="12" t="s">
        <v>192</v>
      </c>
      <c r="I85" s="18" t="s">
        <v>185</v>
      </c>
      <c r="J85" s="13" t="s">
        <v>186</v>
      </c>
      <c r="K85" s="10">
        <v>72</v>
      </c>
      <c r="L85" s="13" t="s">
        <v>89</v>
      </c>
      <c r="M85" s="28">
        <v>0</v>
      </c>
      <c r="N85" s="27">
        <v>0</v>
      </c>
      <c r="O85" s="10"/>
      <c r="P85" s="13" t="s">
        <v>193</v>
      </c>
      <c r="Q85" s="13" t="s">
        <v>109</v>
      </c>
      <c r="R85" s="17">
        <f>SUM(S85:AZ85)</f>
        <v>0</v>
      </c>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2"/>
    </row>
    <row r="86" spans="1:53">
      <c r="A86" s="4">
        <v>79</v>
      </c>
      <c r="B86" s="11" t="s">
        <v>88</v>
      </c>
      <c r="C86" s="12"/>
      <c r="D86" s="12" t="s">
        <v>194</v>
      </c>
      <c r="E86" s="13"/>
      <c r="F86" s="14"/>
      <c r="G86" s="15"/>
      <c r="H86" s="12" t="s">
        <v>195</v>
      </c>
      <c r="I86" s="18" t="s">
        <v>185</v>
      </c>
      <c r="J86" s="13" t="s">
        <v>186</v>
      </c>
      <c r="K86" s="10">
        <v>48</v>
      </c>
      <c r="L86" s="13" t="s">
        <v>89</v>
      </c>
      <c r="M86" s="28">
        <v>0</v>
      </c>
      <c r="N86" s="27">
        <v>0</v>
      </c>
      <c r="O86" s="10"/>
      <c r="P86" s="13" t="s">
        <v>196</v>
      </c>
      <c r="Q86" s="13" t="s">
        <v>109</v>
      </c>
      <c r="R86" s="17">
        <f>SUM(S86:AZ86)</f>
        <v>0</v>
      </c>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2"/>
    </row>
    <row r="87" spans="1:53">
      <c r="A87" s="4">
        <v>80</v>
      </c>
      <c r="B87" s="11" t="s">
        <v>88</v>
      </c>
      <c r="C87" s="12"/>
      <c r="D87" s="12" t="s">
        <v>197</v>
      </c>
      <c r="E87" s="13"/>
      <c r="F87" s="14"/>
      <c r="G87" s="15"/>
      <c r="H87" s="12" t="s">
        <v>198</v>
      </c>
      <c r="I87" s="18" t="s">
        <v>185</v>
      </c>
      <c r="J87" s="13" t="s">
        <v>186</v>
      </c>
      <c r="K87" s="10">
        <v>24</v>
      </c>
      <c r="L87" s="13" t="s">
        <v>89</v>
      </c>
      <c r="M87" s="28">
        <v>0</v>
      </c>
      <c r="N87" s="27">
        <v>0</v>
      </c>
      <c r="O87" s="10"/>
      <c r="P87" s="13" t="s">
        <v>199</v>
      </c>
      <c r="Q87" s="13" t="s">
        <v>109</v>
      </c>
      <c r="R87" s="17">
        <f>SUM(S87:AZ87)</f>
        <v>360</v>
      </c>
      <c r="S87" s="17">
        <v>360</v>
      </c>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2" t="s">
        <v>200</v>
      </c>
    </row>
    <row r="88" spans="1:53">
      <c r="A88" s="4">
        <v>81</v>
      </c>
      <c r="B88" s="11" t="s">
        <v>88</v>
      </c>
      <c r="C88" s="12"/>
      <c r="D88" s="12" t="s">
        <v>201</v>
      </c>
      <c r="E88" s="13"/>
      <c r="F88" s="14"/>
      <c r="G88" s="15"/>
      <c r="H88" s="12" t="s">
        <v>202</v>
      </c>
      <c r="I88" s="18" t="s">
        <v>185</v>
      </c>
      <c r="J88" s="13" t="s">
        <v>186</v>
      </c>
      <c r="K88" s="10">
        <v>12</v>
      </c>
      <c r="L88" s="13" t="s">
        <v>89</v>
      </c>
      <c r="M88" s="28">
        <v>0</v>
      </c>
      <c r="N88" s="27">
        <v>0</v>
      </c>
      <c r="O88" s="10"/>
      <c r="P88" s="13" t="s">
        <v>203</v>
      </c>
      <c r="Q88" s="13" t="s">
        <v>109</v>
      </c>
      <c r="R88" s="17">
        <f>SUM(S88:AZ88)</f>
        <v>0</v>
      </c>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2"/>
    </row>
    <row r="89" spans="1:53">
      <c r="A89" s="4">
        <v>82</v>
      </c>
      <c r="B89" s="11" t="s">
        <v>88</v>
      </c>
      <c r="C89" s="12"/>
      <c r="D89" s="12" t="s">
        <v>204</v>
      </c>
      <c r="E89" s="13"/>
      <c r="F89" s="14"/>
      <c r="G89" s="15"/>
      <c r="H89" s="12" t="s">
        <v>205</v>
      </c>
      <c r="I89" s="18" t="s">
        <v>185</v>
      </c>
      <c r="J89" s="13" t="s">
        <v>186</v>
      </c>
      <c r="K89" s="10">
        <v>4</v>
      </c>
      <c r="L89" s="13" t="s">
        <v>89</v>
      </c>
      <c r="M89" s="28">
        <v>0</v>
      </c>
      <c r="N89" s="27">
        <v>0</v>
      </c>
      <c r="O89" s="10"/>
      <c r="P89" s="13" t="s">
        <v>206</v>
      </c>
      <c r="Q89" s="13" t="s">
        <v>109</v>
      </c>
      <c r="R89" s="17">
        <f>SUM(S89:AZ89)</f>
        <v>0</v>
      </c>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2"/>
    </row>
    <row r="90" spans="1:53">
      <c r="A90" s="4">
        <v>83</v>
      </c>
      <c r="B90" s="5" t="s">
        <v>88</v>
      </c>
      <c r="C90" s="6"/>
      <c r="D90" s="37" t="s">
        <v>207</v>
      </c>
      <c r="E90" s="50"/>
      <c r="F90" s="37" t="s">
        <v>208</v>
      </c>
      <c r="G90" s="53"/>
      <c r="H90" s="9"/>
      <c r="I90" s="7"/>
      <c r="J90" s="4"/>
      <c r="K90" s="19">
        <v>0</v>
      </c>
      <c r="L90" s="4"/>
      <c r="M90" s="19">
        <v>0</v>
      </c>
      <c r="N90" s="20">
        <v>0</v>
      </c>
      <c r="O90" s="4"/>
      <c r="P90" s="4"/>
      <c r="Q90" s="4"/>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9"/>
    </row>
    <row r="91" spans="1:53" ht="52.9" customHeight="1">
      <c r="A91" s="4">
        <v>84</v>
      </c>
      <c r="B91" s="21" t="s">
        <v>88</v>
      </c>
      <c r="C91" s="3"/>
      <c r="D91" s="1"/>
      <c r="E91" s="2"/>
      <c r="F91" s="1"/>
      <c r="G91" s="26" t="s">
        <v>169</v>
      </c>
      <c r="H91" s="1"/>
      <c r="I91" s="22"/>
      <c r="J91" s="2"/>
      <c r="K91" s="23">
        <v>0</v>
      </c>
      <c r="L91" s="2"/>
      <c r="M91" s="23">
        <v>0</v>
      </c>
      <c r="N91" s="24">
        <v>0</v>
      </c>
      <c r="O91" s="2"/>
      <c r="P91" s="2"/>
      <c r="Q91" s="2"/>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1"/>
    </row>
    <row r="92" spans="1:53" ht="39.6" customHeight="1">
      <c r="A92" s="4">
        <v>85</v>
      </c>
      <c r="B92" s="21" t="s">
        <v>88</v>
      </c>
      <c r="C92" s="3"/>
      <c r="D92" s="1"/>
      <c r="E92" s="2"/>
      <c r="F92" s="1"/>
      <c r="G92" s="26" t="s">
        <v>170</v>
      </c>
      <c r="H92" s="1"/>
      <c r="I92" s="22"/>
      <c r="J92" s="2"/>
      <c r="K92" s="23">
        <v>0</v>
      </c>
      <c r="L92" s="2"/>
      <c r="M92" s="23">
        <v>0</v>
      </c>
      <c r="N92" s="24">
        <v>0</v>
      </c>
      <c r="O92" s="2"/>
      <c r="P92" s="2"/>
      <c r="Q92" s="2"/>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1"/>
    </row>
    <row r="93" spans="1:53">
      <c r="A93" s="4">
        <v>86</v>
      </c>
      <c r="B93" s="21" t="s">
        <v>88</v>
      </c>
      <c r="C93" s="3"/>
      <c r="D93" s="1"/>
      <c r="E93" s="2"/>
      <c r="F93" s="1"/>
      <c r="G93" s="26" t="s">
        <v>171</v>
      </c>
      <c r="H93" s="1"/>
      <c r="I93" s="22"/>
      <c r="J93" s="2"/>
      <c r="K93" s="23">
        <v>0</v>
      </c>
      <c r="L93" s="2"/>
      <c r="M93" s="23">
        <v>0</v>
      </c>
      <c r="N93" s="24">
        <v>0</v>
      </c>
      <c r="O93" s="2"/>
      <c r="P93" s="2"/>
      <c r="Q93" s="2"/>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1"/>
    </row>
    <row r="94" spans="1:53">
      <c r="A94" s="4">
        <v>87</v>
      </c>
      <c r="B94" s="21" t="s">
        <v>88</v>
      </c>
      <c r="C94" s="3"/>
      <c r="D94" s="1"/>
      <c r="E94" s="2"/>
      <c r="F94" s="1"/>
      <c r="G94" s="26" t="s">
        <v>172</v>
      </c>
      <c r="H94" s="1"/>
      <c r="I94" s="22"/>
      <c r="J94" s="2"/>
      <c r="K94" s="23">
        <v>0</v>
      </c>
      <c r="L94" s="2"/>
      <c r="M94" s="23">
        <v>0</v>
      </c>
      <c r="N94" s="24">
        <v>0</v>
      </c>
      <c r="O94" s="2"/>
      <c r="P94" s="2"/>
      <c r="Q94" s="2"/>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1"/>
    </row>
    <row r="95" spans="1:53" ht="26.45" customHeight="1">
      <c r="A95" s="4">
        <v>88</v>
      </c>
      <c r="B95" s="21" t="s">
        <v>88</v>
      </c>
      <c r="C95" s="3"/>
      <c r="D95" s="1"/>
      <c r="E95" s="2"/>
      <c r="F95" s="1"/>
      <c r="G95" s="26" t="s">
        <v>173</v>
      </c>
      <c r="H95" s="1"/>
      <c r="I95" s="22"/>
      <c r="J95" s="2"/>
      <c r="K95" s="23">
        <v>0</v>
      </c>
      <c r="L95" s="2"/>
      <c r="M95" s="23">
        <v>0</v>
      </c>
      <c r="N95" s="24">
        <v>0</v>
      </c>
      <c r="O95" s="2"/>
      <c r="P95" s="2"/>
      <c r="Q95" s="2"/>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1"/>
    </row>
    <row r="96" spans="1:53">
      <c r="A96" s="4">
        <v>89</v>
      </c>
      <c r="B96" s="21" t="s">
        <v>88</v>
      </c>
      <c r="C96" s="3"/>
      <c r="D96" s="1"/>
      <c r="E96" s="2"/>
      <c r="F96" s="1"/>
      <c r="G96" s="26" t="s">
        <v>174</v>
      </c>
      <c r="H96" s="1"/>
      <c r="I96" s="22"/>
      <c r="J96" s="2"/>
      <c r="K96" s="23">
        <v>0</v>
      </c>
      <c r="L96" s="2"/>
      <c r="M96" s="23">
        <v>0</v>
      </c>
      <c r="N96" s="24">
        <v>0</v>
      </c>
      <c r="O96" s="2"/>
      <c r="P96" s="2"/>
      <c r="Q96" s="2"/>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c r="AY96" s="25"/>
      <c r="AZ96" s="25"/>
      <c r="BA96" s="1"/>
    </row>
    <row r="97" spans="1:53" ht="26.45" customHeight="1">
      <c r="A97" s="4">
        <v>90</v>
      </c>
      <c r="B97" s="21" t="s">
        <v>88</v>
      </c>
      <c r="C97" s="3"/>
      <c r="D97" s="1"/>
      <c r="E97" s="2"/>
      <c r="F97" s="1"/>
      <c r="G97" s="26" t="s">
        <v>175</v>
      </c>
      <c r="H97" s="1"/>
      <c r="I97" s="22"/>
      <c r="J97" s="2"/>
      <c r="K97" s="23">
        <v>0</v>
      </c>
      <c r="L97" s="2"/>
      <c r="M97" s="23">
        <v>0</v>
      </c>
      <c r="N97" s="24">
        <v>0</v>
      </c>
      <c r="O97" s="2"/>
      <c r="P97" s="2"/>
      <c r="Q97" s="2"/>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1"/>
    </row>
    <row r="98" spans="1:53" ht="52.9" customHeight="1">
      <c r="A98" s="4">
        <v>91</v>
      </c>
      <c r="B98" s="21" t="s">
        <v>88</v>
      </c>
      <c r="C98" s="3"/>
      <c r="D98" s="1"/>
      <c r="E98" s="2"/>
      <c r="F98" s="1"/>
      <c r="G98" s="26" t="s">
        <v>176</v>
      </c>
      <c r="H98" s="1"/>
      <c r="I98" s="22"/>
      <c r="J98" s="2"/>
      <c r="K98" s="23">
        <v>0</v>
      </c>
      <c r="L98" s="2"/>
      <c r="M98" s="23">
        <v>0</v>
      </c>
      <c r="N98" s="24">
        <v>0</v>
      </c>
      <c r="O98" s="2"/>
      <c r="P98" s="2"/>
      <c r="Q98" s="2"/>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1"/>
    </row>
    <row r="99" spans="1:53" ht="26.45" customHeight="1">
      <c r="A99" s="4">
        <v>92</v>
      </c>
      <c r="B99" s="21" t="s">
        <v>88</v>
      </c>
      <c r="C99" s="3"/>
      <c r="D99" s="1"/>
      <c r="E99" s="2"/>
      <c r="F99" s="1"/>
      <c r="G99" s="26" t="s">
        <v>177</v>
      </c>
      <c r="H99" s="1"/>
      <c r="I99" s="22"/>
      <c r="J99" s="2"/>
      <c r="K99" s="23">
        <v>0</v>
      </c>
      <c r="L99" s="2"/>
      <c r="M99" s="23">
        <v>0</v>
      </c>
      <c r="N99" s="24">
        <v>0</v>
      </c>
      <c r="O99" s="2"/>
      <c r="P99" s="2"/>
      <c r="Q99" s="2"/>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1"/>
    </row>
    <row r="100" spans="1:53" ht="26.45" customHeight="1">
      <c r="A100" s="4">
        <v>93</v>
      </c>
      <c r="B100" s="21" t="s">
        <v>88</v>
      </c>
      <c r="C100" s="3"/>
      <c r="D100" s="1"/>
      <c r="E100" s="2"/>
      <c r="F100" s="1"/>
      <c r="G100" s="26" t="s">
        <v>178</v>
      </c>
      <c r="H100" s="1"/>
      <c r="I100" s="22"/>
      <c r="J100" s="2"/>
      <c r="K100" s="23">
        <v>0</v>
      </c>
      <c r="L100" s="2"/>
      <c r="M100" s="23">
        <v>0</v>
      </c>
      <c r="N100" s="24">
        <v>0</v>
      </c>
      <c r="O100" s="2"/>
      <c r="P100" s="2"/>
      <c r="Q100" s="2"/>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1"/>
    </row>
    <row r="101" spans="1:53" ht="39.6" customHeight="1">
      <c r="A101" s="4">
        <v>94</v>
      </c>
      <c r="B101" s="21" t="s">
        <v>88</v>
      </c>
      <c r="C101" s="3"/>
      <c r="D101" s="1"/>
      <c r="E101" s="2"/>
      <c r="F101" s="1"/>
      <c r="G101" s="26" t="s">
        <v>179</v>
      </c>
      <c r="H101" s="1"/>
      <c r="I101" s="22"/>
      <c r="J101" s="2"/>
      <c r="K101" s="23">
        <v>0</v>
      </c>
      <c r="L101" s="2"/>
      <c r="M101" s="23">
        <v>0</v>
      </c>
      <c r="N101" s="24">
        <v>0</v>
      </c>
      <c r="O101" s="2"/>
      <c r="P101" s="2"/>
      <c r="Q101" s="2"/>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1"/>
    </row>
    <row r="102" spans="1:53" ht="26.45" customHeight="1">
      <c r="A102" s="4">
        <v>95</v>
      </c>
      <c r="B102" s="21" t="s">
        <v>88</v>
      </c>
      <c r="C102" s="3"/>
      <c r="D102" s="1"/>
      <c r="E102" s="2"/>
      <c r="F102" s="1"/>
      <c r="G102" s="26" t="s">
        <v>180</v>
      </c>
      <c r="H102" s="1"/>
      <c r="I102" s="22"/>
      <c r="J102" s="2"/>
      <c r="K102" s="23">
        <v>0</v>
      </c>
      <c r="L102" s="2"/>
      <c r="M102" s="23">
        <v>0</v>
      </c>
      <c r="N102" s="24">
        <v>0</v>
      </c>
      <c r="O102" s="2"/>
      <c r="P102" s="2"/>
      <c r="Q102" s="2"/>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1"/>
    </row>
    <row r="103" spans="1:53" ht="26.45" customHeight="1">
      <c r="A103" s="4">
        <v>96</v>
      </c>
      <c r="B103" s="21" t="s">
        <v>88</v>
      </c>
      <c r="C103" s="3"/>
      <c r="D103" s="1"/>
      <c r="E103" s="2"/>
      <c r="F103" s="1"/>
      <c r="G103" s="26" t="s">
        <v>181</v>
      </c>
      <c r="H103" s="1"/>
      <c r="I103" s="22"/>
      <c r="J103" s="2"/>
      <c r="K103" s="23">
        <v>0</v>
      </c>
      <c r="L103" s="2"/>
      <c r="M103" s="23">
        <v>0</v>
      </c>
      <c r="N103" s="24">
        <v>0</v>
      </c>
      <c r="O103" s="2"/>
      <c r="P103" s="2"/>
      <c r="Q103" s="2"/>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25"/>
      <c r="AZ103" s="25"/>
      <c r="BA103" s="1"/>
    </row>
    <row r="104" spans="1:53">
      <c r="A104" s="4">
        <v>97</v>
      </c>
      <c r="B104" s="11" t="s">
        <v>88</v>
      </c>
      <c r="C104" s="12"/>
      <c r="D104" s="12" t="s">
        <v>209</v>
      </c>
      <c r="E104" s="13"/>
      <c r="F104" s="14"/>
      <c r="G104" s="15"/>
      <c r="H104" s="12" t="s">
        <v>192</v>
      </c>
      <c r="I104" s="18" t="s">
        <v>210</v>
      </c>
      <c r="J104" s="13" t="s">
        <v>211</v>
      </c>
      <c r="K104" s="10">
        <v>72</v>
      </c>
      <c r="L104" s="13" t="s">
        <v>89</v>
      </c>
      <c r="M104" s="28">
        <v>0</v>
      </c>
      <c r="N104" s="27">
        <v>0</v>
      </c>
      <c r="O104" s="10"/>
      <c r="P104" s="13" t="s">
        <v>212</v>
      </c>
      <c r="Q104" s="13" t="s">
        <v>109</v>
      </c>
      <c r="R104" s="17">
        <f>SUM(S104:AZ104)</f>
        <v>0</v>
      </c>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2"/>
    </row>
    <row r="105" spans="1:53">
      <c r="A105" s="4">
        <v>98</v>
      </c>
      <c r="B105" s="11" t="s">
        <v>88</v>
      </c>
      <c r="C105" s="12"/>
      <c r="D105" s="12" t="s">
        <v>213</v>
      </c>
      <c r="E105" s="13"/>
      <c r="F105" s="14"/>
      <c r="G105" s="15"/>
      <c r="H105" s="12" t="s">
        <v>198</v>
      </c>
      <c r="I105" s="18" t="s">
        <v>210</v>
      </c>
      <c r="J105" s="13" t="s">
        <v>211</v>
      </c>
      <c r="K105" s="10">
        <v>24</v>
      </c>
      <c r="L105" s="13" t="s">
        <v>89</v>
      </c>
      <c r="M105" s="28">
        <v>0</v>
      </c>
      <c r="N105" s="27">
        <v>0</v>
      </c>
      <c r="O105" s="10"/>
      <c r="P105" s="13" t="s">
        <v>214</v>
      </c>
      <c r="Q105" s="13" t="s">
        <v>109</v>
      </c>
      <c r="R105" s="17">
        <f>SUM(S105:AZ105)</f>
        <v>0</v>
      </c>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2"/>
    </row>
    <row r="106" spans="1:53">
      <c r="A106" s="4">
        <v>99</v>
      </c>
      <c r="B106" s="11" t="s">
        <v>88</v>
      </c>
      <c r="C106" s="12"/>
      <c r="D106" s="12" t="s">
        <v>215</v>
      </c>
      <c r="E106" s="13"/>
      <c r="F106" s="14"/>
      <c r="G106" s="15"/>
      <c r="H106" s="12" t="s">
        <v>202</v>
      </c>
      <c r="I106" s="18" t="s">
        <v>210</v>
      </c>
      <c r="J106" s="13" t="s">
        <v>211</v>
      </c>
      <c r="K106" s="10">
        <v>12</v>
      </c>
      <c r="L106" s="13" t="s">
        <v>89</v>
      </c>
      <c r="M106" s="28">
        <v>0</v>
      </c>
      <c r="N106" s="27">
        <v>0</v>
      </c>
      <c r="O106" s="10"/>
      <c r="P106" s="13" t="s">
        <v>216</v>
      </c>
      <c r="Q106" s="13" t="s">
        <v>109</v>
      </c>
      <c r="R106" s="17">
        <f>SUM(S106:AZ106)</f>
        <v>0</v>
      </c>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2"/>
    </row>
    <row r="107" spans="1:53">
      <c r="A107" s="4">
        <v>100</v>
      </c>
      <c r="B107" s="11" t="s">
        <v>88</v>
      </c>
      <c r="C107" s="12"/>
      <c r="D107" s="12" t="s">
        <v>217</v>
      </c>
      <c r="E107" s="13"/>
      <c r="F107" s="14"/>
      <c r="G107" s="15"/>
      <c r="H107" s="12" t="s">
        <v>205</v>
      </c>
      <c r="I107" s="18" t="s">
        <v>210</v>
      </c>
      <c r="J107" s="13" t="s">
        <v>211</v>
      </c>
      <c r="K107" s="10">
        <v>4</v>
      </c>
      <c r="L107" s="13" t="s">
        <v>89</v>
      </c>
      <c r="M107" s="28">
        <v>0</v>
      </c>
      <c r="N107" s="27">
        <v>0</v>
      </c>
      <c r="O107" s="10"/>
      <c r="P107" s="13" t="s">
        <v>218</v>
      </c>
      <c r="Q107" s="13" t="s">
        <v>109</v>
      </c>
      <c r="R107" s="17">
        <f>SUM(S107:AZ107)</f>
        <v>0</v>
      </c>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2"/>
    </row>
    <row r="108" spans="1:53">
      <c r="A108" s="4">
        <v>101</v>
      </c>
      <c r="B108" s="5" t="s">
        <v>88</v>
      </c>
      <c r="C108" s="6"/>
      <c r="D108" s="37" t="s">
        <v>219</v>
      </c>
      <c r="E108" s="50"/>
      <c r="F108" s="37" t="s">
        <v>220</v>
      </c>
      <c r="G108" s="53"/>
      <c r="H108" s="9"/>
      <c r="I108" s="7"/>
      <c r="J108" s="4"/>
      <c r="K108" s="19">
        <v>0</v>
      </c>
      <c r="L108" s="4"/>
      <c r="M108" s="19">
        <v>0</v>
      </c>
      <c r="N108" s="20">
        <v>0</v>
      </c>
      <c r="O108" s="4"/>
      <c r="P108" s="4"/>
      <c r="Q108" s="4"/>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9"/>
    </row>
    <row r="109" spans="1:53">
      <c r="A109" s="4">
        <v>102</v>
      </c>
      <c r="B109" s="21" t="s">
        <v>88</v>
      </c>
      <c r="C109" s="3"/>
      <c r="D109" s="1"/>
      <c r="E109" s="2"/>
      <c r="F109" s="1"/>
      <c r="G109" s="26" t="s">
        <v>221</v>
      </c>
      <c r="H109" s="1"/>
      <c r="I109" s="22"/>
      <c r="J109" s="2"/>
      <c r="K109" s="23">
        <v>0</v>
      </c>
      <c r="L109" s="2"/>
      <c r="M109" s="23">
        <v>0</v>
      </c>
      <c r="N109" s="24">
        <v>0</v>
      </c>
      <c r="O109" s="2"/>
      <c r="P109" s="2"/>
      <c r="Q109" s="2"/>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25"/>
      <c r="AU109" s="25"/>
      <c r="AV109" s="25"/>
      <c r="AW109" s="25"/>
      <c r="AX109" s="25"/>
      <c r="AY109" s="25"/>
      <c r="AZ109" s="25"/>
      <c r="BA109" s="1"/>
    </row>
    <row r="110" spans="1:53" ht="52.9" customHeight="1">
      <c r="A110" s="4">
        <v>103</v>
      </c>
      <c r="B110" s="21" t="s">
        <v>88</v>
      </c>
      <c r="C110" s="3"/>
      <c r="D110" s="1"/>
      <c r="E110" s="2"/>
      <c r="F110" s="1"/>
      <c r="G110" s="26" t="s">
        <v>169</v>
      </c>
      <c r="H110" s="1"/>
      <c r="I110" s="22"/>
      <c r="J110" s="2"/>
      <c r="K110" s="23">
        <v>0</v>
      </c>
      <c r="L110" s="2"/>
      <c r="M110" s="23">
        <v>0</v>
      </c>
      <c r="N110" s="24">
        <v>0</v>
      </c>
      <c r="O110" s="2"/>
      <c r="P110" s="2"/>
      <c r="Q110" s="2"/>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25"/>
      <c r="AU110" s="25"/>
      <c r="AV110" s="25"/>
      <c r="AW110" s="25"/>
      <c r="AX110" s="25"/>
      <c r="AY110" s="25"/>
      <c r="AZ110" s="25"/>
      <c r="BA110" s="1"/>
    </row>
    <row r="111" spans="1:53" ht="39.6" customHeight="1">
      <c r="A111" s="4">
        <v>104</v>
      </c>
      <c r="B111" s="21" t="s">
        <v>88</v>
      </c>
      <c r="C111" s="3"/>
      <c r="D111" s="1"/>
      <c r="E111" s="2"/>
      <c r="F111" s="1"/>
      <c r="G111" s="26" t="s">
        <v>222</v>
      </c>
      <c r="H111" s="1"/>
      <c r="I111" s="22"/>
      <c r="J111" s="2"/>
      <c r="K111" s="23">
        <v>0</v>
      </c>
      <c r="L111" s="2"/>
      <c r="M111" s="23">
        <v>0</v>
      </c>
      <c r="N111" s="24">
        <v>0</v>
      </c>
      <c r="O111" s="2"/>
      <c r="P111" s="2"/>
      <c r="Q111" s="2"/>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1"/>
    </row>
    <row r="112" spans="1:53">
      <c r="A112" s="4">
        <v>105</v>
      </c>
      <c r="B112" s="21" t="s">
        <v>88</v>
      </c>
      <c r="C112" s="3"/>
      <c r="D112" s="1"/>
      <c r="E112" s="2"/>
      <c r="F112" s="1"/>
      <c r="G112" s="26" t="s">
        <v>171</v>
      </c>
      <c r="H112" s="1"/>
      <c r="I112" s="22"/>
      <c r="J112" s="2"/>
      <c r="K112" s="23">
        <v>0</v>
      </c>
      <c r="L112" s="2"/>
      <c r="M112" s="23">
        <v>0</v>
      </c>
      <c r="N112" s="24">
        <v>0</v>
      </c>
      <c r="O112" s="2"/>
      <c r="P112" s="2"/>
      <c r="Q112" s="2"/>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1"/>
    </row>
    <row r="113" spans="1:53" ht="52.9" customHeight="1">
      <c r="A113" s="4">
        <v>106</v>
      </c>
      <c r="B113" s="21" t="s">
        <v>88</v>
      </c>
      <c r="C113" s="3"/>
      <c r="D113" s="1"/>
      <c r="E113" s="2"/>
      <c r="F113" s="1"/>
      <c r="G113" s="26" t="s">
        <v>223</v>
      </c>
      <c r="H113" s="1"/>
      <c r="I113" s="22"/>
      <c r="J113" s="2"/>
      <c r="K113" s="23">
        <v>0</v>
      </c>
      <c r="L113" s="2"/>
      <c r="M113" s="23">
        <v>0</v>
      </c>
      <c r="N113" s="24">
        <v>0</v>
      </c>
      <c r="O113" s="2"/>
      <c r="P113" s="2"/>
      <c r="Q113" s="2"/>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25"/>
      <c r="AZ113" s="25"/>
      <c r="BA113" s="1"/>
    </row>
    <row r="114" spans="1:53">
      <c r="A114" s="4">
        <v>107</v>
      </c>
      <c r="B114" s="21" t="s">
        <v>88</v>
      </c>
      <c r="C114" s="3"/>
      <c r="D114" s="1"/>
      <c r="E114" s="2"/>
      <c r="F114" s="1"/>
      <c r="G114" s="26" t="s">
        <v>224</v>
      </c>
      <c r="H114" s="1"/>
      <c r="I114" s="22"/>
      <c r="J114" s="2"/>
      <c r="K114" s="23">
        <v>0</v>
      </c>
      <c r="L114" s="2"/>
      <c r="M114" s="23">
        <v>0</v>
      </c>
      <c r="N114" s="24">
        <v>0</v>
      </c>
      <c r="O114" s="2"/>
      <c r="P114" s="2"/>
      <c r="Q114" s="2"/>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25"/>
      <c r="AZ114" s="25"/>
      <c r="BA114" s="1"/>
    </row>
    <row r="115" spans="1:53" ht="26.45" customHeight="1">
      <c r="A115" s="4">
        <v>108</v>
      </c>
      <c r="B115" s="21" t="s">
        <v>88</v>
      </c>
      <c r="C115" s="3"/>
      <c r="D115" s="1"/>
      <c r="E115" s="2"/>
      <c r="F115" s="1"/>
      <c r="G115" s="26" t="s">
        <v>225</v>
      </c>
      <c r="H115" s="1"/>
      <c r="I115" s="22"/>
      <c r="J115" s="2"/>
      <c r="K115" s="23">
        <v>0</v>
      </c>
      <c r="L115" s="2"/>
      <c r="M115" s="23">
        <v>0</v>
      </c>
      <c r="N115" s="24">
        <v>0</v>
      </c>
      <c r="O115" s="2"/>
      <c r="P115" s="2"/>
      <c r="Q115" s="2"/>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25"/>
      <c r="AZ115" s="25"/>
      <c r="BA115" s="1"/>
    </row>
    <row r="116" spans="1:53" ht="39.6" customHeight="1">
      <c r="A116" s="4">
        <v>109</v>
      </c>
      <c r="B116" s="21" t="s">
        <v>88</v>
      </c>
      <c r="C116" s="3"/>
      <c r="D116" s="1"/>
      <c r="E116" s="2"/>
      <c r="F116" s="1"/>
      <c r="G116" s="26" t="s">
        <v>226</v>
      </c>
      <c r="H116" s="1"/>
      <c r="I116" s="22"/>
      <c r="J116" s="2"/>
      <c r="K116" s="23">
        <v>0</v>
      </c>
      <c r="L116" s="2"/>
      <c r="M116" s="23">
        <v>0</v>
      </c>
      <c r="N116" s="24">
        <v>0</v>
      </c>
      <c r="O116" s="2"/>
      <c r="P116" s="2"/>
      <c r="Q116" s="2"/>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25"/>
      <c r="AZ116" s="25"/>
      <c r="BA116" s="1"/>
    </row>
    <row r="117" spans="1:53" ht="26.45" customHeight="1">
      <c r="A117" s="4">
        <v>110</v>
      </c>
      <c r="B117" s="21" t="s">
        <v>88</v>
      </c>
      <c r="C117" s="3"/>
      <c r="D117" s="1"/>
      <c r="E117" s="2"/>
      <c r="F117" s="1"/>
      <c r="G117" s="26" t="s">
        <v>227</v>
      </c>
      <c r="H117" s="1"/>
      <c r="I117" s="22"/>
      <c r="J117" s="2"/>
      <c r="K117" s="23">
        <v>0</v>
      </c>
      <c r="L117" s="2"/>
      <c r="M117" s="23">
        <v>0</v>
      </c>
      <c r="N117" s="24">
        <v>0</v>
      </c>
      <c r="O117" s="2"/>
      <c r="P117" s="2"/>
      <c r="Q117" s="2"/>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5"/>
      <c r="AZ117" s="25"/>
      <c r="BA117" s="1"/>
    </row>
    <row r="118" spans="1:53" ht="39.6" customHeight="1">
      <c r="A118" s="4">
        <v>111</v>
      </c>
      <c r="B118" s="21" t="s">
        <v>88</v>
      </c>
      <c r="C118" s="3"/>
      <c r="D118" s="1"/>
      <c r="E118" s="2"/>
      <c r="F118" s="1"/>
      <c r="G118" s="26" t="s">
        <v>228</v>
      </c>
      <c r="H118" s="1"/>
      <c r="I118" s="22"/>
      <c r="J118" s="2"/>
      <c r="K118" s="23">
        <v>0</v>
      </c>
      <c r="L118" s="2"/>
      <c r="M118" s="23">
        <v>0</v>
      </c>
      <c r="N118" s="24">
        <v>0</v>
      </c>
      <c r="O118" s="2"/>
      <c r="P118" s="2"/>
      <c r="Q118" s="2"/>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25"/>
      <c r="AU118" s="25"/>
      <c r="AV118" s="25"/>
      <c r="AW118" s="25"/>
      <c r="AX118" s="25"/>
      <c r="AY118" s="25"/>
      <c r="AZ118" s="25"/>
      <c r="BA118" s="1"/>
    </row>
    <row r="119" spans="1:53" ht="52.9" customHeight="1">
      <c r="A119" s="4">
        <v>112</v>
      </c>
      <c r="B119" s="21" t="s">
        <v>88</v>
      </c>
      <c r="C119" s="3"/>
      <c r="D119" s="1"/>
      <c r="E119" s="2"/>
      <c r="F119" s="1"/>
      <c r="G119" s="26" t="s">
        <v>229</v>
      </c>
      <c r="H119" s="1"/>
      <c r="I119" s="22"/>
      <c r="J119" s="2"/>
      <c r="K119" s="23">
        <v>0</v>
      </c>
      <c r="L119" s="2"/>
      <c r="M119" s="23">
        <v>0</v>
      </c>
      <c r="N119" s="24">
        <v>0</v>
      </c>
      <c r="O119" s="2"/>
      <c r="P119" s="2"/>
      <c r="Q119" s="2"/>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25"/>
      <c r="AY119" s="25"/>
      <c r="AZ119" s="25"/>
      <c r="BA119" s="1"/>
    </row>
    <row r="120" spans="1:53" ht="39.6" customHeight="1">
      <c r="A120" s="4">
        <v>113</v>
      </c>
      <c r="B120" s="21" t="s">
        <v>88</v>
      </c>
      <c r="C120" s="3"/>
      <c r="D120" s="1"/>
      <c r="E120" s="2"/>
      <c r="F120" s="1"/>
      <c r="G120" s="26" t="s">
        <v>230</v>
      </c>
      <c r="H120" s="1"/>
      <c r="I120" s="22"/>
      <c r="J120" s="2"/>
      <c r="K120" s="23">
        <v>0</v>
      </c>
      <c r="L120" s="2"/>
      <c r="M120" s="23">
        <v>0</v>
      </c>
      <c r="N120" s="24">
        <v>0</v>
      </c>
      <c r="O120" s="2"/>
      <c r="P120" s="2"/>
      <c r="Q120" s="2"/>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25"/>
      <c r="AY120" s="25"/>
      <c r="AZ120" s="25"/>
      <c r="BA120" s="1"/>
    </row>
    <row r="121" spans="1:53" ht="26.45" customHeight="1">
      <c r="A121" s="4">
        <v>114</v>
      </c>
      <c r="B121" s="21" t="s">
        <v>88</v>
      </c>
      <c r="C121" s="3"/>
      <c r="D121" s="1"/>
      <c r="E121" s="2"/>
      <c r="F121" s="1"/>
      <c r="G121" s="26" t="s">
        <v>178</v>
      </c>
      <c r="H121" s="1"/>
      <c r="I121" s="22"/>
      <c r="J121" s="2"/>
      <c r="K121" s="23">
        <v>0</v>
      </c>
      <c r="L121" s="2"/>
      <c r="M121" s="23">
        <v>0</v>
      </c>
      <c r="N121" s="24">
        <v>0</v>
      </c>
      <c r="O121" s="2"/>
      <c r="P121" s="2"/>
      <c r="Q121" s="2"/>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25"/>
      <c r="AU121" s="25"/>
      <c r="AV121" s="25"/>
      <c r="AW121" s="25"/>
      <c r="AX121" s="25"/>
      <c r="AY121" s="25"/>
      <c r="AZ121" s="25"/>
      <c r="BA121" s="1"/>
    </row>
    <row r="122" spans="1:53">
      <c r="A122" s="4">
        <v>115</v>
      </c>
      <c r="B122" s="21" t="s">
        <v>88</v>
      </c>
      <c r="C122" s="3"/>
      <c r="D122" s="1"/>
      <c r="E122" s="2"/>
      <c r="F122" s="1"/>
      <c r="G122" s="26" t="s">
        <v>231</v>
      </c>
      <c r="H122" s="1"/>
      <c r="I122" s="22"/>
      <c r="J122" s="2"/>
      <c r="K122" s="23">
        <v>0</v>
      </c>
      <c r="L122" s="2"/>
      <c r="M122" s="23">
        <v>0</v>
      </c>
      <c r="N122" s="24">
        <v>0</v>
      </c>
      <c r="O122" s="2"/>
      <c r="P122" s="2"/>
      <c r="Q122" s="2"/>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25"/>
      <c r="AY122" s="25"/>
      <c r="AZ122" s="25"/>
      <c r="BA122" s="1"/>
    </row>
    <row r="123" spans="1:53" ht="39.6" customHeight="1">
      <c r="A123" s="4">
        <v>116</v>
      </c>
      <c r="B123" s="21" t="s">
        <v>88</v>
      </c>
      <c r="C123" s="3"/>
      <c r="D123" s="1"/>
      <c r="E123" s="2"/>
      <c r="F123" s="1"/>
      <c r="G123" s="26" t="s">
        <v>179</v>
      </c>
      <c r="H123" s="1"/>
      <c r="I123" s="22"/>
      <c r="J123" s="2"/>
      <c r="K123" s="23">
        <v>0</v>
      </c>
      <c r="L123" s="2"/>
      <c r="M123" s="23">
        <v>0</v>
      </c>
      <c r="N123" s="24">
        <v>0</v>
      </c>
      <c r="O123" s="2"/>
      <c r="P123" s="2"/>
      <c r="Q123" s="2"/>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5"/>
      <c r="AZ123" s="25"/>
      <c r="BA123" s="1"/>
    </row>
    <row r="124" spans="1:53" ht="26.45" customHeight="1">
      <c r="A124" s="4">
        <v>117</v>
      </c>
      <c r="B124" s="21" t="s">
        <v>88</v>
      </c>
      <c r="C124" s="3"/>
      <c r="D124" s="1"/>
      <c r="E124" s="2"/>
      <c r="F124" s="1"/>
      <c r="G124" s="26" t="s">
        <v>180</v>
      </c>
      <c r="H124" s="1"/>
      <c r="I124" s="22"/>
      <c r="J124" s="2"/>
      <c r="K124" s="23">
        <v>0</v>
      </c>
      <c r="L124" s="2"/>
      <c r="M124" s="23">
        <v>0</v>
      </c>
      <c r="N124" s="24">
        <v>0</v>
      </c>
      <c r="O124" s="2"/>
      <c r="P124" s="2"/>
      <c r="Q124" s="2"/>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1"/>
    </row>
    <row r="125" spans="1:53" ht="26.45" customHeight="1">
      <c r="A125" s="4">
        <v>118</v>
      </c>
      <c r="B125" s="21" t="s">
        <v>88</v>
      </c>
      <c r="C125" s="3"/>
      <c r="D125" s="1"/>
      <c r="E125" s="2"/>
      <c r="F125" s="1"/>
      <c r="G125" s="26" t="s">
        <v>181</v>
      </c>
      <c r="H125" s="1"/>
      <c r="I125" s="22"/>
      <c r="J125" s="2"/>
      <c r="K125" s="23">
        <v>0</v>
      </c>
      <c r="L125" s="2"/>
      <c r="M125" s="23">
        <v>0</v>
      </c>
      <c r="N125" s="24">
        <v>0</v>
      </c>
      <c r="O125" s="2"/>
      <c r="P125" s="2"/>
      <c r="Q125" s="2"/>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1"/>
    </row>
    <row r="126" spans="1:53" ht="26.45" customHeight="1">
      <c r="A126" s="4">
        <v>119</v>
      </c>
      <c r="B126" s="21" t="s">
        <v>88</v>
      </c>
      <c r="C126" s="3"/>
      <c r="D126" s="1"/>
      <c r="E126" s="2"/>
      <c r="F126" s="1"/>
      <c r="G126" s="26" t="s">
        <v>232</v>
      </c>
      <c r="H126" s="1"/>
      <c r="I126" s="22"/>
      <c r="J126" s="2"/>
      <c r="K126" s="23">
        <v>0</v>
      </c>
      <c r="L126" s="2"/>
      <c r="M126" s="23">
        <v>0</v>
      </c>
      <c r="N126" s="24">
        <v>0</v>
      </c>
      <c r="O126" s="2"/>
      <c r="P126" s="2"/>
      <c r="Q126" s="2"/>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1"/>
    </row>
    <row r="127" spans="1:53">
      <c r="A127" s="4">
        <v>120</v>
      </c>
      <c r="B127" s="11" t="s">
        <v>88</v>
      </c>
      <c r="C127" s="12"/>
      <c r="D127" s="12" t="s">
        <v>233</v>
      </c>
      <c r="E127" s="13"/>
      <c r="F127" s="14"/>
      <c r="G127" s="15"/>
      <c r="H127" s="12" t="s">
        <v>198</v>
      </c>
      <c r="I127" s="18" t="s">
        <v>234</v>
      </c>
      <c r="J127" s="13" t="s">
        <v>211</v>
      </c>
      <c r="K127" s="10">
        <v>24</v>
      </c>
      <c r="L127" s="13" t="s">
        <v>89</v>
      </c>
      <c r="M127" s="28">
        <v>0</v>
      </c>
      <c r="N127" s="27">
        <v>0</v>
      </c>
      <c r="O127" s="10"/>
      <c r="P127" s="13" t="s">
        <v>235</v>
      </c>
      <c r="Q127" s="13" t="s">
        <v>109</v>
      </c>
      <c r="R127" s="17">
        <f>SUM(S127:AZ127)</f>
        <v>0</v>
      </c>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2"/>
    </row>
    <row r="128" spans="1:53">
      <c r="A128" s="4">
        <v>121</v>
      </c>
      <c r="B128" s="11" t="s">
        <v>88</v>
      </c>
      <c r="C128" s="12"/>
      <c r="D128" s="12" t="s">
        <v>236</v>
      </c>
      <c r="E128" s="13"/>
      <c r="F128" s="14"/>
      <c r="G128" s="15"/>
      <c r="H128" s="12" t="s">
        <v>202</v>
      </c>
      <c r="I128" s="18" t="s">
        <v>234</v>
      </c>
      <c r="J128" s="13" t="s">
        <v>211</v>
      </c>
      <c r="K128" s="10">
        <v>12</v>
      </c>
      <c r="L128" s="13" t="s">
        <v>89</v>
      </c>
      <c r="M128" s="28">
        <v>0</v>
      </c>
      <c r="N128" s="27">
        <v>0</v>
      </c>
      <c r="O128" s="10"/>
      <c r="P128" s="13" t="s">
        <v>237</v>
      </c>
      <c r="Q128" s="13" t="s">
        <v>109</v>
      </c>
      <c r="R128" s="17">
        <f>SUM(S128:AZ128)</f>
        <v>0</v>
      </c>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2"/>
    </row>
    <row r="129" spans="1:53">
      <c r="A129" s="4">
        <v>122</v>
      </c>
      <c r="B129" s="11" t="s">
        <v>88</v>
      </c>
      <c r="C129" s="12"/>
      <c r="D129" s="12" t="s">
        <v>238</v>
      </c>
      <c r="E129" s="13"/>
      <c r="F129" s="14"/>
      <c r="G129" s="15"/>
      <c r="H129" s="12" t="s">
        <v>205</v>
      </c>
      <c r="I129" s="18" t="s">
        <v>234</v>
      </c>
      <c r="J129" s="13" t="s">
        <v>211</v>
      </c>
      <c r="K129" s="10">
        <v>4</v>
      </c>
      <c r="L129" s="13" t="s">
        <v>89</v>
      </c>
      <c r="M129" s="28">
        <v>0</v>
      </c>
      <c r="N129" s="27">
        <v>0</v>
      </c>
      <c r="O129" s="10"/>
      <c r="P129" s="13" t="s">
        <v>239</v>
      </c>
      <c r="Q129" s="13" t="s">
        <v>109</v>
      </c>
      <c r="R129" s="17">
        <f>SUM(S129:AZ129)</f>
        <v>0</v>
      </c>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2"/>
    </row>
    <row r="130" spans="1:53">
      <c r="A130" s="4">
        <v>123</v>
      </c>
      <c r="B130" s="5" t="s">
        <v>88</v>
      </c>
      <c r="C130" s="6"/>
      <c r="D130" s="37" t="s">
        <v>240</v>
      </c>
      <c r="E130" s="50"/>
      <c r="F130" s="37" t="s">
        <v>241</v>
      </c>
      <c r="G130" s="53"/>
      <c r="H130" s="9"/>
      <c r="I130" s="7"/>
      <c r="J130" s="4"/>
      <c r="K130" s="19">
        <v>0</v>
      </c>
      <c r="L130" s="4"/>
      <c r="M130" s="19">
        <v>0</v>
      </c>
      <c r="N130" s="20">
        <v>0</v>
      </c>
      <c r="O130" s="4"/>
      <c r="P130" s="4"/>
      <c r="Q130" s="4"/>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9"/>
    </row>
    <row r="131" spans="1:53">
      <c r="A131" s="4">
        <v>124</v>
      </c>
      <c r="B131" s="21" t="s">
        <v>88</v>
      </c>
      <c r="C131" s="3"/>
      <c r="D131" s="1"/>
      <c r="E131" s="2"/>
      <c r="F131" s="1"/>
      <c r="G131" s="26" t="s">
        <v>242</v>
      </c>
      <c r="H131" s="1"/>
      <c r="I131" s="22"/>
      <c r="J131" s="2"/>
      <c r="K131" s="23">
        <v>0</v>
      </c>
      <c r="L131" s="2"/>
      <c r="M131" s="23">
        <v>0</v>
      </c>
      <c r="N131" s="24">
        <v>0</v>
      </c>
      <c r="O131" s="2"/>
      <c r="P131" s="2"/>
      <c r="Q131" s="2"/>
      <c r="R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25"/>
      <c r="AU131" s="25"/>
      <c r="AV131" s="25"/>
      <c r="AW131" s="25"/>
      <c r="AX131" s="25"/>
      <c r="AY131" s="25"/>
      <c r="AZ131" s="25"/>
      <c r="BA131" s="1"/>
    </row>
    <row r="132" spans="1:53" ht="26.45" customHeight="1">
      <c r="A132" s="4">
        <v>125</v>
      </c>
      <c r="B132" s="21" t="s">
        <v>88</v>
      </c>
      <c r="C132" s="3"/>
      <c r="D132" s="1"/>
      <c r="E132" s="2"/>
      <c r="F132" s="1"/>
      <c r="G132" s="26" t="s">
        <v>243</v>
      </c>
      <c r="H132" s="1"/>
      <c r="I132" s="22"/>
      <c r="J132" s="2"/>
      <c r="K132" s="23">
        <v>0</v>
      </c>
      <c r="L132" s="2"/>
      <c r="M132" s="23">
        <v>0</v>
      </c>
      <c r="N132" s="24">
        <v>0</v>
      </c>
      <c r="O132" s="2"/>
      <c r="P132" s="2"/>
      <c r="Q132" s="2"/>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5"/>
      <c r="AZ132" s="25"/>
      <c r="BA132" s="1"/>
    </row>
    <row r="133" spans="1:53">
      <c r="A133" s="4">
        <v>126</v>
      </c>
      <c r="B133" s="21" t="s">
        <v>88</v>
      </c>
      <c r="C133" s="3"/>
      <c r="D133" s="1"/>
      <c r="E133" s="2"/>
      <c r="F133" s="1"/>
      <c r="G133" s="26" t="s">
        <v>244</v>
      </c>
      <c r="H133" s="1"/>
      <c r="I133" s="22"/>
      <c r="J133" s="2"/>
      <c r="K133" s="23">
        <v>0</v>
      </c>
      <c r="L133" s="2"/>
      <c r="M133" s="23">
        <v>0</v>
      </c>
      <c r="N133" s="24">
        <v>0</v>
      </c>
      <c r="O133" s="2"/>
      <c r="P133" s="2"/>
      <c r="Q133" s="2"/>
      <c r="R133" s="25"/>
      <c r="S133" s="25"/>
      <c r="T133" s="25"/>
      <c r="U133" s="25"/>
      <c r="V133" s="25"/>
      <c r="W133" s="25"/>
      <c r="X133" s="25"/>
      <c r="Y133" s="25"/>
      <c r="Z133" s="25"/>
      <c r="AA133" s="25"/>
      <c r="AB133" s="25"/>
      <c r="AC133" s="25"/>
      <c r="AD133" s="25"/>
      <c r="AE133" s="25"/>
      <c r="AF133" s="25"/>
      <c r="AG133" s="25"/>
      <c r="AH133" s="25"/>
      <c r="AI133" s="25"/>
      <c r="AJ133" s="25"/>
      <c r="AK133" s="25"/>
      <c r="AL133" s="25"/>
      <c r="AM133" s="25"/>
      <c r="AN133" s="25"/>
      <c r="AO133" s="25"/>
      <c r="AP133" s="25"/>
      <c r="AQ133" s="25"/>
      <c r="AR133" s="25"/>
      <c r="AS133" s="25"/>
      <c r="AT133" s="25"/>
      <c r="AU133" s="25"/>
      <c r="AV133" s="25"/>
      <c r="AW133" s="25"/>
      <c r="AX133" s="25"/>
      <c r="AY133" s="25"/>
      <c r="AZ133" s="25"/>
      <c r="BA133" s="1"/>
    </row>
    <row r="134" spans="1:53">
      <c r="A134" s="4">
        <v>127</v>
      </c>
      <c r="B134" s="21" t="s">
        <v>88</v>
      </c>
      <c r="C134" s="3"/>
      <c r="D134" s="1"/>
      <c r="E134" s="2"/>
      <c r="F134" s="1"/>
      <c r="G134" s="26" t="s">
        <v>245</v>
      </c>
      <c r="H134" s="1"/>
      <c r="I134" s="22"/>
      <c r="J134" s="2"/>
      <c r="K134" s="23">
        <v>0</v>
      </c>
      <c r="L134" s="2"/>
      <c r="M134" s="23">
        <v>0</v>
      </c>
      <c r="N134" s="24">
        <v>0</v>
      </c>
      <c r="O134" s="2"/>
      <c r="P134" s="2"/>
      <c r="Q134" s="2"/>
      <c r="R134" s="25"/>
      <c r="S134" s="25"/>
      <c r="T134" s="25"/>
      <c r="U134" s="25"/>
      <c r="V134" s="25"/>
      <c r="W134" s="25"/>
      <c r="X134" s="25"/>
      <c r="Y134" s="25"/>
      <c r="Z134" s="25"/>
      <c r="AA134" s="25"/>
      <c r="AB134" s="25"/>
      <c r="AC134" s="25"/>
      <c r="AD134" s="25"/>
      <c r="AE134" s="25"/>
      <c r="AF134" s="25"/>
      <c r="AG134" s="25"/>
      <c r="AH134" s="25"/>
      <c r="AI134" s="25"/>
      <c r="AJ134" s="25"/>
      <c r="AK134" s="25"/>
      <c r="AL134" s="25"/>
      <c r="AM134" s="25"/>
      <c r="AN134" s="25"/>
      <c r="AO134" s="25"/>
      <c r="AP134" s="25"/>
      <c r="AQ134" s="25"/>
      <c r="AR134" s="25"/>
      <c r="AS134" s="25"/>
      <c r="AT134" s="25"/>
      <c r="AU134" s="25"/>
      <c r="AV134" s="25"/>
      <c r="AW134" s="25"/>
      <c r="AX134" s="25"/>
      <c r="AY134" s="25"/>
      <c r="AZ134" s="25"/>
      <c r="BA134" s="1"/>
    </row>
    <row r="135" spans="1:53">
      <c r="A135" s="4">
        <v>128</v>
      </c>
      <c r="B135" s="21" t="s">
        <v>88</v>
      </c>
      <c r="C135" s="3"/>
      <c r="D135" s="1"/>
      <c r="E135" s="2"/>
      <c r="F135" s="1"/>
      <c r="G135" s="26" t="s">
        <v>246</v>
      </c>
      <c r="H135" s="1"/>
      <c r="I135" s="22"/>
      <c r="J135" s="2"/>
      <c r="K135" s="23">
        <v>0</v>
      </c>
      <c r="L135" s="2"/>
      <c r="M135" s="23">
        <v>0</v>
      </c>
      <c r="N135" s="24">
        <v>0</v>
      </c>
      <c r="O135" s="2"/>
      <c r="P135" s="2"/>
      <c r="Q135" s="2"/>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25"/>
      <c r="AU135" s="25"/>
      <c r="AV135" s="25"/>
      <c r="AW135" s="25"/>
      <c r="AX135" s="25"/>
      <c r="AY135" s="25"/>
      <c r="AZ135" s="25"/>
      <c r="BA135" s="1"/>
    </row>
    <row r="136" spans="1:53">
      <c r="A136" s="4">
        <v>129</v>
      </c>
      <c r="B136" s="21" t="s">
        <v>88</v>
      </c>
      <c r="C136" s="3"/>
      <c r="D136" s="1"/>
      <c r="E136" s="2"/>
      <c r="F136" s="1"/>
      <c r="G136" s="26" t="s">
        <v>247</v>
      </c>
      <c r="H136" s="1"/>
      <c r="I136" s="22"/>
      <c r="J136" s="2"/>
      <c r="K136" s="23">
        <v>0</v>
      </c>
      <c r="L136" s="2"/>
      <c r="M136" s="23">
        <v>0</v>
      </c>
      <c r="N136" s="24">
        <v>0</v>
      </c>
      <c r="O136" s="2"/>
      <c r="P136" s="2"/>
      <c r="Q136" s="2"/>
      <c r="R136" s="25"/>
      <c r="S136" s="25"/>
      <c r="T136" s="25"/>
      <c r="U136" s="25"/>
      <c r="V136" s="25"/>
      <c r="W136" s="25"/>
      <c r="X136" s="25"/>
      <c r="Y136" s="25"/>
      <c r="Z136" s="25"/>
      <c r="AA136" s="25"/>
      <c r="AB136" s="25"/>
      <c r="AC136" s="25"/>
      <c r="AD136" s="25"/>
      <c r="AE136" s="25"/>
      <c r="AF136" s="25"/>
      <c r="AG136" s="25"/>
      <c r="AH136" s="25"/>
      <c r="AI136" s="25"/>
      <c r="AJ136" s="25"/>
      <c r="AK136" s="25"/>
      <c r="AL136" s="25"/>
      <c r="AM136" s="25"/>
      <c r="AN136" s="25"/>
      <c r="AO136" s="25"/>
      <c r="AP136" s="25"/>
      <c r="AQ136" s="25"/>
      <c r="AR136" s="25"/>
      <c r="AS136" s="25"/>
      <c r="AT136" s="25"/>
      <c r="AU136" s="25"/>
      <c r="AV136" s="25"/>
      <c r="AW136" s="25"/>
      <c r="AX136" s="25"/>
      <c r="AY136" s="25"/>
      <c r="AZ136" s="25"/>
      <c r="BA136" s="1"/>
    </row>
    <row r="137" spans="1:53">
      <c r="A137" s="4">
        <v>130</v>
      </c>
      <c r="B137" s="21" t="s">
        <v>88</v>
      </c>
      <c r="C137" s="3"/>
      <c r="D137" s="1"/>
      <c r="E137" s="2"/>
      <c r="F137" s="1"/>
      <c r="G137" s="26" t="s">
        <v>248</v>
      </c>
      <c r="H137" s="1"/>
      <c r="I137" s="22"/>
      <c r="J137" s="2"/>
      <c r="K137" s="23">
        <v>0</v>
      </c>
      <c r="L137" s="2"/>
      <c r="M137" s="23">
        <v>0</v>
      </c>
      <c r="N137" s="24">
        <v>0</v>
      </c>
      <c r="O137" s="2"/>
      <c r="P137" s="2"/>
      <c r="Q137" s="2"/>
      <c r="R137" s="25"/>
      <c r="S137" s="25"/>
      <c r="T137" s="25"/>
      <c r="U137" s="25"/>
      <c r="V137" s="25"/>
      <c r="W137" s="25"/>
      <c r="X137" s="25"/>
      <c r="Y137" s="25"/>
      <c r="Z137" s="25"/>
      <c r="AA137" s="25"/>
      <c r="AB137" s="25"/>
      <c r="AC137" s="25"/>
      <c r="AD137" s="25"/>
      <c r="AE137" s="25"/>
      <c r="AF137" s="25"/>
      <c r="AG137" s="25"/>
      <c r="AH137" s="25"/>
      <c r="AI137" s="25"/>
      <c r="AJ137" s="25"/>
      <c r="AK137" s="25"/>
      <c r="AL137" s="25"/>
      <c r="AM137" s="25"/>
      <c r="AN137" s="25"/>
      <c r="AO137" s="25"/>
      <c r="AP137" s="25"/>
      <c r="AQ137" s="25"/>
      <c r="AR137" s="25"/>
      <c r="AS137" s="25"/>
      <c r="AT137" s="25"/>
      <c r="AU137" s="25"/>
      <c r="AV137" s="25"/>
      <c r="AW137" s="25"/>
      <c r="AX137" s="25"/>
      <c r="AY137" s="25"/>
      <c r="AZ137" s="25"/>
      <c r="BA137" s="1"/>
    </row>
    <row r="138" spans="1:53" ht="26.45" customHeight="1">
      <c r="A138" s="4">
        <v>131</v>
      </c>
      <c r="B138" s="21" t="s">
        <v>88</v>
      </c>
      <c r="C138" s="3"/>
      <c r="D138" s="1"/>
      <c r="E138" s="2"/>
      <c r="F138" s="1"/>
      <c r="G138" s="26" t="s">
        <v>249</v>
      </c>
      <c r="H138" s="1"/>
      <c r="I138" s="22"/>
      <c r="J138" s="2"/>
      <c r="K138" s="23">
        <v>0</v>
      </c>
      <c r="L138" s="2"/>
      <c r="M138" s="23">
        <v>0</v>
      </c>
      <c r="N138" s="24">
        <v>0</v>
      </c>
      <c r="O138" s="2"/>
      <c r="P138" s="2"/>
      <c r="Q138" s="2"/>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25"/>
      <c r="AU138" s="25"/>
      <c r="AV138" s="25"/>
      <c r="AW138" s="25"/>
      <c r="AX138" s="25"/>
      <c r="AY138" s="25"/>
      <c r="AZ138" s="25"/>
      <c r="BA138" s="1"/>
    </row>
    <row r="139" spans="1:53">
      <c r="A139" s="4">
        <v>132</v>
      </c>
      <c r="B139" s="21" t="s">
        <v>88</v>
      </c>
      <c r="C139" s="3"/>
      <c r="D139" s="1"/>
      <c r="E139" s="2"/>
      <c r="F139" s="1"/>
      <c r="G139" s="26" t="s">
        <v>250</v>
      </c>
      <c r="H139" s="1"/>
      <c r="I139" s="22"/>
      <c r="J139" s="2"/>
      <c r="K139" s="23">
        <v>0</v>
      </c>
      <c r="L139" s="2"/>
      <c r="M139" s="23">
        <v>0</v>
      </c>
      <c r="N139" s="24">
        <v>0</v>
      </c>
      <c r="O139" s="2"/>
      <c r="P139" s="2"/>
      <c r="Q139" s="2"/>
      <c r="R139" s="25"/>
      <c r="S139" s="25"/>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c r="AQ139" s="25"/>
      <c r="AR139" s="25"/>
      <c r="AS139" s="25"/>
      <c r="AT139" s="25"/>
      <c r="AU139" s="25"/>
      <c r="AV139" s="25"/>
      <c r="AW139" s="25"/>
      <c r="AX139" s="25"/>
      <c r="AY139" s="25"/>
      <c r="AZ139" s="25"/>
      <c r="BA139" s="1"/>
    </row>
    <row r="140" spans="1:53">
      <c r="A140" s="4">
        <v>133</v>
      </c>
      <c r="B140" s="21" t="s">
        <v>88</v>
      </c>
      <c r="C140" s="3"/>
      <c r="D140" s="1"/>
      <c r="E140" s="2"/>
      <c r="F140" s="1"/>
      <c r="G140" s="26" t="s">
        <v>231</v>
      </c>
      <c r="H140" s="1"/>
      <c r="I140" s="22"/>
      <c r="J140" s="2"/>
      <c r="K140" s="23">
        <v>0</v>
      </c>
      <c r="L140" s="2"/>
      <c r="M140" s="23">
        <v>0</v>
      </c>
      <c r="N140" s="24">
        <v>0</v>
      </c>
      <c r="O140" s="2"/>
      <c r="P140" s="2"/>
      <c r="Q140" s="2"/>
      <c r="R140" s="25"/>
      <c r="S140" s="25"/>
      <c r="T140" s="25"/>
      <c r="U140" s="25"/>
      <c r="V140" s="25"/>
      <c r="W140" s="25"/>
      <c r="X140" s="25"/>
      <c r="Y140" s="25"/>
      <c r="Z140" s="25"/>
      <c r="AA140" s="25"/>
      <c r="AB140" s="25"/>
      <c r="AC140" s="25"/>
      <c r="AD140" s="25"/>
      <c r="AE140" s="25"/>
      <c r="AF140" s="25"/>
      <c r="AG140" s="25"/>
      <c r="AH140" s="25"/>
      <c r="AI140" s="25"/>
      <c r="AJ140" s="25"/>
      <c r="AK140" s="25"/>
      <c r="AL140" s="25"/>
      <c r="AM140" s="25"/>
      <c r="AN140" s="25"/>
      <c r="AO140" s="25"/>
      <c r="AP140" s="25"/>
      <c r="AQ140" s="25"/>
      <c r="AR140" s="25"/>
      <c r="AS140" s="25"/>
      <c r="AT140" s="25"/>
      <c r="AU140" s="25"/>
      <c r="AV140" s="25"/>
      <c r="AW140" s="25"/>
      <c r="AX140" s="25"/>
      <c r="AY140" s="25"/>
      <c r="AZ140" s="25"/>
      <c r="BA140" s="1"/>
    </row>
    <row r="141" spans="1:53" ht="26.45" customHeight="1">
      <c r="A141" s="4">
        <v>134</v>
      </c>
      <c r="B141" s="11" t="s">
        <v>88</v>
      </c>
      <c r="C141" s="12"/>
      <c r="D141" s="12" t="s">
        <v>251</v>
      </c>
      <c r="E141" s="13"/>
      <c r="F141" s="14"/>
      <c r="G141" s="18" t="s">
        <v>252</v>
      </c>
      <c r="H141" s="12" t="s">
        <v>253</v>
      </c>
      <c r="I141" s="18" t="s">
        <v>254</v>
      </c>
      <c r="J141" s="13" t="s">
        <v>255</v>
      </c>
      <c r="K141" s="10">
        <v>4</v>
      </c>
      <c r="L141" s="13" t="s">
        <v>256</v>
      </c>
      <c r="M141" s="10">
        <v>23</v>
      </c>
      <c r="N141" s="27">
        <v>0</v>
      </c>
      <c r="O141" s="13" t="s">
        <v>107</v>
      </c>
      <c r="P141" s="13" t="s">
        <v>257</v>
      </c>
      <c r="Q141" s="13" t="s">
        <v>109</v>
      </c>
      <c r="R141" s="17">
        <f>SUM(S141:AZ141)</f>
        <v>14400</v>
      </c>
      <c r="S141" s="17"/>
      <c r="T141" s="17"/>
      <c r="U141" s="17"/>
      <c r="V141" s="17"/>
      <c r="W141" s="17"/>
      <c r="X141" s="17"/>
      <c r="Y141" s="17">
        <f>2*11*90</f>
        <v>1980</v>
      </c>
      <c r="Z141" s="17">
        <f>2*60*90</f>
        <v>10800</v>
      </c>
      <c r="AA141" s="17"/>
      <c r="AB141" s="17"/>
      <c r="AC141" s="17">
        <f>2*9*90</f>
        <v>1620</v>
      </c>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2"/>
    </row>
    <row r="142" spans="1:53" ht="26.45" customHeight="1">
      <c r="A142" s="4">
        <v>135</v>
      </c>
      <c r="B142" s="11" t="s">
        <v>88</v>
      </c>
      <c r="C142" s="12"/>
      <c r="D142" s="12" t="s">
        <v>258</v>
      </c>
      <c r="E142" s="13"/>
      <c r="F142" s="14"/>
      <c r="G142" s="18" t="s">
        <v>259</v>
      </c>
      <c r="H142" s="12" t="s">
        <v>253</v>
      </c>
      <c r="I142" s="18" t="s">
        <v>260</v>
      </c>
      <c r="J142" s="13" t="s">
        <v>255</v>
      </c>
      <c r="K142" s="10">
        <v>4</v>
      </c>
      <c r="L142" s="13" t="s">
        <v>256</v>
      </c>
      <c r="M142" s="10">
        <v>23</v>
      </c>
      <c r="N142" s="27">
        <v>0</v>
      </c>
      <c r="O142" s="13" t="s">
        <v>107</v>
      </c>
      <c r="P142" s="13" t="s">
        <v>261</v>
      </c>
      <c r="Q142" s="13" t="s">
        <v>109</v>
      </c>
      <c r="R142" s="17">
        <f>SUM(S142:AZ142)</f>
        <v>0</v>
      </c>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2"/>
    </row>
    <row r="143" spans="1:53">
      <c r="A143" s="4">
        <v>136</v>
      </c>
      <c r="B143" s="5" t="s">
        <v>88</v>
      </c>
      <c r="C143" s="6"/>
      <c r="D143" s="37" t="s">
        <v>262</v>
      </c>
      <c r="E143" s="50"/>
      <c r="F143" s="37" t="s">
        <v>263</v>
      </c>
      <c r="G143" s="53"/>
      <c r="H143" s="9"/>
      <c r="I143" s="7"/>
      <c r="J143" s="4"/>
      <c r="K143" s="19">
        <v>0</v>
      </c>
      <c r="L143" s="4"/>
      <c r="M143" s="19">
        <v>0</v>
      </c>
      <c r="N143" s="20">
        <v>0</v>
      </c>
      <c r="O143" s="4"/>
      <c r="P143" s="4"/>
      <c r="Q143" s="4"/>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9"/>
    </row>
    <row r="144" spans="1:53" ht="26.45" customHeight="1">
      <c r="A144" s="4">
        <v>137</v>
      </c>
      <c r="B144" s="21" t="s">
        <v>88</v>
      </c>
      <c r="C144" s="3"/>
      <c r="D144" s="1"/>
      <c r="E144" s="2"/>
      <c r="F144" s="1"/>
      <c r="G144" s="26" t="s">
        <v>264</v>
      </c>
      <c r="H144" s="1"/>
      <c r="I144" s="22"/>
      <c r="J144" s="2"/>
      <c r="K144" s="23">
        <v>0</v>
      </c>
      <c r="L144" s="2"/>
      <c r="M144" s="23">
        <v>0</v>
      </c>
      <c r="N144" s="24">
        <v>0</v>
      </c>
      <c r="O144" s="2"/>
      <c r="P144" s="2"/>
      <c r="Q144" s="2"/>
      <c r="R144" s="25"/>
      <c r="S144" s="25"/>
      <c r="T144" s="25"/>
      <c r="U144" s="25"/>
      <c r="V144" s="25"/>
      <c r="W144" s="25"/>
      <c r="X144" s="25"/>
      <c r="Y144" s="25"/>
      <c r="Z144" s="25"/>
      <c r="AA144" s="25"/>
      <c r="AB144" s="25"/>
      <c r="AC144" s="25"/>
      <c r="AD144" s="25"/>
      <c r="AE144" s="25"/>
      <c r="AF144" s="25"/>
      <c r="AG144" s="25"/>
      <c r="AH144" s="25"/>
      <c r="AI144" s="25"/>
      <c r="AJ144" s="25"/>
      <c r="AK144" s="25"/>
      <c r="AL144" s="25"/>
      <c r="AM144" s="25"/>
      <c r="AN144" s="25"/>
      <c r="AO144" s="25"/>
      <c r="AP144" s="25"/>
      <c r="AQ144" s="25"/>
      <c r="AR144" s="25"/>
      <c r="AS144" s="25"/>
      <c r="AT144" s="25"/>
      <c r="AU144" s="25"/>
      <c r="AV144" s="25"/>
      <c r="AW144" s="25"/>
      <c r="AX144" s="25"/>
      <c r="AY144" s="25"/>
      <c r="AZ144" s="25"/>
      <c r="BA144" s="1"/>
    </row>
    <row r="145" spans="1:53">
      <c r="A145" s="4">
        <v>138</v>
      </c>
      <c r="B145" s="21" t="s">
        <v>88</v>
      </c>
      <c r="C145" s="3"/>
      <c r="D145" s="1"/>
      <c r="E145" s="2"/>
      <c r="F145" s="1"/>
      <c r="G145" s="26" t="s">
        <v>265</v>
      </c>
      <c r="H145" s="1"/>
      <c r="I145" s="22"/>
      <c r="J145" s="2"/>
      <c r="K145" s="23">
        <v>0</v>
      </c>
      <c r="L145" s="2"/>
      <c r="M145" s="23">
        <v>0</v>
      </c>
      <c r="N145" s="24">
        <v>0</v>
      </c>
      <c r="O145" s="2"/>
      <c r="P145" s="2"/>
      <c r="Q145" s="2"/>
      <c r="R145" s="25"/>
      <c r="S145" s="25"/>
      <c r="T145" s="25"/>
      <c r="U145" s="25"/>
      <c r="V145" s="25"/>
      <c r="W145" s="25"/>
      <c r="X145" s="25"/>
      <c r="Y145" s="25"/>
      <c r="Z145" s="25"/>
      <c r="AA145" s="25"/>
      <c r="AB145" s="25"/>
      <c r="AC145" s="25"/>
      <c r="AD145" s="25"/>
      <c r="AE145" s="25"/>
      <c r="AF145" s="25"/>
      <c r="AG145" s="25"/>
      <c r="AH145" s="25"/>
      <c r="AI145" s="25"/>
      <c r="AJ145" s="25"/>
      <c r="AK145" s="25"/>
      <c r="AL145" s="25"/>
      <c r="AM145" s="25"/>
      <c r="AN145" s="25"/>
      <c r="AO145" s="25"/>
      <c r="AP145" s="25"/>
      <c r="AQ145" s="25"/>
      <c r="AR145" s="25"/>
      <c r="AS145" s="25"/>
      <c r="AT145" s="25"/>
      <c r="AU145" s="25"/>
      <c r="AV145" s="25"/>
      <c r="AW145" s="25"/>
      <c r="AX145" s="25"/>
      <c r="AY145" s="25"/>
      <c r="AZ145" s="25"/>
      <c r="BA145" s="1"/>
    </row>
    <row r="146" spans="1:53">
      <c r="A146" s="4">
        <v>139</v>
      </c>
      <c r="B146" s="21" t="s">
        <v>88</v>
      </c>
      <c r="C146" s="3"/>
      <c r="D146" s="1"/>
      <c r="E146" s="2"/>
      <c r="F146" s="1"/>
      <c r="G146" s="26" t="s">
        <v>266</v>
      </c>
      <c r="H146" s="1"/>
      <c r="I146" s="22"/>
      <c r="J146" s="2"/>
      <c r="K146" s="23">
        <v>0</v>
      </c>
      <c r="L146" s="2"/>
      <c r="M146" s="23">
        <v>0</v>
      </c>
      <c r="N146" s="24">
        <v>0</v>
      </c>
      <c r="O146" s="2"/>
      <c r="P146" s="2"/>
      <c r="Q146" s="2"/>
      <c r="R146" s="25"/>
      <c r="S146" s="25"/>
      <c r="T146" s="25"/>
      <c r="U146" s="25"/>
      <c r="V146" s="25"/>
      <c r="W146" s="25"/>
      <c r="X146" s="25"/>
      <c r="Y146" s="25"/>
      <c r="Z146" s="25"/>
      <c r="AA146" s="25"/>
      <c r="AB146" s="25"/>
      <c r="AC146" s="25"/>
      <c r="AD146" s="25"/>
      <c r="AE146" s="25"/>
      <c r="AF146" s="25"/>
      <c r="AG146" s="25"/>
      <c r="AH146" s="25"/>
      <c r="AI146" s="25"/>
      <c r="AJ146" s="25"/>
      <c r="AK146" s="25"/>
      <c r="AL146" s="25"/>
      <c r="AM146" s="25"/>
      <c r="AN146" s="25"/>
      <c r="AO146" s="25"/>
      <c r="AP146" s="25"/>
      <c r="AQ146" s="25"/>
      <c r="AR146" s="25"/>
      <c r="AS146" s="25"/>
      <c r="AT146" s="25"/>
      <c r="AU146" s="25"/>
      <c r="AV146" s="25"/>
      <c r="AW146" s="25"/>
      <c r="AX146" s="25"/>
      <c r="AY146" s="25"/>
      <c r="AZ146" s="25"/>
      <c r="BA146" s="1"/>
    </row>
    <row r="147" spans="1:53" ht="26.45" customHeight="1">
      <c r="A147" s="4">
        <v>140</v>
      </c>
      <c r="B147" s="21" t="s">
        <v>88</v>
      </c>
      <c r="C147" s="3"/>
      <c r="D147" s="1"/>
      <c r="E147" s="2"/>
      <c r="F147" s="1"/>
      <c r="G147" s="26" t="s">
        <v>96</v>
      </c>
      <c r="H147" s="1"/>
      <c r="I147" s="22"/>
      <c r="J147" s="2"/>
      <c r="K147" s="23">
        <v>0</v>
      </c>
      <c r="L147" s="2"/>
      <c r="M147" s="23">
        <v>0</v>
      </c>
      <c r="N147" s="24">
        <v>0</v>
      </c>
      <c r="O147" s="2"/>
      <c r="P147" s="2"/>
      <c r="Q147" s="2"/>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25"/>
      <c r="AU147" s="25"/>
      <c r="AV147" s="25"/>
      <c r="AW147" s="25"/>
      <c r="AX147" s="25"/>
      <c r="AY147" s="25"/>
      <c r="AZ147" s="25"/>
      <c r="BA147" s="1"/>
    </row>
    <row r="148" spans="1:53">
      <c r="A148" s="4">
        <v>141</v>
      </c>
      <c r="B148" s="21" t="s">
        <v>88</v>
      </c>
      <c r="C148" s="3"/>
      <c r="D148" s="1"/>
      <c r="E148" s="2"/>
      <c r="F148" s="1"/>
      <c r="G148" s="26" t="s">
        <v>267</v>
      </c>
      <c r="H148" s="1"/>
      <c r="I148" s="22"/>
      <c r="J148" s="2"/>
      <c r="K148" s="23">
        <v>0</v>
      </c>
      <c r="L148" s="2"/>
      <c r="M148" s="23">
        <v>0</v>
      </c>
      <c r="N148" s="24">
        <v>0</v>
      </c>
      <c r="O148" s="2"/>
      <c r="P148" s="2"/>
      <c r="Q148" s="2"/>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c r="AW148" s="25"/>
      <c r="AX148" s="25"/>
      <c r="AY148" s="25"/>
      <c r="AZ148" s="25"/>
      <c r="BA148" s="1"/>
    </row>
    <row r="149" spans="1:53" ht="39.6" customHeight="1">
      <c r="A149" s="4">
        <v>142</v>
      </c>
      <c r="B149" s="21" t="s">
        <v>88</v>
      </c>
      <c r="C149" s="3"/>
      <c r="D149" s="1"/>
      <c r="E149" s="2"/>
      <c r="F149" s="1"/>
      <c r="G149" s="26" t="s">
        <v>268</v>
      </c>
      <c r="H149" s="1"/>
      <c r="I149" s="22"/>
      <c r="J149" s="2"/>
      <c r="K149" s="23">
        <v>0</v>
      </c>
      <c r="L149" s="2"/>
      <c r="M149" s="23">
        <v>0</v>
      </c>
      <c r="N149" s="24">
        <v>0</v>
      </c>
      <c r="O149" s="2"/>
      <c r="P149" s="2"/>
      <c r="Q149" s="2"/>
      <c r="R149" s="25"/>
      <c r="S149" s="25"/>
      <c r="T149" s="25"/>
      <c r="U149" s="25"/>
      <c r="V149" s="25"/>
      <c r="W149" s="25"/>
      <c r="X149" s="25"/>
      <c r="Y149" s="25"/>
      <c r="Z149" s="25"/>
      <c r="AA149" s="25"/>
      <c r="AB149" s="25"/>
      <c r="AC149" s="25"/>
      <c r="AD149" s="25"/>
      <c r="AE149" s="25"/>
      <c r="AF149" s="25"/>
      <c r="AG149" s="25"/>
      <c r="AH149" s="25"/>
      <c r="AI149" s="25"/>
      <c r="AJ149" s="25"/>
      <c r="AK149" s="25"/>
      <c r="AL149" s="25"/>
      <c r="AM149" s="25"/>
      <c r="AN149" s="25"/>
      <c r="AO149" s="25"/>
      <c r="AP149" s="25"/>
      <c r="AQ149" s="25"/>
      <c r="AR149" s="25"/>
      <c r="AS149" s="25"/>
      <c r="AT149" s="25"/>
      <c r="AU149" s="25"/>
      <c r="AV149" s="25"/>
      <c r="AW149" s="25"/>
      <c r="AX149" s="25"/>
      <c r="AY149" s="25"/>
      <c r="AZ149" s="25"/>
      <c r="BA149" s="1"/>
    </row>
    <row r="150" spans="1:53" ht="39.6" customHeight="1">
      <c r="A150" s="4">
        <v>143</v>
      </c>
      <c r="B150" s="21" t="s">
        <v>88</v>
      </c>
      <c r="C150" s="3"/>
      <c r="D150" s="1"/>
      <c r="E150" s="2"/>
      <c r="F150" s="1"/>
      <c r="G150" s="26" t="s">
        <v>269</v>
      </c>
      <c r="H150" s="1"/>
      <c r="I150" s="22"/>
      <c r="J150" s="2"/>
      <c r="K150" s="23">
        <v>0</v>
      </c>
      <c r="L150" s="2"/>
      <c r="M150" s="23">
        <v>0</v>
      </c>
      <c r="N150" s="24">
        <v>0</v>
      </c>
      <c r="O150" s="2"/>
      <c r="P150" s="2"/>
      <c r="Q150" s="2"/>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c r="AQ150" s="25"/>
      <c r="AR150" s="25"/>
      <c r="AS150" s="25"/>
      <c r="AT150" s="25"/>
      <c r="AU150" s="25"/>
      <c r="AV150" s="25"/>
      <c r="AW150" s="25"/>
      <c r="AX150" s="25"/>
      <c r="AY150" s="25"/>
      <c r="AZ150" s="25"/>
      <c r="BA150" s="1"/>
    </row>
    <row r="151" spans="1:53" ht="26.45" customHeight="1">
      <c r="A151" s="4">
        <v>144</v>
      </c>
      <c r="B151" s="21" t="s">
        <v>88</v>
      </c>
      <c r="C151" s="3"/>
      <c r="D151" s="1"/>
      <c r="E151" s="2"/>
      <c r="F151" s="1"/>
      <c r="G151" s="26" t="s">
        <v>270</v>
      </c>
      <c r="H151" s="1"/>
      <c r="I151" s="22"/>
      <c r="J151" s="2"/>
      <c r="K151" s="23">
        <v>0</v>
      </c>
      <c r="L151" s="2"/>
      <c r="M151" s="23">
        <v>0</v>
      </c>
      <c r="N151" s="24">
        <v>0</v>
      </c>
      <c r="O151" s="2"/>
      <c r="P151" s="2"/>
      <c r="Q151" s="2"/>
      <c r="R151" s="25"/>
      <c r="S151" s="25"/>
      <c r="T151" s="25"/>
      <c r="U151" s="25"/>
      <c r="V151" s="25"/>
      <c r="W151" s="25"/>
      <c r="X151" s="25"/>
      <c r="Y151" s="25"/>
      <c r="Z151" s="25"/>
      <c r="AA151" s="25"/>
      <c r="AB151" s="25"/>
      <c r="AC151" s="25"/>
      <c r="AD151" s="25"/>
      <c r="AE151" s="25"/>
      <c r="AF151" s="25"/>
      <c r="AG151" s="25"/>
      <c r="AH151" s="25"/>
      <c r="AI151" s="25"/>
      <c r="AJ151" s="25"/>
      <c r="AK151" s="25"/>
      <c r="AL151" s="25"/>
      <c r="AM151" s="25"/>
      <c r="AN151" s="25"/>
      <c r="AO151" s="25"/>
      <c r="AP151" s="25"/>
      <c r="AQ151" s="25"/>
      <c r="AR151" s="25"/>
      <c r="AS151" s="25"/>
      <c r="AT151" s="25"/>
      <c r="AU151" s="25"/>
      <c r="AV151" s="25"/>
      <c r="AW151" s="25"/>
      <c r="AX151" s="25"/>
      <c r="AY151" s="25"/>
      <c r="AZ151" s="25"/>
      <c r="BA151" s="1"/>
    </row>
    <row r="152" spans="1:53">
      <c r="A152" s="4">
        <v>145</v>
      </c>
      <c r="B152" s="11" t="s">
        <v>88</v>
      </c>
      <c r="C152" s="12"/>
      <c r="D152" s="12" t="s">
        <v>271</v>
      </c>
      <c r="E152" s="13"/>
      <c r="F152" s="14"/>
      <c r="G152" s="15"/>
      <c r="H152" s="12" t="s">
        <v>272</v>
      </c>
      <c r="I152" s="18" t="s">
        <v>273</v>
      </c>
      <c r="J152" s="13" t="s">
        <v>274</v>
      </c>
      <c r="K152" s="10">
        <v>1</v>
      </c>
      <c r="L152" s="13" t="s">
        <v>256</v>
      </c>
      <c r="M152" s="10">
        <v>12</v>
      </c>
      <c r="N152" s="27">
        <v>0</v>
      </c>
      <c r="O152" s="13" t="s">
        <v>107</v>
      </c>
      <c r="P152" s="13" t="s">
        <v>275</v>
      </c>
      <c r="Q152" s="13" t="s">
        <v>109</v>
      </c>
      <c r="R152" s="17">
        <f>SUM(S152:AZ152)</f>
        <v>0</v>
      </c>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2"/>
    </row>
    <row r="153" spans="1:53">
      <c r="A153" s="4">
        <v>146</v>
      </c>
      <c r="B153" s="11" t="s">
        <v>88</v>
      </c>
      <c r="C153" s="12"/>
      <c r="D153" s="12" t="s">
        <v>276</v>
      </c>
      <c r="E153" s="13"/>
      <c r="F153" s="14"/>
      <c r="G153" s="15"/>
      <c r="H153" s="12" t="s">
        <v>272</v>
      </c>
      <c r="I153" s="18" t="s">
        <v>277</v>
      </c>
      <c r="J153" s="10"/>
      <c r="K153" s="10">
        <v>1</v>
      </c>
      <c r="L153" s="13" t="s">
        <v>256</v>
      </c>
      <c r="M153" s="10">
        <v>12</v>
      </c>
      <c r="N153" s="27">
        <v>0</v>
      </c>
      <c r="O153" s="13" t="s">
        <v>107</v>
      </c>
      <c r="P153" s="10"/>
      <c r="Q153" s="13" t="s">
        <v>109</v>
      </c>
      <c r="R153" s="17">
        <f>SUM(S153:AZ153)</f>
        <v>0</v>
      </c>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4"/>
    </row>
    <row r="154" spans="1:53">
      <c r="A154" s="4">
        <v>147</v>
      </c>
      <c r="B154" s="11" t="s">
        <v>88</v>
      </c>
      <c r="C154" s="12"/>
      <c r="D154" s="12" t="s">
        <v>278</v>
      </c>
      <c r="E154" s="13"/>
      <c r="F154" s="14"/>
      <c r="G154" s="15"/>
      <c r="H154" s="12" t="s">
        <v>279</v>
      </c>
      <c r="I154" s="18" t="s">
        <v>273</v>
      </c>
      <c r="J154" s="13" t="s">
        <v>274</v>
      </c>
      <c r="K154" s="10">
        <v>2</v>
      </c>
      <c r="L154" s="13" t="s">
        <v>256</v>
      </c>
      <c r="M154" s="10">
        <v>12</v>
      </c>
      <c r="N154" s="27">
        <v>0</v>
      </c>
      <c r="O154" s="13" t="s">
        <v>107</v>
      </c>
      <c r="P154" s="13" t="s">
        <v>280</v>
      </c>
      <c r="Q154" s="13" t="s">
        <v>109</v>
      </c>
      <c r="R154" s="17">
        <f>SUM(S154:AZ154)</f>
        <v>0</v>
      </c>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2"/>
    </row>
    <row r="155" spans="1:53">
      <c r="A155" s="4">
        <v>148</v>
      </c>
      <c r="B155" s="11" t="s">
        <v>88</v>
      </c>
      <c r="C155" s="12"/>
      <c r="D155" s="12" t="s">
        <v>281</v>
      </c>
      <c r="E155" s="13"/>
      <c r="F155" s="14"/>
      <c r="G155" s="15"/>
      <c r="H155" s="12" t="s">
        <v>282</v>
      </c>
      <c r="I155" s="18" t="s">
        <v>273</v>
      </c>
      <c r="J155" s="13" t="s">
        <v>274</v>
      </c>
      <c r="K155" s="10">
        <v>6</v>
      </c>
      <c r="L155" s="13" t="s">
        <v>256</v>
      </c>
      <c r="M155" s="10">
        <v>12</v>
      </c>
      <c r="N155" s="27">
        <v>0</v>
      </c>
      <c r="O155" s="13" t="s">
        <v>107</v>
      </c>
      <c r="P155" s="13" t="s">
        <v>283</v>
      </c>
      <c r="Q155" s="13" t="s">
        <v>109</v>
      </c>
      <c r="R155" s="17">
        <f>SUM(S155:AZ155)</f>
        <v>0</v>
      </c>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2"/>
    </row>
    <row r="156" spans="1:53">
      <c r="A156" s="4">
        <v>149</v>
      </c>
      <c r="B156" s="11" t="s">
        <v>88</v>
      </c>
      <c r="C156" s="12"/>
      <c r="D156" s="12" t="s">
        <v>284</v>
      </c>
      <c r="E156" s="13"/>
      <c r="F156" s="14"/>
      <c r="G156" s="15"/>
      <c r="H156" s="12" t="s">
        <v>285</v>
      </c>
      <c r="I156" s="18" t="s">
        <v>273</v>
      </c>
      <c r="J156" s="13" t="s">
        <v>274</v>
      </c>
      <c r="K156" s="10">
        <v>8</v>
      </c>
      <c r="L156" s="13" t="s">
        <v>256</v>
      </c>
      <c r="M156" s="10">
        <v>12</v>
      </c>
      <c r="N156" s="27">
        <v>0</v>
      </c>
      <c r="O156" s="13" t="s">
        <v>107</v>
      </c>
      <c r="P156" s="13" t="s">
        <v>286</v>
      </c>
      <c r="Q156" s="13" t="s">
        <v>109</v>
      </c>
      <c r="R156" s="17">
        <f>SUM(S156:AZ156)</f>
        <v>0</v>
      </c>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2"/>
    </row>
    <row r="157" spans="1:53">
      <c r="A157" s="4">
        <v>150</v>
      </c>
      <c r="B157" s="11" t="s">
        <v>88</v>
      </c>
      <c r="C157" s="12"/>
      <c r="D157" s="12" t="s">
        <v>287</v>
      </c>
      <c r="E157" s="13"/>
      <c r="F157" s="14"/>
      <c r="G157" s="15"/>
      <c r="H157" s="12" t="s">
        <v>288</v>
      </c>
      <c r="I157" s="18" t="s">
        <v>273</v>
      </c>
      <c r="J157" s="13" t="s">
        <v>274</v>
      </c>
      <c r="K157" s="10">
        <v>10</v>
      </c>
      <c r="L157" s="13" t="s">
        <v>256</v>
      </c>
      <c r="M157" s="10">
        <v>12</v>
      </c>
      <c r="N157" s="27">
        <v>0</v>
      </c>
      <c r="O157" s="13" t="s">
        <v>107</v>
      </c>
      <c r="P157" s="13" t="s">
        <v>289</v>
      </c>
      <c r="Q157" s="13" t="s">
        <v>109</v>
      </c>
      <c r="R157" s="17">
        <f>SUM(S157:AZ157)</f>
        <v>0</v>
      </c>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2"/>
    </row>
    <row r="158" spans="1:53" ht="26.45" customHeight="1">
      <c r="A158" s="4">
        <v>151</v>
      </c>
      <c r="B158" s="21" t="s">
        <v>88</v>
      </c>
      <c r="C158" s="3"/>
      <c r="D158" s="1"/>
      <c r="E158" s="2"/>
      <c r="F158" s="1"/>
      <c r="G158" s="26" t="s">
        <v>290</v>
      </c>
      <c r="H158" s="1"/>
      <c r="I158" s="22"/>
      <c r="J158" s="2"/>
      <c r="K158" s="23">
        <v>0</v>
      </c>
      <c r="L158" s="2"/>
      <c r="M158" s="23">
        <v>0</v>
      </c>
      <c r="N158" s="24">
        <v>0</v>
      </c>
      <c r="O158" s="2"/>
      <c r="P158" s="2"/>
      <c r="Q158" s="2"/>
      <c r="R158" s="25"/>
      <c r="S158" s="25"/>
      <c r="T158" s="25"/>
      <c r="U158" s="25"/>
      <c r="V158" s="25"/>
      <c r="W158" s="25"/>
      <c r="X158" s="25"/>
      <c r="Y158" s="25"/>
      <c r="Z158" s="25"/>
      <c r="AA158" s="25"/>
      <c r="AB158" s="25"/>
      <c r="AC158" s="25"/>
      <c r="AD158" s="25"/>
      <c r="AE158" s="25"/>
      <c r="AF158" s="25"/>
      <c r="AG158" s="25"/>
      <c r="AH158" s="25"/>
      <c r="AI158" s="25"/>
      <c r="AJ158" s="25"/>
      <c r="AK158" s="25"/>
      <c r="AL158" s="25"/>
      <c r="AM158" s="25"/>
      <c r="AN158" s="25"/>
      <c r="AO158" s="25"/>
      <c r="AP158" s="25"/>
      <c r="AQ158" s="25"/>
      <c r="AR158" s="25"/>
      <c r="AS158" s="25"/>
      <c r="AT158" s="25"/>
      <c r="AU158" s="25"/>
      <c r="AV158" s="25"/>
      <c r="AW158" s="25"/>
      <c r="AX158" s="25"/>
      <c r="AY158" s="25"/>
      <c r="AZ158" s="25"/>
      <c r="BA158" s="1"/>
    </row>
    <row r="159" spans="1:53">
      <c r="A159" s="4">
        <v>152</v>
      </c>
      <c r="B159" s="21" t="s">
        <v>88</v>
      </c>
      <c r="C159" s="3"/>
      <c r="D159" s="1"/>
      <c r="E159" s="2"/>
      <c r="F159" s="1"/>
      <c r="G159" s="26" t="s">
        <v>291</v>
      </c>
      <c r="H159" s="1"/>
      <c r="I159" s="22"/>
      <c r="J159" s="2"/>
      <c r="K159" s="23">
        <v>0</v>
      </c>
      <c r="L159" s="2"/>
      <c r="M159" s="23">
        <v>0</v>
      </c>
      <c r="N159" s="24">
        <v>0</v>
      </c>
      <c r="O159" s="2"/>
      <c r="P159" s="2"/>
      <c r="Q159" s="2"/>
      <c r="R159" s="25"/>
      <c r="S159" s="25"/>
      <c r="T159" s="25"/>
      <c r="U159" s="25"/>
      <c r="V159" s="25"/>
      <c r="W159" s="25"/>
      <c r="X159" s="25"/>
      <c r="Y159" s="25"/>
      <c r="Z159" s="25"/>
      <c r="AA159" s="25"/>
      <c r="AB159" s="25"/>
      <c r="AC159" s="25"/>
      <c r="AD159" s="25"/>
      <c r="AE159" s="25"/>
      <c r="AF159" s="25"/>
      <c r="AG159" s="25"/>
      <c r="AH159" s="25"/>
      <c r="AI159" s="25"/>
      <c r="AJ159" s="25"/>
      <c r="AK159" s="25"/>
      <c r="AL159" s="25"/>
      <c r="AM159" s="25"/>
      <c r="AN159" s="25"/>
      <c r="AO159" s="25"/>
      <c r="AP159" s="25"/>
      <c r="AQ159" s="25"/>
      <c r="AR159" s="25"/>
      <c r="AS159" s="25"/>
      <c r="AT159" s="25"/>
      <c r="AU159" s="25"/>
      <c r="AV159" s="25"/>
      <c r="AW159" s="25"/>
      <c r="AX159" s="25"/>
      <c r="AY159" s="25"/>
      <c r="AZ159" s="25"/>
      <c r="BA159" s="1"/>
    </row>
    <row r="160" spans="1:53" ht="26.45" customHeight="1">
      <c r="A160" s="4">
        <v>153</v>
      </c>
      <c r="B160" s="21" t="s">
        <v>88</v>
      </c>
      <c r="C160" s="3"/>
      <c r="D160" s="1"/>
      <c r="E160" s="2"/>
      <c r="F160" s="1"/>
      <c r="G160" s="26" t="s">
        <v>96</v>
      </c>
      <c r="H160" s="1"/>
      <c r="I160" s="22"/>
      <c r="J160" s="2"/>
      <c r="K160" s="23">
        <v>0</v>
      </c>
      <c r="L160" s="2"/>
      <c r="M160" s="23">
        <v>0</v>
      </c>
      <c r="N160" s="24">
        <v>0</v>
      </c>
      <c r="O160" s="2"/>
      <c r="P160" s="2"/>
      <c r="Q160" s="2"/>
      <c r="R160" s="25"/>
      <c r="S160" s="25"/>
      <c r="T160" s="25"/>
      <c r="U160" s="25"/>
      <c r="V160" s="25"/>
      <c r="W160" s="25"/>
      <c r="X160" s="25"/>
      <c r="Y160" s="25"/>
      <c r="Z160" s="25"/>
      <c r="AA160" s="25"/>
      <c r="AB160" s="25"/>
      <c r="AC160" s="25"/>
      <c r="AD160" s="25"/>
      <c r="AE160" s="25"/>
      <c r="AF160" s="25"/>
      <c r="AG160" s="25"/>
      <c r="AH160" s="25"/>
      <c r="AI160" s="25"/>
      <c r="AJ160" s="25"/>
      <c r="AK160" s="25"/>
      <c r="AL160" s="25"/>
      <c r="AM160" s="25"/>
      <c r="AN160" s="25"/>
      <c r="AO160" s="25"/>
      <c r="AP160" s="25"/>
      <c r="AQ160" s="25"/>
      <c r="AR160" s="25"/>
      <c r="AS160" s="25"/>
      <c r="AT160" s="25"/>
      <c r="AU160" s="25"/>
      <c r="AV160" s="25"/>
      <c r="AW160" s="25"/>
      <c r="AX160" s="25"/>
      <c r="AY160" s="25"/>
      <c r="AZ160" s="25"/>
      <c r="BA160" s="1"/>
    </row>
    <row r="161" spans="1:53">
      <c r="A161" s="4">
        <v>154</v>
      </c>
      <c r="B161" s="21" t="s">
        <v>88</v>
      </c>
      <c r="C161" s="3"/>
      <c r="D161" s="1"/>
      <c r="E161" s="2"/>
      <c r="F161" s="1"/>
      <c r="G161" s="26" t="s">
        <v>267</v>
      </c>
      <c r="H161" s="1"/>
      <c r="I161" s="22"/>
      <c r="J161" s="2"/>
      <c r="K161" s="23">
        <v>0</v>
      </c>
      <c r="L161" s="2"/>
      <c r="M161" s="23">
        <v>0</v>
      </c>
      <c r="N161" s="24">
        <v>0</v>
      </c>
      <c r="O161" s="2"/>
      <c r="P161" s="2"/>
      <c r="Q161" s="2"/>
      <c r="R161" s="25"/>
      <c r="S161" s="25"/>
      <c r="T161" s="25"/>
      <c r="U161" s="25"/>
      <c r="V161" s="25"/>
      <c r="W161" s="25"/>
      <c r="X161" s="25"/>
      <c r="Y161" s="25"/>
      <c r="Z161" s="25"/>
      <c r="AA161" s="25"/>
      <c r="AB161" s="25"/>
      <c r="AC161" s="25"/>
      <c r="AD161" s="25"/>
      <c r="AE161" s="25"/>
      <c r="AF161" s="25"/>
      <c r="AG161" s="25"/>
      <c r="AH161" s="25"/>
      <c r="AI161" s="25"/>
      <c r="AJ161" s="25"/>
      <c r="AK161" s="25"/>
      <c r="AL161" s="25"/>
      <c r="AM161" s="25"/>
      <c r="AN161" s="25"/>
      <c r="AO161" s="25"/>
      <c r="AP161" s="25"/>
      <c r="AQ161" s="25"/>
      <c r="AR161" s="25"/>
      <c r="AS161" s="25"/>
      <c r="AT161" s="25"/>
      <c r="AU161" s="25"/>
      <c r="AV161" s="25"/>
      <c r="AW161" s="25"/>
      <c r="AX161" s="25"/>
      <c r="AY161" s="25"/>
      <c r="AZ161" s="25"/>
      <c r="BA161" s="1"/>
    </row>
    <row r="162" spans="1:53" ht="39.6" customHeight="1">
      <c r="A162" s="4">
        <v>155</v>
      </c>
      <c r="B162" s="21" t="s">
        <v>88</v>
      </c>
      <c r="C162" s="3"/>
      <c r="D162" s="1"/>
      <c r="E162" s="2"/>
      <c r="F162" s="1"/>
      <c r="G162" s="26" t="s">
        <v>268</v>
      </c>
      <c r="H162" s="1"/>
      <c r="I162" s="22"/>
      <c r="J162" s="2"/>
      <c r="K162" s="23">
        <v>0</v>
      </c>
      <c r="L162" s="2"/>
      <c r="M162" s="23">
        <v>0</v>
      </c>
      <c r="N162" s="24">
        <v>0</v>
      </c>
      <c r="O162" s="2"/>
      <c r="P162" s="2"/>
      <c r="Q162" s="2"/>
      <c r="R162" s="25"/>
      <c r="S162" s="25"/>
      <c r="T162" s="25"/>
      <c r="U162" s="25"/>
      <c r="V162" s="25"/>
      <c r="W162" s="25"/>
      <c r="X162" s="25"/>
      <c r="Y162" s="25"/>
      <c r="Z162" s="25"/>
      <c r="AA162" s="25"/>
      <c r="AB162" s="25"/>
      <c r="AC162" s="25"/>
      <c r="AD162" s="25"/>
      <c r="AE162" s="25"/>
      <c r="AF162" s="25"/>
      <c r="AG162" s="25"/>
      <c r="AH162" s="25"/>
      <c r="AI162" s="25"/>
      <c r="AJ162" s="25"/>
      <c r="AK162" s="25"/>
      <c r="AL162" s="25"/>
      <c r="AM162" s="25"/>
      <c r="AN162" s="25"/>
      <c r="AO162" s="25"/>
      <c r="AP162" s="25"/>
      <c r="AQ162" s="25"/>
      <c r="AR162" s="25"/>
      <c r="AS162" s="25"/>
      <c r="AT162" s="25"/>
      <c r="AU162" s="25"/>
      <c r="AV162" s="25"/>
      <c r="AW162" s="25"/>
      <c r="AX162" s="25"/>
      <c r="AY162" s="25"/>
      <c r="AZ162" s="25"/>
      <c r="BA162" s="1"/>
    </row>
    <row r="163" spans="1:53" ht="39.6" customHeight="1">
      <c r="A163" s="4">
        <v>156</v>
      </c>
      <c r="B163" s="21" t="s">
        <v>88</v>
      </c>
      <c r="C163" s="3"/>
      <c r="D163" s="1"/>
      <c r="E163" s="2"/>
      <c r="F163" s="1"/>
      <c r="G163" s="26" t="s">
        <v>269</v>
      </c>
      <c r="H163" s="1"/>
      <c r="I163" s="22"/>
      <c r="J163" s="2"/>
      <c r="K163" s="23">
        <v>0</v>
      </c>
      <c r="L163" s="2"/>
      <c r="M163" s="23">
        <v>0</v>
      </c>
      <c r="N163" s="24">
        <v>0</v>
      </c>
      <c r="O163" s="2"/>
      <c r="P163" s="2"/>
      <c r="Q163" s="2"/>
      <c r="R163" s="25"/>
      <c r="S163" s="25"/>
      <c r="T163" s="25"/>
      <c r="U163" s="25"/>
      <c r="V163" s="25"/>
      <c r="W163" s="25"/>
      <c r="X163" s="25"/>
      <c r="Y163" s="25"/>
      <c r="Z163" s="25"/>
      <c r="AA163" s="25"/>
      <c r="AB163" s="25"/>
      <c r="AC163" s="25"/>
      <c r="AD163" s="25"/>
      <c r="AE163" s="25"/>
      <c r="AF163" s="25"/>
      <c r="AG163" s="25"/>
      <c r="AH163" s="25"/>
      <c r="AI163" s="25"/>
      <c r="AJ163" s="25"/>
      <c r="AK163" s="25"/>
      <c r="AL163" s="25"/>
      <c r="AM163" s="25"/>
      <c r="AN163" s="25"/>
      <c r="AO163" s="25"/>
      <c r="AP163" s="25"/>
      <c r="AQ163" s="25"/>
      <c r="AR163" s="25"/>
      <c r="AS163" s="25"/>
      <c r="AT163" s="25"/>
      <c r="AU163" s="25"/>
      <c r="AV163" s="25"/>
      <c r="AW163" s="25"/>
      <c r="AX163" s="25"/>
      <c r="AY163" s="25"/>
      <c r="AZ163" s="25"/>
      <c r="BA163" s="1"/>
    </row>
    <row r="164" spans="1:53" ht="26.45" customHeight="1">
      <c r="A164" s="4">
        <v>157</v>
      </c>
      <c r="B164" s="21" t="s">
        <v>88</v>
      </c>
      <c r="C164" s="3"/>
      <c r="D164" s="1"/>
      <c r="E164" s="2"/>
      <c r="F164" s="1"/>
      <c r="G164" s="26" t="s">
        <v>270</v>
      </c>
      <c r="H164" s="1"/>
      <c r="I164" s="22"/>
      <c r="J164" s="2"/>
      <c r="K164" s="23">
        <v>0</v>
      </c>
      <c r="L164" s="2"/>
      <c r="M164" s="23">
        <v>0</v>
      </c>
      <c r="N164" s="24">
        <v>0</v>
      </c>
      <c r="O164" s="2"/>
      <c r="P164" s="2"/>
      <c r="Q164" s="2"/>
      <c r="R164" s="25"/>
      <c r="S164" s="25"/>
      <c r="T164" s="25"/>
      <c r="U164" s="25"/>
      <c r="V164" s="25"/>
      <c r="W164" s="25"/>
      <c r="X164" s="25"/>
      <c r="Y164" s="25"/>
      <c r="Z164" s="25"/>
      <c r="AA164" s="25"/>
      <c r="AB164" s="25"/>
      <c r="AC164" s="25"/>
      <c r="AD164" s="25"/>
      <c r="AE164" s="25"/>
      <c r="AF164" s="25"/>
      <c r="AG164" s="25"/>
      <c r="AH164" s="25"/>
      <c r="AI164" s="25"/>
      <c r="AJ164" s="25"/>
      <c r="AK164" s="25"/>
      <c r="AL164" s="25"/>
      <c r="AM164" s="25"/>
      <c r="AN164" s="25"/>
      <c r="AO164" s="25"/>
      <c r="AP164" s="25"/>
      <c r="AQ164" s="25"/>
      <c r="AR164" s="25"/>
      <c r="AS164" s="25"/>
      <c r="AT164" s="25"/>
      <c r="AU164" s="25"/>
      <c r="AV164" s="25"/>
      <c r="AW164" s="25"/>
      <c r="AX164" s="25"/>
      <c r="AY164" s="25"/>
      <c r="AZ164" s="25"/>
      <c r="BA164" s="1"/>
    </row>
    <row r="165" spans="1:53">
      <c r="A165" s="4">
        <v>158</v>
      </c>
      <c r="B165" s="11" t="s">
        <v>88</v>
      </c>
      <c r="C165" s="12"/>
      <c r="D165" s="12" t="s">
        <v>292</v>
      </c>
      <c r="E165" s="13"/>
      <c r="F165" s="14"/>
      <c r="G165" s="15"/>
      <c r="H165" s="12" t="s">
        <v>293</v>
      </c>
      <c r="I165" s="18" t="s">
        <v>273</v>
      </c>
      <c r="J165" s="13" t="s">
        <v>294</v>
      </c>
      <c r="K165" s="10">
        <v>2</v>
      </c>
      <c r="L165" s="13" t="s">
        <v>256</v>
      </c>
      <c r="M165" s="10">
        <v>16</v>
      </c>
      <c r="N165" s="27">
        <v>0</v>
      </c>
      <c r="O165" s="13" t="s">
        <v>107</v>
      </c>
      <c r="P165" s="13" t="s">
        <v>295</v>
      </c>
      <c r="Q165" s="13" t="s">
        <v>109</v>
      </c>
      <c r="R165" s="17">
        <f>SUM(S165:AZ165)</f>
        <v>0</v>
      </c>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2"/>
    </row>
    <row r="166" spans="1:53">
      <c r="A166" s="4">
        <v>159</v>
      </c>
      <c r="B166" s="11" t="s">
        <v>88</v>
      </c>
      <c r="C166" s="12"/>
      <c r="D166" s="12" t="s">
        <v>296</v>
      </c>
      <c r="E166" s="13"/>
      <c r="F166" s="14"/>
      <c r="G166" s="15"/>
      <c r="H166" s="12" t="s">
        <v>297</v>
      </c>
      <c r="I166" s="18" t="s">
        <v>273</v>
      </c>
      <c r="J166" s="13" t="s">
        <v>294</v>
      </c>
      <c r="K166" s="10">
        <v>4</v>
      </c>
      <c r="L166" s="13" t="s">
        <v>256</v>
      </c>
      <c r="M166" s="10">
        <v>16</v>
      </c>
      <c r="N166" s="27">
        <v>0</v>
      </c>
      <c r="O166" s="13" t="s">
        <v>107</v>
      </c>
      <c r="P166" s="13" t="s">
        <v>298</v>
      </c>
      <c r="Q166" s="13" t="s">
        <v>109</v>
      </c>
      <c r="R166" s="17">
        <f>SUM(S166:AZ166)</f>
        <v>0</v>
      </c>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2"/>
    </row>
    <row r="167" spans="1:53">
      <c r="A167" s="4">
        <v>160</v>
      </c>
      <c r="B167" s="11" t="s">
        <v>88</v>
      </c>
      <c r="C167" s="12"/>
      <c r="D167" s="12" t="s">
        <v>299</v>
      </c>
      <c r="E167" s="13"/>
      <c r="F167" s="14"/>
      <c r="G167" s="15"/>
      <c r="H167" s="12" t="s">
        <v>300</v>
      </c>
      <c r="I167" s="18" t="s">
        <v>273</v>
      </c>
      <c r="J167" s="13" t="s">
        <v>294</v>
      </c>
      <c r="K167" s="10">
        <v>10</v>
      </c>
      <c r="L167" s="13" t="s">
        <v>256</v>
      </c>
      <c r="M167" s="10">
        <v>16</v>
      </c>
      <c r="N167" s="27">
        <v>0</v>
      </c>
      <c r="O167" s="13" t="s">
        <v>107</v>
      </c>
      <c r="P167" s="13" t="s">
        <v>301</v>
      </c>
      <c r="Q167" s="13" t="s">
        <v>109</v>
      </c>
      <c r="R167" s="17">
        <f>SUM(S167:AZ167)</f>
        <v>0</v>
      </c>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2"/>
    </row>
    <row r="168" spans="1:53">
      <c r="A168" s="4">
        <v>161</v>
      </c>
      <c r="B168" s="11" t="s">
        <v>88</v>
      </c>
      <c r="C168" s="12"/>
      <c r="D168" s="12" t="s">
        <v>302</v>
      </c>
      <c r="E168" s="13"/>
      <c r="F168" s="14"/>
      <c r="G168" s="15"/>
      <c r="H168" s="12" t="s">
        <v>303</v>
      </c>
      <c r="I168" s="18" t="s">
        <v>273</v>
      </c>
      <c r="J168" s="13" t="s">
        <v>294</v>
      </c>
      <c r="K168" s="10">
        <v>2</v>
      </c>
      <c r="L168" s="13" t="s">
        <v>256</v>
      </c>
      <c r="M168" s="10">
        <v>18</v>
      </c>
      <c r="N168" s="27">
        <v>0</v>
      </c>
      <c r="O168" s="13" t="s">
        <v>107</v>
      </c>
      <c r="P168" s="13" t="s">
        <v>304</v>
      </c>
      <c r="Q168" s="13" t="s">
        <v>109</v>
      </c>
      <c r="R168" s="17">
        <f>SUM(S168:AZ168)</f>
        <v>0</v>
      </c>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2"/>
    </row>
    <row r="169" spans="1:53">
      <c r="A169" s="4">
        <v>162</v>
      </c>
      <c r="B169" s="11" t="s">
        <v>88</v>
      </c>
      <c r="C169" s="12"/>
      <c r="D169" s="12" t="s">
        <v>305</v>
      </c>
      <c r="E169" s="13"/>
      <c r="F169" s="14"/>
      <c r="G169" s="15"/>
      <c r="H169" s="12" t="s">
        <v>306</v>
      </c>
      <c r="I169" s="18" t="s">
        <v>273</v>
      </c>
      <c r="J169" s="13" t="s">
        <v>294</v>
      </c>
      <c r="K169" s="10">
        <v>4</v>
      </c>
      <c r="L169" s="13" t="s">
        <v>256</v>
      </c>
      <c r="M169" s="10">
        <v>18</v>
      </c>
      <c r="N169" s="27">
        <v>0</v>
      </c>
      <c r="O169" s="13" t="s">
        <v>107</v>
      </c>
      <c r="P169" s="13" t="s">
        <v>307</v>
      </c>
      <c r="Q169" s="13" t="s">
        <v>109</v>
      </c>
      <c r="R169" s="17">
        <f>SUM(S169:AZ169)</f>
        <v>0</v>
      </c>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2"/>
    </row>
    <row r="170" spans="1:53" ht="26.45" customHeight="1">
      <c r="A170" s="4">
        <v>163</v>
      </c>
      <c r="B170" s="21" t="s">
        <v>88</v>
      </c>
      <c r="C170" s="3"/>
      <c r="D170" s="1"/>
      <c r="E170" s="2"/>
      <c r="F170" s="1"/>
      <c r="G170" s="26" t="s">
        <v>308</v>
      </c>
      <c r="H170" s="1"/>
      <c r="I170" s="22"/>
      <c r="J170" s="2"/>
      <c r="K170" s="23">
        <v>0</v>
      </c>
      <c r="L170" s="2"/>
      <c r="M170" s="23">
        <v>0</v>
      </c>
      <c r="N170" s="24">
        <v>0</v>
      </c>
      <c r="O170" s="2"/>
      <c r="P170" s="2"/>
      <c r="Q170" s="2"/>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25"/>
      <c r="AU170" s="25"/>
      <c r="AV170" s="25"/>
      <c r="AW170" s="25"/>
      <c r="AX170" s="25"/>
      <c r="AY170" s="25"/>
      <c r="AZ170" s="25"/>
      <c r="BA170" s="1"/>
    </row>
    <row r="171" spans="1:53">
      <c r="A171" s="4">
        <v>164</v>
      </c>
      <c r="B171" s="21" t="s">
        <v>88</v>
      </c>
      <c r="C171" s="3"/>
      <c r="D171" s="1"/>
      <c r="E171" s="2"/>
      <c r="F171" s="1"/>
      <c r="G171" s="26" t="s">
        <v>309</v>
      </c>
      <c r="H171" s="1"/>
      <c r="I171" s="22"/>
      <c r="J171" s="2"/>
      <c r="K171" s="23">
        <v>0</v>
      </c>
      <c r="L171" s="2"/>
      <c r="M171" s="23">
        <v>0</v>
      </c>
      <c r="N171" s="24">
        <v>0</v>
      </c>
      <c r="O171" s="2"/>
      <c r="P171" s="2"/>
      <c r="Q171" s="2"/>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25"/>
      <c r="AU171" s="25"/>
      <c r="AV171" s="25"/>
      <c r="AW171" s="25"/>
      <c r="AX171" s="25"/>
      <c r="AY171" s="25"/>
      <c r="AZ171" s="25"/>
      <c r="BA171" s="1"/>
    </row>
    <row r="172" spans="1:53" ht="26.45" customHeight="1">
      <c r="A172" s="4">
        <v>165</v>
      </c>
      <c r="B172" s="21" t="s">
        <v>88</v>
      </c>
      <c r="C172" s="3"/>
      <c r="D172" s="1"/>
      <c r="E172" s="2"/>
      <c r="F172" s="1"/>
      <c r="G172" s="26" t="s">
        <v>96</v>
      </c>
      <c r="H172" s="1"/>
      <c r="I172" s="22"/>
      <c r="J172" s="2"/>
      <c r="K172" s="23">
        <v>0</v>
      </c>
      <c r="L172" s="2"/>
      <c r="M172" s="23">
        <v>0</v>
      </c>
      <c r="N172" s="24">
        <v>0</v>
      </c>
      <c r="O172" s="2"/>
      <c r="P172" s="2"/>
      <c r="Q172" s="2"/>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c r="AP172" s="25"/>
      <c r="AQ172" s="25"/>
      <c r="AR172" s="25"/>
      <c r="AS172" s="25"/>
      <c r="AT172" s="25"/>
      <c r="AU172" s="25"/>
      <c r="AV172" s="25"/>
      <c r="AW172" s="25"/>
      <c r="AX172" s="25"/>
      <c r="AY172" s="25"/>
      <c r="AZ172" s="25"/>
      <c r="BA172" s="1"/>
    </row>
    <row r="173" spans="1:53">
      <c r="A173" s="4">
        <v>166</v>
      </c>
      <c r="B173" s="21" t="s">
        <v>88</v>
      </c>
      <c r="C173" s="3"/>
      <c r="D173" s="1"/>
      <c r="E173" s="2"/>
      <c r="F173" s="1"/>
      <c r="G173" s="26" t="s">
        <v>267</v>
      </c>
      <c r="H173" s="1"/>
      <c r="I173" s="22"/>
      <c r="J173" s="2"/>
      <c r="K173" s="23">
        <v>0</v>
      </c>
      <c r="L173" s="2"/>
      <c r="M173" s="23">
        <v>0</v>
      </c>
      <c r="N173" s="24">
        <v>0</v>
      </c>
      <c r="O173" s="2"/>
      <c r="P173" s="2"/>
      <c r="Q173" s="2"/>
      <c r="R173" s="25"/>
      <c r="S173" s="25"/>
      <c r="T173" s="25"/>
      <c r="U173" s="25"/>
      <c r="V173" s="25"/>
      <c r="W173" s="25"/>
      <c r="X173" s="25"/>
      <c r="Y173" s="25"/>
      <c r="Z173" s="25"/>
      <c r="AA173" s="25"/>
      <c r="AB173" s="25"/>
      <c r="AC173" s="25"/>
      <c r="AD173" s="25"/>
      <c r="AE173" s="25"/>
      <c r="AF173" s="25"/>
      <c r="AG173" s="25"/>
      <c r="AH173" s="25"/>
      <c r="AI173" s="25"/>
      <c r="AJ173" s="25"/>
      <c r="AK173" s="25"/>
      <c r="AL173" s="25"/>
      <c r="AM173" s="25"/>
      <c r="AN173" s="25"/>
      <c r="AO173" s="25"/>
      <c r="AP173" s="25"/>
      <c r="AQ173" s="25"/>
      <c r="AR173" s="25"/>
      <c r="AS173" s="25"/>
      <c r="AT173" s="25"/>
      <c r="AU173" s="25"/>
      <c r="AV173" s="25"/>
      <c r="AW173" s="25"/>
      <c r="AX173" s="25"/>
      <c r="AY173" s="25"/>
      <c r="AZ173" s="25"/>
      <c r="BA173" s="1"/>
    </row>
    <row r="174" spans="1:53" ht="39.6" customHeight="1">
      <c r="A174" s="4">
        <v>167</v>
      </c>
      <c r="B174" s="21" t="s">
        <v>88</v>
      </c>
      <c r="C174" s="3"/>
      <c r="D174" s="1"/>
      <c r="E174" s="2"/>
      <c r="F174" s="1"/>
      <c r="G174" s="26" t="s">
        <v>268</v>
      </c>
      <c r="H174" s="1"/>
      <c r="I174" s="22"/>
      <c r="J174" s="2"/>
      <c r="K174" s="23">
        <v>0</v>
      </c>
      <c r="L174" s="2"/>
      <c r="M174" s="23">
        <v>0</v>
      </c>
      <c r="N174" s="24">
        <v>0</v>
      </c>
      <c r="O174" s="2"/>
      <c r="P174" s="2"/>
      <c r="Q174" s="2"/>
      <c r="R174" s="25"/>
      <c r="S174" s="25"/>
      <c r="T174" s="25"/>
      <c r="U174" s="25"/>
      <c r="V174" s="25"/>
      <c r="W174" s="25"/>
      <c r="X174" s="25"/>
      <c r="Y174" s="25"/>
      <c r="Z174" s="25"/>
      <c r="AA174" s="25"/>
      <c r="AB174" s="25"/>
      <c r="AC174" s="25"/>
      <c r="AD174" s="25"/>
      <c r="AE174" s="25"/>
      <c r="AF174" s="25"/>
      <c r="AG174" s="25"/>
      <c r="AH174" s="25"/>
      <c r="AI174" s="25"/>
      <c r="AJ174" s="25"/>
      <c r="AK174" s="25"/>
      <c r="AL174" s="25"/>
      <c r="AM174" s="25"/>
      <c r="AN174" s="25"/>
      <c r="AO174" s="25"/>
      <c r="AP174" s="25"/>
      <c r="AQ174" s="25"/>
      <c r="AR174" s="25"/>
      <c r="AS174" s="25"/>
      <c r="AT174" s="25"/>
      <c r="AU174" s="25"/>
      <c r="AV174" s="25"/>
      <c r="AW174" s="25"/>
      <c r="AX174" s="25"/>
      <c r="AY174" s="25"/>
      <c r="AZ174" s="25"/>
      <c r="BA174" s="1"/>
    </row>
    <row r="175" spans="1:53" ht="39.6" customHeight="1">
      <c r="A175" s="4">
        <v>168</v>
      </c>
      <c r="B175" s="21" t="s">
        <v>88</v>
      </c>
      <c r="C175" s="3"/>
      <c r="D175" s="1"/>
      <c r="E175" s="2"/>
      <c r="F175" s="1"/>
      <c r="G175" s="26" t="s">
        <v>269</v>
      </c>
      <c r="H175" s="1"/>
      <c r="I175" s="22"/>
      <c r="J175" s="2"/>
      <c r="K175" s="23">
        <v>0</v>
      </c>
      <c r="L175" s="2"/>
      <c r="M175" s="23">
        <v>0</v>
      </c>
      <c r="N175" s="24">
        <v>0</v>
      </c>
      <c r="O175" s="2"/>
      <c r="P175" s="2"/>
      <c r="Q175" s="2"/>
      <c r="R175" s="25"/>
      <c r="S175" s="25"/>
      <c r="T175" s="25"/>
      <c r="U175" s="25"/>
      <c r="V175" s="25"/>
      <c r="W175" s="25"/>
      <c r="X175" s="25"/>
      <c r="Y175" s="25"/>
      <c r="Z175" s="25"/>
      <c r="AA175" s="25"/>
      <c r="AB175" s="25"/>
      <c r="AC175" s="25"/>
      <c r="AD175" s="25"/>
      <c r="AE175" s="25"/>
      <c r="AF175" s="25"/>
      <c r="AG175" s="25"/>
      <c r="AH175" s="25"/>
      <c r="AI175" s="25"/>
      <c r="AJ175" s="25"/>
      <c r="AK175" s="25"/>
      <c r="AL175" s="25"/>
      <c r="AM175" s="25"/>
      <c r="AN175" s="25"/>
      <c r="AO175" s="25"/>
      <c r="AP175" s="25"/>
      <c r="AQ175" s="25"/>
      <c r="AR175" s="25"/>
      <c r="AS175" s="25"/>
      <c r="AT175" s="25"/>
      <c r="AU175" s="25"/>
      <c r="AV175" s="25"/>
      <c r="AW175" s="25"/>
      <c r="AX175" s="25"/>
      <c r="AY175" s="25"/>
      <c r="AZ175" s="25"/>
      <c r="BA175" s="1"/>
    </row>
    <row r="176" spans="1:53">
      <c r="A176" s="4">
        <v>169</v>
      </c>
      <c r="B176" s="11" t="s">
        <v>88</v>
      </c>
      <c r="C176" s="12"/>
      <c r="D176" s="12" t="s">
        <v>310</v>
      </c>
      <c r="E176" s="13"/>
      <c r="F176" s="14"/>
      <c r="G176" s="15"/>
      <c r="H176" s="12" t="s">
        <v>272</v>
      </c>
      <c r="I176" s="18" t="s">
        <v>311</v>
      </c>
      <c r="J176" s="13" t="s">
        <v>312</v>
      </c>
      <c r="K176" s="10">
        <v>1</v>
      </c>
      <c r="L176" s="13" t="s">
        <v>256</v>
      </c>
      <c r="M176" s="10">
        <v>12</v>
      </c>
      <c r="N176" s="27">
        <v>0</v>
      </c>
      <c r="O176" s="13" t="s">
        <v>107</v>
      </c>
      <c r="P176" s="13" t="s">
        <v>313</v>
      </c>
      <c r="Q176" s="13" t="s">
        <v>109</v>
      </c>
      <c r="R176" s="17">
        <f>SUM(S176:AZ176)</f>
        <v>0</v>
      </c>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2"/>
    </row>
    <row r="177" spans="1:53">
      <c r="A177" s="4">
        <v>170</v>
      </c>
      <c r="B177" s="11" t="s">
        <v>88</v>
      </c>
      <c r="C177" s="12"/>
      <c r="D177" s="12" t="s">
        <v>314</v>
      </c>
      <c r="E177" s="13"/>
      <c r="F177" s="14"/>
      <c r="G177" s="15"/>
      <c r="H177" s="12" t="s">
        <v>279</v>
      </c>
      <c r="I177" s="18" t="s">
        <v>311</v>
      </c>
      <c r="J177" s="13" t="s">
        <v>312</v>
      </c>
      <c r="K177" s="10">
        <v>2</v>
      </c>
      <c r="L177" s="13" t="s">
        <v>256</v>
      </c>
      <c r="M177" s="10">
        <v>12</v>
      </c>
      <c r="N177" s="27">
        <v>0</v>
      </c>
      <c r="O177" s="13" t="s">
        <v>107</v>
      </c>
      <c r="P177" s="13" t="s">
        <v>315</v>
      </c>
      <c r="Q177" s="13" t="s">
        <v>109</v>
      </c>
      <c r="R177" s="17">
        <f>SUM(S177:AZ177)</f>
        <v>0</v>
      </c>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2"/>
    </row>
    <row r="178" spans="1:53">
      <c r="A178" s="4">
        <v>171</v>
      </c>
      <c r="B178" s="11" t="s">
        <v>88</v>
      </c>
      <c r="C178" s="12"/>
      <c r="D178" s="12" t="s">
        <v>316</v>
      </c>
      <c r="E178" s="13"/>
      <c r="F178" s="14"/>
      <c r="G178" s="15"/>
      <c r="H178" s="12" t="s">
        <v>293</v>
      </c>
      <c r="I178" s="18" t="s">
        <v>311</v>
      </c>
      <c r="J178" s="13" t="s">
        <v>312</v>
      </c>
      <c r="K178" s="10">
        <v>2</v>
      </c>
      <c r="L178" s="13" t="s">
        <v>256</v>
      </c>
      <c r="M178" s="10">
        <v>16</v>
      </c>
      <c r="N178" s="27">
        <v>0</v>
      </c>
      <c r="O178" s="13" t="s">
        <v>107</v>
      </c>
      <c r="P178" s="13" t="s">
        <v>317</v>
      </c>
      <c r="Q178" s="13" t="s">
        <v>109</v>
      </c>
      <c r="R178" s="17">
        <f>SUM(S178:AZ178)</f>
        <v>0</v>
      </c>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2"/>
    </row>
    <row r="179" spans="1:53">
      <c r="A179" s="4">
        <v>172</v>
      </c>
      <c r="B179" s="11" t="s">
        <v>88</v>
      </c>
      <c r="C179" s="12"/>
      <c r="D179" s="12" t="s">
        <v>318</v>
      </c>
      <c r="E179" s="13"/>
      <c r="F179" s="14"/>
      <c r="G179" s="15"/>
      <c r="H179" s="12" t="s">
        <v>297</v>
      </c>
      <c r="I179" s="18" t="s">
        <v>311</v>
      </c>
      <c r="J179" s="13" t="s">
        <v>312</v>
      </c>
      <c r="K179" s="10">
        <v>4</v>
      </c>
      <c r="L179" s="13" t="s">
        <v>256</v>
      </c>
      <c r="M179" s="10">
        <v>16</v>
      </c>
      <c r="N179" s="27">
        <v>0</v>
      </c>
      <c r="O179" s="13" t="s">
        <v>107</v>
      </c>
      <c r="P179" s="13" t="s">
        <v>319</v>
      </c>
      <c r="Q179" s="13" t="s">
        <v>109</v>
      </c>
      <c r="R179" s="17">
        <f>SUM(S179:AZ179)</f>
        <v>0</v>
      </c>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2"/>
    </row>
    <row r="180" spans="1:53">
      <c r="A180" s="4">
        <v>173</v>
      </c>
      <c r="B180" s="11" t="s">
        <v>88</v>
      </c>
      <c r="C180" s="12"/>
      <c r="D180" s="12" t="s">
        <v>320</v>
      </c>
      <c r="E180" s="13"/>
      <c r="F180" s="14"/>
      <c r="G180" s="15"/>
      <c r="H180" s="12" t="s">
        <v>321</v>
      </c>
      <c r="I180" s="18" t="s">
        <v>311</v>
      </c>
      <c r="J180" s="13" t="s">
        <v>312</v>
      </c>
      <c r="K180" s="10">
        <v>6</v>
      </c>
      <c r="L180" s="13" t="s">
        <v>256</v>
      </c>
      <c r="M180" s="10">
        <v>16</v>
      </c>
      <c r="N180" s="27">
        <v>0</v>
      </c>
      <c r="O180" s="13" t="s">
        <v>107</v>
      </c>
      <c r="P180" s="13" t="s">
        <v>322</v>
      </c>
      <c r="Q180" s="13" t="s">
        <v>109</v>
      </c>
      <c r="R180" s="17">
        <f>SUM(S180:AZ180)</f>
        <v>0</v>
      </c>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2"/>
    </row>
    <row r="181" spans="1:53">
      <c r="A181" s="4">
        <v>174</v>
      </c>
      <c r="B181" s="11" t="s">
        <v>88</v>
      </c>
      <c r="C181" s="12"/>
      <c r="D181" s="12" t="s">
        <v>323</v>
      </c>
      <c r="E181" s="13"/>
      <c r="F181" s="14"/>
      <c r="G181" s="15"/>
      <c r="H181" s="12" t="s">
        <v>324</v>
      </c>
      <c r="I181" s="18" t="s">
        <v>311</v>
      </c>
      <c r="J181" s="13" t="s">
        <v>312</v>
      </c>
      <c r="K181" s="10">
        <v>1</v>
      </c>
      <c r="L181" s="13" t="s">
        <v>256</v>
      </c>
      <c r="M181" s="10">
        <v>18</v>
      </c>
      <c r="N181" s="27">
        <v>0</v>
      </c>
      <c r="O181" s="13" t="s">
        <v>107</v>
      </c>
      <c r="P181" s="13" t="s">
        <v>325</v>
      </c>
      <c r="Q181" s="13" t="s">
        <v>109</v>
      </c>
      <c r="R181" s="17">
        <f>SUM(S181:AZ181)</f>
        <v>0</v>
      </c>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2"/>
    </row>
    <row r="182" spans="1:53">
      <c r="A182" s="4">
        <v>175</v>
      </c>
      <c r="B182" s="11" t="s">
        <v>88</v>
      </c>
      <c r="C182" s="12"/>
      <c r="D182" s="12" t="s">
        <v>326</v>
      </c>
      <c r="E182" s="13"/>
      <c r="F182" s="14"/>
      <c r="G182" s="15"/>
      <c r="H182" s="12" t="s">
        <v>303</v>
      </c>
      <c r="I182" s="18" t="s">
        <v>311</v>
      </c>
      <c r="J182" s="13" t="s">
        <v>312</v>
      </c>
      <c r="K182" s="10">
        <v>2</v>
      </c>
      <c r="L182" s="13" t="s">
        <v>256</v>
      </c>
      <c r="M182" s="10">
        <v>18</v>
      </c>
      <c r="N182" s="27">
        <v>0</v>
      </c>
      <c r="O182" s="13" t="s">
        <v>107</v>
      </c>
      <c r="P182" s="13" t="s">
        <v>327</v>
      </c>
      <c r="Q182" s="13" t="s">
        <v>109</v>
      </c>
      <c r="R182" s="17">
        <f>SUM(S182:AZ182)</f>
        <v>0</v>
      </c>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2"/>
    </row>
    <row r="183" spans="1:53">
      <c r="A183" s="4">
        <v>176</v>
      </c>
      <c r="B183" s="11" t="s">
        <v>88</v>
      </c>
      <c r="C183" s="12"/>
      <c r="D183" s="12" t="s">
        <v>328</v>
      </c>
      <c r="E183" s="13"/>
      <c r="F183" s="14"/>
      <c r="G183" s="15"/>
      <c r="H183" s="12" t="s">
        <v>306</v>
      </c>
      <c r="I183" s="18" t="s">
        <v>311</v>
      </c>
      <c r="J183" s="13" t="s">
        <v>312</v>
      </c>
      <c r="K183" s="10">
        <v>4</v>
      </c>
      <c r="L183" s="13" t="s">
        <v>256</v>
      </c>
      <c r="M183" s="10">
        <v>18</v>
      </c>
      <c r="N183" s="27">
        <v>0</v>
      </c>
      <c r="O183" s="13" t="s">
        <v>107</v>
      </c>
      <c r="P183" s="13" t="s">
        <v>329</v>
      </c>
      <c r="Q183" s="13" t="s">
        <v>109</v>
      </c>
      <c r="R183" s="17">
        <f>SUM(S183:AZ183)</f>
        <v>0</v>
      </c>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2"/>
    </row>
    <row r="184" spans="1:53">
      <c r="A184" s="4">
        <v>177</v>
      </c>
      <c r="B184" s="5" t="s">
        <v>88</v>
      </c>
      <c r="C184" s="6"/>
      <c r="D184" s="37" t="s">
        <v>330</v>
      </c>
      <c r="E184" s="50"/>
      <c r="F184" s="37" t="s">
        <v>331</v>
      </c>
      <c r="G184" s="53"/>
      <c r="H184" s="9"/>
      <c r="I184" s="7"/>
      <c r="J184" s="4"/>
      <c r="K184" s="19">
        <v>0</v>
      </c>
      <c r="L184" s="4"/>
      <c r="M184" s="19">
        <v>0</v>
      </c>
      <c r="N184" s="20">
        <v>0</v>
      </c>
      <c r="O184" s="4"/>
      <c r="P184" s="4"/>
      <c r="Q184" s="4"/>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9"/>
    </row>
    <row r="185" spans="1:53">
      <c r="A185" s="4">
        <v>178</v>
      </c>
      <c r="B185" s="21" t="s">
        <v>88</v>
      </c>
      <c r="C185" s="3"/>
      <c r="D185" s="1"/>
      <c r="E185" s="2"/>
      <c r="F185" s="1"/>
      <c r="G185" s="26" t="s">
        <v>332</v>
      </c>
      <c r="H185" s="1"/>
      <c r="I185" s="22"/>
      <c r="J185" s="2"/>
      <c r="K185" s="23">
        <v>0</v>
      </c>
      <c r="L185" s="2"/>
      <c r="M185" s="23">
        <v>0</v>
      </c>
      <c r="N185" s="24">
        <v>0</v>
      </c>
      <c r="O185" s="2"/>
      <c r="P185" s="2"/>
      <c r="Q185" s="2"/>
      <c r="R185" s="25"/>
      <c r="S185" s="25"/>
      <c r="T185" s="25"/>
      <c r="U185" s="25"/>
      <c r="V185" s="25"/>
      <c r="W185" s="25"/>
      <c r="X185" s="25"/>
      <c r="Y185" s="25"/>
      <c r="Z185" s="25"/>
      <c r="AA185" s="25"/>
      <c r="AB185" s="25"/>
      <c r="AC185" s="25"/>
      <c r="AD185" s="25"/>
      <c r="AE185" s="25"/>
      <c r="AF185" s="25"/>
      <c r="AG185" s="25"/>
      <c r="AH185" s="25"/>
      <c r="AI185" s="25"/>
      <c r="AJ185" s="25"/>
      <c r="AK185" s="25"/>
      <c r="AL185" s="25"/>
      <c r="AM185" s="25"/>
      <c r="AN185" s="25"/>
      <c r="AO185" s="25"/>
      <c r="AP185" s="25"/>
      <c r="AQ185" s="25"/>
      <c r="AR185" s="25"/>
      <c r="AS185" s="25"/>
      <c r="AT185" s="25"/>
      <c r="AU185" s="25"/>
      <c r="AV185" s="25"/>
      <c r="AW185" s="25"/>
      <c r="AX185" s="25"/>
      <c r="AY185" s="25"/>
      <c r="AZ185" s="25"/>
      <c r="BA185" s="1"/>
    </row>
    <row r="186" spans="1:53" ht="26.45" customHeight="1">
      <c r="A186" s="4">
        <v>179</v>
      </c>
      <c r="B186" s="21" t="s">
        <v>88</v>
      </c>
      <c r="C186" s="3"/>
      <c r="D186" s="1"/>
      <c r="E186" s="2"/>
      <c r="F186" s="1"/>
      <c r="G186" s="26" t="s">
        <v>333</v>
      </c>
      <c r="H186" s="1"/>
      <c r="I186" s="22"/>
      <c r="J186" s="2"/>
      <c r="K186" s="23">
        <v>0</v>
      </c>
      <c r="L186" s="2"/>
      <c r="M186" s="23">
        <v>0</v>
      </c>
      <c r="N186" s="24">
        <v>0</v>
      </c>
      <c r="O186" s="2"/>
      <c r="P186" s="2"/>
      <c r="Q186" s="2"/>
      <c r="R186" s="25"/>
      <c r="S186" s="25"/>
      <c r="T186" s="25"/>
      <c r="U186" s="25"/>
      <c r="V186" s="25"/>
      <c r="W186" s="25"/>
      <c r="X186" s="25"/>
      <c r="Y186" s="25"/>
      <c r="Z186" s="25"/>
      <c r="AA186" s="25"/>
      <c r="AB186" s="25"/>
      <c r="AC186" s="25"/>
      <c r="AD186" s="25"/>
      <c r="AE186" s="25"/>
      <c r="AF186" s="25"/>
      <c r="AG186" s="25"/>
      <c r="AH186" s="25"/>
      <c r="AI186" s="25"/>
      <c r="AJ186" s="25"/>
      <c r="AK186" s="25"/>
      <c r="AL186" s="25"/>
      <c r="AM186" s="25"/>
      <c r="AN186" s="25"/>
      <c r="AO186" s="25"/>
      <c r="AP186" s="25"/>
      <c r="AQ186" s="25"/>
      <c r="AR186" s="25"/>
      <c r="AS186" s="25"/>
      <c r="AT186" s="25"/>
      <c r="AU186" s="25"/>
      <c r="AV186" s="25"/>
      <c r="AW186" s="25"/>
      <c r="AX186" s="25"/>
      <c r="AY186" s="25"/>
      <c r="AZ186" s="25"/>
      <c r="BA186" s="1"/>
    </row>
    <row r="187" spans="1:53">
      <c r="A187" s="4">
        <v>180</v>
      </c>
      <c r="B187" s="21" t="s">
        <v>88</v>
      </c>
      <c r="C187" s="3"/>
      <c r="D187" s="1"/>
      <c r="E187" s="2"/>
      <c r="F187" s="1"/>
      <c r="G187" s="26" t="s">
        <v>334</v>
      </c>
      <c r="H187" s="1"/>
      <c r="I187" s="22"/>
      <c r="J187" s="2"/>
      <c r="K187" s="23">
        <v>0</v>
      </c>
      <c r="L187" s="2"/>
      <c r="M187" s="23">
        <v>0</v>
      </c>
      <c r="N187" s="24">
        <v>0</v>
      </c>
      <c r="O187" s="2"/>
      <c r="P187" s="2"/>
      <c r="Q187" s="2"/>
      <c r="R187" s="25"/>
      <c r="S187" s="25"/>
      <c r="T187" s="25"/>
      <c r="U187" s="25"/>
      <c r="V187" s="25"/>
      <c r="W187" s="25"/>
      <c r="X187" s="25"/>
      <c r="Y187" s="25"/>
      <c r="Z187" s="25"/>
      <c r="AA187" s="25"/>
      <c r="AB187" s="25"/>
      <c r="AC187" s="25"/>
      <c r="AD187" s="25"/>
      <c r="AE187" s="25"/>
      <c r="AF187" s="25"/>
      <c r="AG187" s="25"/>
      <c r="AH187" s="25"/>
      <c r="AI187" s="25"/>
      <c r="AJ187" s="25"/>
      <c r="AK187" s="25"/>
      <c r="AL187" s="25"/>
      <c r="AM187" s="25"/>
      <c r="AN187" s="25"/>
      <c r="AO187" s="25"/>
      <c r="AP187" s="25"/>
      <c r="AQ187" s="25"/>
      <c r="AR187" s="25"/>
      <c r="AS187" s="25"/>
      <c r="AT187" s="25"/>
      <c r="AU187" s="25"/>
      <c r="AV187" s="25"/>
      <c r="AW187" s="25"/>
      <c r="AX187" s="25"/>
      <c r="AY187" s="25"/>
      <c r="AZ187" s="25"/>
      <c r="BA187" s="1"/>
    </row>
    <row r="188" spans="1:53">
      <c r="A188" s="4">
        <v>181</v>
      </c>
      <c r="B188" s="21" t="s">
        <v>88</v>
      </c>
      <c r="C188" s="3"/>
      <c r="D188" s="1"/>
      <c r="E188" s="2"/>
      <c r="F188" s="1"/>
      <c r="G188" s="26" t="s">
        <v>335</v>
      </c>
      <c r="H188" s="1"/>
      <c r="I188" s="22"/>
      <c r="J188" s="2"/>
      <c r="K188" s="23">
        <v>0</v>
      </c>
      <c r="L188" s="2"/>
      <c r="M188" s="23">
        <v>0</v>
      </c>
      <c r="N188" s="24">
        <v>0</v>
      </c>
      <c r="O188" s="2"/>
      <c r="P188" s="2"/>
      <c r="Q188" s="2"/>
      <c r="R188" s="25"/>
      <c r="S188" s="25"/>
      <c r="T188" s="25"/>
      <c r="U188" s="25"/>
      <c r="V188" s="25"/>
      <c r="W188" s="25"/>
      <c r="X188" s="25"/>
      <c r="Y188" s="25"/>
      <c r="Z188" s="25"/>
      <c r="AA188" s="25"/>
      <c r="AB188" s="25"/>
      <c r="AC188" s="25"/>
      <c r="AD188" s="25"/>
      <c r="AE188" s="25"/>
      <c r="AF188" s="25"/>
      <c r="AG188" s="25"/>
      <c r="AH188" s="25"/>
      <c r="AI188" s="25"/>
      <c r="AJ188" s="25"/>
      <c r="AK188" s="25"/>
      <c r="AL188" s="25"/>
      <c r="AM188" s="25"/>
      <c r="AN188" s="25"/>
      <c r="AO188" s="25"/>
      <c r="AP188" s="25"/>
      <c r="AQ188" s="25"/>
      <c r="AR188" s="25"/>
      <c r="AS188" s="25"/>
      <c r="AT188" s="25"/>
      <c r="AU188" s="25"/>
      <c r="AV188" s="25"/>
      <c r="AW188" s="25"/>
      <c r="AX188" s="25"/>
      <c r="AY188" s="25"/>
      <c r="AZ188" s="25"/>
      <c r="BA188" s="1"/>
    </row>
    <row r="189" spans="1:53">
      <c r="A189" s="4">
        <v>182</v>
      </c>
      <c r="B189" s="21" t="s">
        <v>88</v>
      </c>
      <c r="C189" s="3"/>
      <c r="D189" s="1"/>
      <c r="E189" s="2"/>
      <c r="F189" s="1"/>
      <c r="G189" s="26" t="s">
        <v>336</v>
      </c>
      <c r="H189" s="1"/>
      <c r="I189" s="22"/>
      <c r="J189" s="2"/>
      <c r="K189" s="23">
        <v>0</v>
      </c>
      <c r="L189" s="2"/>
      <c r="M189" s="23">
        <v>0</v>
      </c>
      <c r="N189" s="24">
        <v>0</v>
      </c>
      <c r="O189" s="2"/>
      <c r="P189" s="2"/>
      <c r="Q189" s="2"/>
      <c r="R189" s="25"/>
      <c r="S189" s="25"/>
      <c r="T189" s="25"/>
      <c r="U189" s="25"/>
      <c r="V189" s="25"/>
      <c r="W189" s="25"/>
      <c r="X189" s="25"/>
      <c r="Y189" s="25"/>
      <c r="Z189" s="25"/>
      <c r="AA189" s="25"/>
      <c r="AB189" s="25"/>
      <c r="AC189" s="25"/>
      <c r="AD189" s="25"/>
      <c r="AE189" s="25"/>
      <c r="AF189" s="25"/>
      <c r="AG189" s="25"/>
      <c r="AH189" s="25"/>
      <c r="AI189" s="25"/>
      <c r="AJ189" s="25"/>
      <c r="AK189" s="25"/>
      <c r="AL189" s="25"/>
      <c r="AM189" s="25"/>
      <c r="AN189" s="25"/>
      <c r="AO189" s="25"/>
      <c r="AP189" s="25"/>
      <c r="AQ189" s="25"/>
      <c r="AR189" s="25"/>
      <c r="AS189" s="25"/>
      <c r="AT189" s="25"/>
      <c r="AU189" s="25"/>
      <c r="AV189" s="25"/>
      <c r="AW189" s="25"/>
      <c r="AX189" s="25"/>
      <c r="AY189" s="25"/>
      <c r="AZ189" s="25"/>
      <c r="BA189" s="1"/>
    </row>
    <row r="190" spans="1:53">
      <c r="A190" s="4">
        <v>183</v>
      </c>
      <c r="B190" s="21" t="s">
        <v>88</v>
      </c>
      <c r="C190" s="3"/>
      <c r="D190" s="1"/>
      <c r="E190" s="2"/>
      <c r="F190" s="1"/>
      <c r="G190" s="26" t="s">
        <v>337</v>
      </c>
      <c r="H190" s="1"/>
      <c r="I190" s="22"/>
      <c r="J190" s="2"/>
      <c r="K190" s="23">
        <v>0</v>
      </c>
      <c r="L190" s="2"/>
      <c r="M190" s="23">
        <v>0</v>
      </c>
      <c r="N190" s="24">
        <v>0</v>
      </c>
      <c r="O190" s="2"/>
      <c r="P190" s="2"/>
      <c r="Q190" s="2"/>
      <c r="R190" s="25"/>
      <c r="S190" s="25"/>
      <c r="T190" s="25"/>
      <c r="U190" s="25"/>
      <c r="V190" s="25"/>
      <c r="W190" s="25"/>
      <c r="X190" s="25"/>
      <c r="Y190" s="25"/>
      <c r="Z190" s="25"/>
      <c r="AA190" s="25"/>
      <c r="AB190" s="25"/>
      <c r="AC190" s="25"/>
      <c r="AD190" s="25"/>
      <c r="AE190" s="25"/>
      <c r="AF190" s="25"/>
      <c r="AG190" s="25"/>
      <c r="AH190" s="25"/>
      <c r="AI190" s="25"/>
      <c r="AJ190" s="25"/>
      <c r="AK190" s="25"/>
      <c r="AL190" s="25"/>
      <c r="AM190" s="25"/>
      <c r="AN190" s="25"/>
      <c r="AO190" s="25"/>
      <c r="AP190" s="25"/>
      <c r="AQ190" s="25"/>
      <c r="AR190" s="25"/>
      <c r="AS190" s="25"/>
      <c r="AT190" s="25"/>
      <c r="AU190" s="25"/>
      <c r="AV190" s="25"/>
      <c r="AW190" s="25"/>
      <c r="AX190" s="25"/>
      <c r="AY190" s="25"/>
      <c r="AZ190" s="25"/>
      <c r="BA190" s="1"/>
    </row>
    <row r="191" spans="1:53">
      <c r="A191" s="4">
        <v>184</v>
      </c>
      <c r="B191" s="21" t="s">
        <v>88</v>
      </c>
      <c r="C191" s="3"/>
      <c r="D191" s="1"/>
      <c r="E191" s="2"/>
      <c r="F191" s="1"/>
      <c r="G191" s="26" t="s">
        <v>338</v>
      </c>
      <c r="H191" s="1"/>
      <c r="I191" s="22"/>
      <c r="J191" s="2"/>
      <c r="K191" s="23">
        <v>0</v>
      </c>
      <c r="L191" s="2"/>
      <c r="M191" s="23">
        <v>0</v>
      </c>
      <c r="N191" s="24">
        <v>0</v>
      </c>
      <c r="O191" s="2"/>
      <c r="P191" s="2"/>
      <c r="Q191" s="2"/>
      <c r="R191" s="25"/>
      <c r="S191" s="25"/>
      <c r="T191" s="25"/>
      <c r="U191" s="25"/>
      <c r="V191" s="25"/>
      <c r="W191" s="25"/>
      <c r="X191" s="25"/>
      <c r="Y191" s="25"/>
      <c r="Z191" s="25"/>
      <c r="AA191" s="25"/>
      <c r="AB191" s="25"/>
      <c r="AC191" s="25"/>
      <c r="AD191" s="25"/>
      <c r="AE191" s="25"/>
      <c r="AF191" s="25"/>
      <c r="AG191" s="25"/>
      <c r="AH191" s="25"/>
      <c r="AI191" s="25"/>
      <c r="AJ191" s="25"/>
      <c r="AK191" s="25"/>
      <c r="AL191" s="25"/>
      <c r="AM191" s="25"/>
      <c r="AN191" s="25"/>
      <c r="AO191" s="25"/>
      <c r="AP191" s="25"/>
      <c r="AQ191" s="25"/>
      <c r="AR191" s="25"/>
      <c r="AS191" s="25"/>
      <c r="AT191" s="25"/>
      <c r="AU191" s="25"/>
      <c r="AV191" s="25"/>
      <c r="AW191" s="25"/>
      <c r="AX191" s="25"/>
      <c r="AY191" s="25"/>
      <c r="AZ191" s="25"/>
      <c r="BA191" s="1"/>
    </row>
    <row r="192" spans="1:53">
      <c r="A192" s="4">
        <v>185</v>
      </c>
      <c r="B192" s="11" t="s">
        <v>88</v>
      </c>
      <c r="C192" s="12"/>
      <c r="D192" s="12" t="s">
        <v>339</v>
      </c>
      <c r="E192" s="13"/>
      <c r="F192" s="14"/>
      <c r="G192" s="15"/>
      <c r="H192" s="12" t="s">
        <v>340</v>
      </c>
      <c r="I192" s="18" t="s">
        <v>311</v>
      </c>
      <c r="J192" s="13" t="s">
        <v>341</v>
      </c>
      <c r="K192" s="10">
        <v>100</v>
      </c>
      <c r="L192" s="13" t="s">
        <v>256</v>
      </c>
      <c r="M192" s="10">
        <v>22</v>
      </c>
      <c r="N192" s="27">
        <v>0</v>
      </c>
      <c r="O192" s="13" t="s">
        <v>107</v>
      </c>
      <c r="P192" s="13" t="s">
        <v>342</v>
      </c>
      <c r="Q192" s="13" t="s">
        <v>109</v>
      </c>
      <c r="R192" s="17">
        <f>SUM(S192:AZ192)</f>
        <v>0</v>
      </c>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2"/>
    </row>
    <row r="193" spans="1:53">
      <c r="A193" s="4">
        <v>186</v>
      </c>
      <c r="B193" s="5" t="s">
        <v>88</v>
      </c>
      <c r="C193" s="6"/>
      <c r="D193" s="37" t="s">
        <v>343</v>
      </c>
      <c r="E193" s="50"/>
      <c r="F193" s="37" t="s">
        <v>344</v>
      </c>
      <c r="G193" s="53"/>
      <c r="H193" s="9"/>
      <c r="I193" s="7"/>
      <c r="J193" s="4"/>
      <c r="K193" s="19">
        <v>0</v>
      </c>
      <c r="L193" s="4"/>
      <c r="M193" s="19">
        <v>0</v>
      </c>
      <c r="N193" s="20">
        <v>0</v>
      </c>
      <c r="O193" s="4"/>
      <c r="P193" s="4"/>
      <c r="Q193" s="4"/>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9"/>
    </row>
    <row r="194" spans="1:53">
      <c r="A194" s="4">
        <v>187</v>
      </c>
      <c r="B194" s="11" t="s">
        <v>88</v>
      </c>
      <c r="C194" s="12"/>
      <c r="D194" s="12" t="s">
        <v>345</v>
      </c>
      <c r="E194" s="13"/>
      <c r="F194" s="14"/>
      <c r="G194" s="15"/>
      <c r="H194" s="12" t="s">
        <v>306</v>
      </c>
      <c r="I194" s="15"/>
      <c r="J194" s="10"/>
      <c r="K194" s="10">
        <v>4</v>
      </c>
      <c r="L194" s="13" t="s">
        <v>256</v>
      </c>
      <c r="M194" s="10">
        <v>18</v>
      </c>
      <c r="N194" s="27">
        <v>0</v>
      </c>
      <c r="O194" s="13" t="s">
        <v>107</v>
      </c>
      <c r="P194" s="10"/>
      <c r="Q194" s="13" t="s">
        <v>109</v>
      </c>
      <c r="R194" s="17">
        <f>SUM(S194:AZ194)</f>
        <v>0</v>
      </c>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4"/>
    </row>
    <row r="195" spans="1:53">
      <c r="A195" s="4">
        <v>188</v>
      </c>
      <c r="B195" s="11" t="s">
        <v>88</v>
      </c>
      <c r="C195" s="12"/>
      <c r="D195" s="12" t="s">
        <v>346</v>
      </c>
      <c r="E195" s="13"/>
      <c r="F195" s="14"/>
      <c r="G195" s="15"/>
      <c r="H195" s="12" t="s">
        <v>347</v>
      </c>
      <c r="I195" s="15"/>
      <c r="J195" s="10"/>
      <c r="K195" s="10">
        <v>2</v>
      </c>
      <c r="L195" s="13" t="s">
        <v>256</v>
      </c>
      <c r="M195" s="10">
        <v>22</v>
      </c>
      <c r="N195" s="27">
        <v>0</v>
      </c>
      <c r="O195" s="13" t="s">
        <v>107</v>
      </c>
      <c r="P195" s="10"/>
      <c r="Q195" s="13" t="s">
        <v>109</v>
      </c>
      <c r="R195" s="17">
        <f>SUM(S195:AZ195)</f>
        <v>0</v>
      </c>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4"/>
    </row>
    <row r="196" spans="1:53">
      <c r="A196" s="4">
        <v>189</v>
      </c>
      <c r="B196" s="11" t="s">
        <v>88</v>
      </c>
      <c r="C196" s="12"/>
      <c r="D196" s="12" t="s">
        <v>348</v>
      </c>
      <c r="E196" s="13"/>
      <c r="F196" s="14"/>
      <c r="G196" s="15"/>
      <c r="H196" s="12" t="s">
        <v>347</v>
      </c>
      <c r="I196" s="18" t="s">
        <v>311</v>
      </c>
      <c r="J196" s="10"/>
      <c r="K196" s="10">
        <v>2</v>
      </c>
      <c r="L196" s="13" t="s">
        <v>256</v>
      </c>
      <c r="M196" s="10">
        <v>22</v>
      </c>
      <c r="N196" s="27">
        <v>0</v>
      </c>
      <c r="O196" s="13" t="s">
        <v>107</v>
      </c>
      <c r="P196" s="10"/>
      <c r="Q196" s="13" t="s">
        <v>109</v>
      </c>
      <c r="R196" s="17">
        <f>SUM(S196:AZ196)</f>
        <v>0</v>
      </c>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4"/>
    </row>
  </sheetData>
  <autoFilter ref="A5:AS196" xr:uid="{00000000-0009-0000-0000-000001000000}"/>
  <mergeCells count="7">
    <mergeCell ref="A1:BA1"/>
    <mergeCell ref="AF3:AZ3"/>
    <mergeCell ref="Q3:Q5"/>
    <mergeCell ref="A2:BA2"/>
    <mergeCell ref="BA3:BA5"/>
    <mergeCell ref="S3:AE3"/>
    <mergeCell ref="R3:R5"/>
  </mergeCells>
  <pageMargins left="1" right="1" top="1" bottom="1" header="0.3" footer="0.3"/>
  <pageSetup paperSize="0" orientation="portrait"/>
  <headerFooter>
    <oddHeader>&amp;L&amp;"Aptos"&amp;8&amp;K000000 대외비(Restricted)&amp;1#_x000D_&amp;"Calibri"&amp;11&amp;K000000&amp;"Calibri"&amp;1 &amp;K000000 대외비(Restricted)#_x000D_</oddHead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AY181"/>
  <sheetViews>
    <sheetView zoomScale="55" zoomScaleNormal="55" workbookViewId="0">
      <pane xSplit="14" ySplit="5" topLeftCell="AF6" activePane="bottomRight" state="frozen"/>
      <selection pane="bottomRight" activeCell="G14" sqref="G14"/>
      <selection pane="bottomLeft" activeCell="A6" sqref="A6"/>
      <selection pane="topRight" activeCell="P1" sqref="P1"/>
    </sheetView>
  </sheetViews>
  <sheetFormatPr defaultRowHeight="14.45" outlineLevelCol="1"/>
  <cols>
    <col min="1" max="1" width="5.7109375" customWidth="1"/>
    <col min="2" max="2" width="11.28515625" customWidth="1"/>
    <col min="3" max="3" width="21.28515625" customWidth="1"/>
    <col min="4" max="4" width="8.7109375" customWidth="1"/>
    <col min="5" max="5" width="14.28515625" hidden="1" customWidth="1" outlineLevel="1"/>
    <col min="6" max="6" width="32.28515625" bestFit="1" customWidth="1" collapsed="1"/>
    <col min="7" max="7" width="36.140625" bestFit="1" customWidth="1"/>
    <col min="8" max="8" width="38" bestFit="1" customWidth="1"/>
    <col min="9" max="9" width="28.7109375" customWidth="1"/>
    <col min="10" max="14" width="14.28515625" hidden="1" customWidth="1" outlineLevel="1"/>
    <col min="15" max="15" width="8.7109375" customWidth="1" collapsed="1"/>
    <col min="16" max="16" width="11.28515625" customWidth="1"/>
    <col min="17" max="34" width="13" customWidth="1"/>
    <col min="35" max="35" width="13" customWidth="1" collapsed="1"/>
    <col min="36" max="50" width="13" customWidth="1"/>
    <col min="51" max="51" width="21.28515625" customWidth="1"/>
  </cols>
  <sheetData>
    <row r="1" spans="1:51" ht="18.75" customHeight="1">
      <c r="A1" s="109" t="s">
        <v>7</v>
      </c>
      <c r="B1" s="117"/>
      <c r="C1" s="117"/>
      <c r="D1" s="117"/>
      <c r="E1" s="117"/>
      <c r="F1" s="117"/>
      <c r="G1" s="117"/>
      <c r="H1" s="117"/>
      <c r="I1" s="117"/>
      <c r="J1" s="117"/>
      <c r="K1" s="117"/>
      <c r="L1" s="117"/>
      <c r="M1" s="117"/>
      <c r="N1" s="117"/>
      <c r="O1" s="117"/>
      <c r="P1" s="117"/>
      <c r="Q1" s="117"/>
      <c r="R1" s="117"/>
      <c r="S1" s="117"/>
      <c r="T1" s="117"/>
      <c r="U1" s="117"/>
      <c r="V1" s="117"/>
      <c r="W1" s="117"/>
      <c r="X1" s="117"/>
      <c r="Y1" s="117"/>
      <c r="Z1" s="117"/>
      <c r="AA1" s="117"/>
      <c r="AB1" s="117"/>
      <c r="AC1" s="117"/>
      <c r="AD1" s="117"/>
      <c r="AE1" s="117"/>
      <c r="AF1" s="117"/>
      <c r="AG1" s="117"/>
      <c r="AH1" s="117"/>
      <c r="AI1" s="117"/>
      <c r="AJ1" s="117"/>
      <c r="AK1" s="117"/>
      <c r="AL1" s="117"/>
      <c r="AM1" s="117"/>
      <c r="AN1" s="117"/>
      <c r="AO1" s="117"/>
      <c r="AP1" s="117"/>
      <c r="AQ1" s="117"/>
      <c r="AR1" s="117"/>
      <c r="AS1" s="117"/>
      <c r="AT1" s="117"/>
      <c r="AU1" s="117"/>
      <c r="AV1" s="117"/>
      <c r="AW1" s="117"/>
      <c r="AX1" s="117"/>
      <c r="AY1" s="117"/>
    </row>
    <row r="2" spans="1:51" ht="13.5" customHeight="1">
      <c r="A2" s="110" t="s">
        <v>8</v>
      </c>
      <c r="B2" s="118"/>
      <c r="C2" s="118"/>
      <c r="D2" s="118"/>
      <c r="E2" s="118"/>
      <c r="F2" s="118"/>
      <c r="G2" s="118"/>
      <c r="H2" s="118"/>
      <c r="I2" s="118"/>
      <c r="J2" s="118"/>
      <c r="K2" s="118"/>
      <c r="L2" s="118"/>
      <c r="M2" s="118"/>
      <c r="N2" s="118"/>
      <c r="O2" s="118"/>
      <c r="P2" s="118"/>
      <c r="Q2" s="118"/>
      <c r="R2" s="118"/>
      <c r="S2" s="118"/>
      <c r="T2" s="118"/>
      <c r="U2" s="118"/>
      <c r="V2" s="118"/>
      <c r="W2" s="118"/>
      <c r="X2" s="118"/>
      <c r="Y2" s="118"/>
      <c r="Z2" s="118"/>
      <c r="AA2" s="118"/>
      <c r="AB2" s="118"/>
      <c r="AC2" s="118"/>
      <c r="AD2" s="118"/>
      <c r="AE2" s="118"/>
      <c r="AF2" s="118"/>
      <c r="AG2" s="118"/>
      <c r="AH2" s="118"/>
      <c r="AI2" s="118"/>
      <c r="AJ2" s="118"/>
      <c r="AK2" s="118"/>
      <c r="AL2" s="118"/>
      <c r="AM2" s="118"/>
      <c r="AN2" s="118"/>
      <c r="AO2" s="118"/>
      <c r="AP2" s="118"/>
      <c r="AQ2" s="118"/>
      <c r="AR2" s="118"/>
      <c r="AS2" s="118"/>
      <c r="AT2" s="118"/>
      <c r="AU2" s="118"/>
      <c r="AV2" s="118"/>
      <c r="AW2" s="118"/>
      <c r="AX2" s="118"/>
      <c r="AY2" s="118"/>
    </row>
    <row r="3" spans="1:51" ht="23.25" customHeight="1">
      <c r="A3" s="102" t="s">
        <v>9</v>
      </c>
      <c r="B3" s="102" t="s">
        <v>10</v>
      </c>
      <c r="C3" s="102" t="s">
        <v>11</v>
      </c>
      <c r="D3" s="102" t="s">
        <v>12</v>
      </c>
      <c r="E3" s="102" t="s">
        <v>13</v>
      </c>
      <c r="F3" s="102" t="s">
        <v>14</v>
      </c>
      <c r="G3" s="102" t="s">
        <v>15</v>
      </c>
      <c r="I3" s="102" t="s">
        <v>16</v>
      </c>
      <c r="J3" s="102" t="s">
        <v>17</v>
      </c>
      <c r="K3" s="102" t="s">
        <v>349</v>
      </c>
      <c r="L3" s="102" t="s">
        <v>350</v>
      </c>
      <c r="M3" s="102" t="s">
        <v>351</v>
      </c>
      <c r="N3" s="102" t="s">
        <v>23</v>
      </c>
      <c r="O3" s="107" t="s">
        <v>24</v>
      </c>
      <c r="P3" s="107" t="s">
        <v>25</v>
      </c>
      <c r="Q3" s="108" t="s">
        <v>26</v>
      </c>
      <c r="R3" s="119"/>
      <c r="S3" s="119"/>
      <c r="T3" s="119"/>
      <c r="U3" s="119"/>
      <c r="V3" s="119"/>
      <c r="W3" s="119"/>
      <c r="X3" s="119"/>
      <c r="Y3" s="119"/>
      <c r="Z3" s="119"/>
      <c r="AA3" s="119"/>
      <c r="AB3" s="119"/>
      <c r="AC3" s="120"/>
      <c r="AD3" s="108" t="s">
        <v>27</v>
      </c>
      <c r="AE3" s="119"/>
      <c r="AF3" s="119"/>
      <c r="AG3" s="119"/>
      <c r="AH3" s="119"/>
      <c r="AI3" s="119"/>
      <c r="AJ3" s="119"/>
      <c r="AK3" s="119"/>
      <c r="AL3" s="119"/>
      <c r="AM3" s="119"/>
      <c r="AN3" s="119"/>
      <c r="AO3" s="119"/>
      <c r="AP3" s="119"/>
      <c r="AQ3" s="119"/>
      <c r="AR3" s="119"/>
      <c r="AS3" s="119"/>
      <c r="AT3" s="119"/>
      <c r="AU3" s="119"/>
      <c r="AV3" s="119"/>
      <c r="AW3" s="119"/>
      <c r="AX3" s="120"/>
      <c r="AY3" s="107" t="s">
        <v>28</v>
      </c>
    </row>
    <row r="4" spans="1:51" ht="23.25" customHeight="1">
      <c r="G4" s="102" t="s">
        <v>29</v>
      </c>
      <c r="H4" s="102" t="s">
        <v>30</v>
      </c>
      <c r="O4" s="121"/>
      <c r="P4" s="121"/>
      <c r="Q4" s="101" t="s">
        <v>31</v>
      </c>
      <c r="R4" s="101" t="s">
        <v>32</v>
      </c>
      <c r="S4" s="101" t="s">
        <v>33</v>
      </c>
      <c r="T4" s="101" t="s">
        <v>34</v>
      </c>
      <c r="U4" s="101" t="s">
        <v>35</v>
      </c>
      <c r="V4" s="101" t="s">
        <v>36</v>
      </c>
      <c r="W4" s="102" t="s">
        <v>37</v>
      </c>
      <c r="X4" s="102" t="s">
        <v>38</v>
      </c>
      <c r="Y4" s="101" t="s">
        <v>39</v>
      </c>
      <c r="Z4" s="101" t="s">
        <v>40</v>
      </c>
      <c r="AA4" s="102" t="s">
        <v>41</v>
      </c>
      <c r="AB4" s="101" t="s">
        <v>42</v>
      </c>
      <c r="AC4" s="101" t="s">
        <v>43</v>
      </c>
      <c r="AD4" s="102" t="s">
        <v>44</v>
      </c>
      <c r="AE4" s="102" t="s">
        <v>45</v>
      </c>
      <c r="AF4" s="101" t="s">
        <v>46</v>
      </c>
      <c r="AG4" s="102" t="s">
        <v>47</v>
      </c>
      <c r="AH4" s="102" t="s">
        <v>48</v>
      </c>
      <c r="AI4" s="101" t="s">
        <v>49</v>
      </c>
      <c r="AJ4" s="101" t="s">
        <v>50</v>
      </c>
      <c r="AK4" s="101" t="s">
        <v>51</v>
      </c>
      <c r="AL4" s="101" t="s">
        <v>52</v>
      </c>
      <c r="AM4" s="101" t="s">
        <v>53</v>
      </c>
      <c r="AN4" s="101" t="s">
        <v>54</v>
      </c>
      <c r="AO4" s="101" t="s">
        <v>55</v>
      </c>
      <c r="AP4" s="101" t="s">
        <v>56</v>
      </c>
      <c r="AQ4" s="101" t="s">
        <v>57</v>
      </c>
      <c r="AR4" s="101" t="s">
        <v>58</v>
      </c>
      <c r="AS4" s="101" t="s">
        <v>59</v>
      </c>
      <c r="AT4" s="101" t="s">
        <v>60</v>
      </c>
      <c r="AU4" s="101" t="s">
        <v>61</v>
      </c>
      <c r="AV4" s="101" t="s">
        <v>62</v>
      </c>
      <c r="AW4" s="101" t="s">
        <v>63</v>
      </c>
      <c r="AX4" s="103" t="s">
        <v>64</v>
      </c>
      <c r="AY4" s="121"/>
    </row>
    <row r="5" spans="1:51" ht="23.25" customHeight="1">
      <c r="O5" s="122"/>
      <c r="P5" s="122"/>
      <c r="Q5" s="102" t="s">
        <v>65</v>
      </c>
      <c r="R5" s="102" t="s">
        <v>65</v>
      </c>
      <c r="S5" s="102" t="s">
        <v>66</v>
      </c>
      <c r="T5" s="101" t="s">
        <v>66</v>
      </c>
      <c r="U5" s="101" t="s">
        <v>66</v>
      </c>
      <c r="V5" s="101" t="s">
        <v>66</v>
      </c>
      <c r="W5" s="101" t="s">
        <v>67</v>
      </c>
      <c r="X5" s="102" t="s">
        <v>68</v>
      </c>
      <c r="Y5" s="101" t="s">
        <v>69</v>
      </c>
      <c r="Z5" s="101" t="s">
        <v>70</v>
      </c>
      <c r="AA5" s="101" t="s">
        <v>71</v>
      </c>
      <c r="AB5" s="101" t="s">
        <v>72</v>
      </c>
      <c r="AC5" s="101" t="s">
        <v>73</v>
      </c>
      <c r="AD5" s="102" t="s">
        <v>74</v>
      </c>
      <c r="AE5" s="102" t="s">
        <v>75</v>
      </c>
      <c r="AF5" s="101" t="s">
        <v>76</v>
      </c>
      <c r="AG5" s="102" t="s">
        <v>77</v>
      </c>
      <c r="AH5" s="102" t="s">
        <v>78</v>
      </c>
      <c r="AI5" s="101" t="s">
        <v>79</v>
      </c>
      <c r="AJ5" s="101" t="s">
        <v>80</v>
      </c>
      <c r="AK5" s="101" t="s">
        <v>81</v>
      </c>
      <c r="AL5" s="101" t="s">
        <v>82</v>
      </c>
      <c r="AM5" s="101" t="s">
        <v>83</v>
      </c>
      <c r="AN5" s="101" t="s">
        <v>84</v>
      </c>
      <c r="AO5" s="101" t="s">
        <v>72</v>
      </c>
      <c r="AP5" s="101" t="s">
        <v>85</v>
      </c>
      <c r="AQ5" s="101" t="s">
        <v>86</v>
      </c>
      <c r="AR5" s="101" t="s">
        <v>87</v>
      </c>
      <c r="AS5" s="101" t="s">
        <v>86</v>
      </c>
      <c r="AT5" s="101" t="s">
        <v>87</v>
      </c>
      <c r="AU5" s="101" t="s">
        <v>87</v>
      </c>
      <c r="AV5" s="101" t="s">
        <v>86</v>
      </c>
      <c r="AW5" s="101" t="s">
        <v>87</v>
      </c>
      <c r="AX5" s="101" t="s">
        <v>87</v>
      </c>
      <c r="AY5" s="122"/>
    </row>
    <row r="6" spans="1:51">
      <c r="A6" s="4">
        <v>1</v>
      </c>
      <c r="B6" s="5" t="s">
        <v>88</v>
      </c>
      <c r="C6" s="6"/>
      <c r="D6" s="37" t="s">
        <v>352</v>
      </c>
      <c r="E6" s="50"/>
      <c r="F6" s="51" t="s">
        <v>353</v>
      </c>
      <c r="G6" s="4"/>
      <c r="H6" s="4"/>
      <c r="I6" s="7"/>
      <c r="J6" s="4"/>
      <c r="K6" s="19">
        <v>0</v>
      </c>
      <c r="L6" s="19">
        <v>0</v>
      </c>
      <c r="M6" s="4"/>
      <c r="N6" s="4"/>
      <c r="O6" s="4"/>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9"/>
    </row>
    <row r="7" spans="1:51">
      <c r="A7" s="2">
        <v>2</v>
      </c>
      <c r="B7" s="21" t="s">
        <v>88</v>
      </c>
      <c r="C7" s="3"/>
      <c r="D7" s="1"/>
      <c r="E7" s="2"/>
      <c r="F7" s="48" t="s">
        <v>354</v>
      </c>
      <c r="G7" s="49" t="s">
        <v>354</v>
      </c>
      <c r="H7" s="2"/>
      <c r="I7" s="22"/>
      <c r="J7" s="2"/>
      <c r="K7" s="23">
        <v>0</v>
      </c>
      <c r="L7" s="23">
        <v>0</v>
      </c>
      <c r="M7" s="2"/>
      <c r="N7" s="2"/>
      <c r="O7" s="2"/>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1"/>
    </row>
    <row r="8" spans="1:51" ht="39.6" customHeight="1">
      <c r="A8" s="4">
        <v>3</v>
      </c>
      <c r="B8" s="21" t="s">
        <v>88</v>
      </c>
      <c r="C8" s="3"/>
      <c r="D8" s="1"/>
      <c r="E8" s="2"/>
      <c r="F8" s="1"/>
      <c r="G8" s="26" t="s">
        <v>355</v>
      </c>
      <c r="H8" s="2"/>
      <c r="I8" s="22"/>
      <c r="J8" s="2"/>
      <c r="K8" s="23">
        <v>0</v>
      </c>
      <c r="L8" s="23">
        <v>0</v>
      </c>
      <c r="M8" s="2"/>
      <c r="N8" s="2"/>
      <c r="O8" s="2"/>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1"/>
    </row>
    <row r="9" spans="1:51" ht="26.45" customHeight="1">
      <c r="A9" s="2">
        <v>4</v>
      </c>
      <c r="B9" s="21" t="s">
        <v>88</v>
      </c>
      <c r="C9" s="3"/>
      <c r="D9" s="1"/>
      <c r="E9" s="2"/>
      <c r="F9" s="1"/>
      <c r="G9" s="26" t="s">
        <v>356</v>
      </c>
      <c r="H9" s="2"/>
      <c r="I9" s="22"/>
      <c r="J9" s="2"/>
      <c r="K9" s="23">
        <v>0</v>
      </c>
      <c r="L9" s="23">
        <v>0</v>
      </c>
      <c r="M9" s="2"/>
      <c r="N9" s="2"/>
      <c r="O9" s="2"/>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1"/>
    </row>
    <row r="10" spans="1:51" ht="26.45" customHeight="1">
      <c r="A10" s="4">
        <v>5</v>
      </c>
      <c r="B10" s="21" t="s">
        <v>88</v>
      </c>
      <c r="C10" s="3"/>
      <c r="D10" s="1"/>
      <c r="E10" s="2"/>
      <c r="F10" s="1"/>
      <c r="G10" s="26" t="s">
        <v>357</v>
      </c>
      <c r="H10" s="2"/>
      <c r="I10" s="22"/>
      <c r="J10" s="2"/>
      <c r="K10" s="23">
        <v>0</v>
      </c>
      <c r="L10" s="23">
        <v>0</v>
      </c>
      <c r="M10" s="2"/>
      <c r="N10" s="2"/>
      <c r="O10" s="2"/>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1"/>
    </row>
    <row r="11" spans="1:51" ht="26.45" customHeight="1">
      <c r="A11" s="2">
        <v>6</v>
      </c>
      <c r="B11" s="21" t="s">
        <v>88</v>
      </c>
      <c r="C11" s="3"/>
      <c r="D11" s="1"/>
      <c r="E11" s="2"/>
      <c r="F11" s="1"/>
      <c r="G11" s="26" t="s">
        <v>358</v>
      </c>
      <c r="H11" s="2"/>
      <c r="I11" s="22"/>
      <c r="J11" s="2"/>
      <c r="K11" s="23">
        <v>0</v>
      </c>
      <c r="L11" s="23">
        <v>0</v>
      </c>
      <c r="M11" s="2"/>
      <c r="N11" s="2"/>
      <c r="O11" s="2"/>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1"/>
    </row>
    <row r="12" spans="1:51" ht="26.45" customHeight="1">
      <c r="A12" s="4">
        <v>7</v>
      </c>
      <c r="B12" s="21" t="s">
        <v>88</v>
      </c>
      <c r="C12" s="3"/>
      <c r="D12" s="1"/>
      <c r="E12" s="2"/>
      <c r="F12" s="1"/>
      <c r="G12" s="26" t="s">
        <v>359</v>
      </c>
      <c r="H12" s="2"/>
      <c r="I12" s="22"/>
      <c r="J12" s="2"/>
      <c r="K12" s="23">
        <v>0</v>
      </c>
      <c r="L12" s="23">
        <v>0</v>
      </c>
      <c r="M12" s="2"/>
      <c r="N12" s="2"/>
      <c r="O12" s="2"/>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1"/>
    </row>
    <row r="13" spans="1:51">
      <c r="A13" s="2">
        <v>8</v>
      </c>
      <c r="B13" s="21" t="s">
        <v>88</v>
      </c>
      <c r="C13" s="3"/>
      <c r="D13" s="1"/>
      <c r="E13" s="2"/>
      <c r="F13" s="1"/>
      <c r="G13" s="26" t="s">
        <v>360</v>
      </c>
      <c r="H13" s="2"/>
      <c r="I13" s="22"/>
      <c r="J13" s="2"/>
      <c r="K13" s="23">
        <v>0</v>
      </c>
      <c r="L13" s="23">
        <v>0</v>
      </c>
      <c r="M13" s="2"/>
      <c r="N13" s="2"/>
      <c r="O13" s="2"/>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1"/>
    </row>
    <row r="14" spans="1:51" ht="26.45" customHeight="1">
      <c r="A14" s="4">
        <v>9</v>
      </c>
      <c r="B14" s="21" t="s">
        <v>88</v>
      </c>
      <c r="C14" s="3"/>
      <c r="D14" s="1"/>
      <c r="E14" s="2"/>
      <c r="F14" s="1"/>
      <c r="G14" s="26" t="s">
        <v>361</v>
      </c>
      <c r="H14" s="2"/>
      <c r="I14" s="22"/>
      <c r="J14" s="2"/>
      <c r="K14" s="23">
        <v>0</v>
      </c>
      <c r="L14" s="23">
        <v>0</v>
      </c>
      <c r="M14" s="2"/>
      <c r="N14" s="2"/>
      <c r="O14" s="2"/>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1"/>
    </row>
    <row r="15" spans="1:51" ht="26.45" customHeight="1">
      <c r="A15" s="2">
        <v>10</v>
      </c>
      <c r="B15" s="21" t="s">
        <v>88</v>
      </c>
      <c r="C15" s="3"/>
      <c r="D15" s="1"/>
      <c r="E15" s="2"/>
      <c r="F15" s="1"/>
      <c r="G15" s="26" t="s">
        <v>362</v>
      </c>
      <c r="H15" s="2"/>
      <c r="I15" s="22"/>
      <c r="J15" s="2"/>
      <c r="K15" s="23">
        <v>0</v>
      </c>
      <c r="L15" s="23">
        <v>0</v>
      </c>
      <c r="M15" s="2"/>
      <c r="N15" s="2"/>
      <c r="O15" s="2"/>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1"/>
    </row>
    <row r="16" spans="1:51" ht="26.45" customHeight="1">
      <c r="A16" s="4">
        <v>11</v>
      </c>
      <c r="B16" s="21" t="s">
        <v>88</v>
      </c>
      <c r="C16" s="3"/>
      <c r="D16" s="1"/>
      <c r="E16" s="2"/>
      <c r="F16" s="1"/>
      <c r="G16" s="26" t="s">
        <v>363</v>
      </c>
      <c r="H16" s="2"/>
      <c r="I16" s="22"/>
      <c r="J16" s="2"/>
      <c r="K16" s="23">
        <v>0</v>
      </c>
      <c r="L16" s="23">
        <v>0</v>
      </c>
      <c r="M16" s="2"/>
      <c r="N16" s="2"/>
      <c r="O16" s="2"/>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1"/>
    </row>
    <row r="17" spans="1:51" ht="26.45" customHeight="1">
      <c r="A17" s="2">
        <v>12</v>
      </c>
      <c r="B17" s="21" t="s">
        <v>88</v>
      </c>
      <c r="C17" s="3"/>
      <c r="D17" s="1"/>
      <c r="E17" s="2"/>
      <c r="F17" s="1"/>
      <c r="G17" s="26" t="s">
        <v>364</v>
      </c>
      <c r="H17" s="2"/>
      <c r="I17" s="22"/>
      <c r="J17" s="2"/>
      <c r="K17" s="23">
        <v>0</v>
      </c>
      <c r="L17" s="23">
        <v>0</v>
      </c>
      <c r="M17" s="2"/>
      <c r="N17" s="2"/>
      <c r="O17" s="2"/>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1"/>
    </row>
    <row r="18" spans="1:51">
      <c r="A18" s="4">
        <v>13</v>
      </c>
      <c r="B18" s="21" t="s">
        <v>88</v>
      </c>
      <c r="C18" s="3"/>
      <c r="D18" s="1"/>
      <c r="E18" s="2"/>
      <c r="F18" s="1"/>
      <c r="G18" s="26" t="s">
        <v>365</v>
      </c>
      <c r="H18" s="2"/>
      <c r="I18" s="22"/>
      <c r="J18" s="2"/>
      <c r="K18" s="23">
        <v>0</v>
      </c>
      <c r="L18" s="23">
        <v>0</v>
      </c>
      <c r="M18" s="2"/>
      <c r="N18" s="2"/>
      <c r="O18" s="2"/>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1"/>
    </row>
    <row r="19" spans="1:51">
      <c r="A19" s="2">
        <v>14</v>
      </c>
      <c r="B19" s="21" t="s">
        <v>88</v>
      </c>
      <c r="C19" s="3"/>
      <c r="D19" s="1"/>
      <c r="E19" s="2"/>
      <c r="F19" s="1"/>
      <c r="G19" s="26" t="s">
        <v>366</v>
      </c>
      <c r="H19" s="2"/>
      <c r="I19" s="22"/>
      <c r="J19" s="2"/>
      <c r="K19" s="23">
        <v>0</v>
      </c>
      <c r="L19" s="23">
        <v>0</v>
      </c>
      <c r="M19" s="2"/>
      <c r="N19" s="2"/>
      <c r="O19" s="2"/>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1"/>
    </row>
    <row r="20" spans="1:51">
      <c r="A20" s="4">
        <v>15</v>
      </c>
      <c r="B20" s="21" t="s">
        <v>88</v>
      </c>
      <c r="C20" s="3"/>
      <c r="D20" s="1"/>
      <c r="E20" s="2"/>
      <c r="F20" s="1"/>
      <c r="G20" s="26" t="s">
        <v>367</v>
      </c>
      <c r="H20" s="2"/>
      <c r="I20" s="22"/>
      <c r="J20" s="2"/>
      <c r="K20" s="23">
        <v>0</v>
      </c>
      <c r="L20" s="23">
        <v>0</v>
      </c>
      <c r="M20" s="2"/>
      <c r="N20" s="2"/>
      <c r="O20" s="2"/>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1"/>
    </row>
    <row r="21" spans="1:51">
      <c r="A21" s="2">
        <v>16</v>
      </c>
      <c r="B21" s="5" t="s">
        <v>88</v>
      </c>
      <c r="C21" s="6"/>
      <c r="D21" s="6" t="s">
        <v>368</v>
      </c>
      <c r="E21" s="4"/>
      <c r="F21" s="6" t="s">
        <v>369</v>
      </c>
      <c r="G21" s="29" t="s">
        <v>370</v>
      </c>
      <c r="H21" s="4"/>
      <c r="I21" s="7"/>
      <c r="J21" s="4"/>
      <c r="K21" s="19">
        <v>0</v>
      </c>
      <c r="L21" s="19">
        <v>0</v>
      </c>
      <c r="M21" s="4"/>
      <c r="N21" s="4"/>
      <c r="O21" s="4"/>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9"/>
    </row>
    <row r="22" spans="1:51">
      <c r="A22" s="4">
        <v>17</v>
      </c>
      <c r="B22" s="21" t="s">
        <v>88</v>
      </c>
      <c r="C22" s="3"/>
      <c r="D22" s="1"/>
      <c r="E22" s="2"/>
      <c r="F22" s="1"/>
      <c r="G22" s="26" t="s">
        <v>371</v>
      </c>
      <c r="H22" s="2"/>
      <c r="I22" s="22"/>
      <c r="J22" s="2"/>
      <c r="K22" s="23">
        <v>0</v>
      </c>
      <c r="L22" s="23">
        <v>0</v>
      </c>
      <c r="M22" s="2"/>
      <c r="N22" s="2"/>
      <c r="O22" s="2"/>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1"/>
    </row>
    <row r="23" spans="1:51">
      <c r="A23" s="2">
        <v>18</v>
      </c>
      <c r="B23" s="11" t="s">
        <v>88</v>
      </c>
      <c r="C23" s="12"/>
      <c r="D23" s="12" t="s">
        <v>372</v>
      </c>
      <c r="E23" s="13"/>
      <c r="F23" s="14"/>
      <c r="G23" s="18" t="s">
        <v>373</v>
      </c>
      <c r="H23" s="13" t="s">
        <v>374</v>
      </c>
      <c r="I23" s="18" t="s">
        <v>375</v>
      </c>
      <c r="J23" s="13" t="s">
        <v>376</v>
      </c>
      <c r="K23" s="10">
        <v>150</v>
      </c>
      <c r="L23" s="10">
        <v>150</v>
      </c>
      <c r="M23" s="13" t="s">
        <v>377</v>
      </c>
      <c r="N23" s="13" t="s">
        <v>378</v>
      </c>
      <c r="O23" s="13" t="s">
        <v>109</v>
      </c>
      <c r="P23" s="17">
        <f>SUM(Q23:AX23)</f>
        <v>0</v>
      </c>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2"/>
    </row>
    <row r="24" spans="1:51">
      <c r="A24" s="4">
        <v>19</v>
      </c>
      <c r="B24" s="11" t="s">
        <v>88</v>
      </c>
      <c r="C24" s="12"/>
      <c r="D24" s="12" t="s">
        <v>379</v>
      </c>
      <c r="E24" s="13"/>
      <c r="F24" s="14"/>
      <c r="G24" s="18" t="s">
        <v>373</v>
      </c>
      <c r="H24" s="13" t="s">
        <v>380</v>
      </c>
      <c r="I24" s="18" t="s">
        <v>375</v>
      </c>
      <c r="J24" s="13" t="s">
        <v>376</v>
      </c>
      <c r="K24" s="10">
        <v>300</v>
      </c>
      <c r="L24" s="10">
        <v>150</v>
      </c>
      <c r="M24" s="13" t="s">
        <v>377</v>
      </c>
      <c r="N24" s="13" t="s">
        <v>381</v>
      </c>
      <c r="O24" s="13" t="s">
        <v>109</v>
      </c>
      <c r="P24" s="17">
        <f>SUM(Q24:AX24)</f>
        <v>0</v>
      </c>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2"/>
    </row>
    <row r="25" spans="1:51">
      <c r="A25" s="2">
        <v>20</v>
      </c>
      <c r="B25" s="11" t="s">
        <v>88</v>
      </c>
      <c r="C25" s="12"/>
      <c r="D25" s="12" t="s">
        <v>382</v>
      </c>
      <c r="E25" s="13"/>
      <c r="F25" s="14"/>
      <c r="G25" s="18" t="s">
        <v>373</v>
      </c>
      <c r="H25" s="13" t="s">
        <v>383</v>
      </c>
      <c r="I25" s="18" t="s">
        <v>375</v>
      </c>
      <c r="J25" s="13" t="s">
        <v>376</v>
      </c>
      <c r="K25" s="10">
        <v>600</v>
      </c>
      <c r="L25" s="10">
        <v>150</v>
      </c>
      <c r="M25" s="13" t="s">
        <v>377</v>
      </c>
      <c r="N25" s="13" t="s">
        <v>384</v>
      </c>
      <c r="O25" s="13" t="s">
        <v>109</v>
      </c>
      <c r="P25" s="17">
        <f>SUM(Q25:AX25)</f>
        <v>0</v>
      </c>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2"/>
    </row>
    <row r="26" spans="1:51">
      <c r="A26" s="4">
        <v>21</v>
      </c>
      <c r="B26" s="11" t="s">
        <v>88</v>
      </c>
      <c r="C26" s="12"/>
      <c r="D26" s="12" t="s">
        <v>385</v>
      </c>
      <c r="E26" s="13"/>
      <c r="F26" s="14"/>
      <c r="G26" s="18" t="s">
        <v>373</v>
      </c>
      <c r="H26" s="13" t="s">
        <v>386</v>
      </c>
      <c r="I26" s="18" t="s">
        <v>375</v>
      </c>
      <c r="J26" s="13" t="s">
        <v>376</v>
      </c>
      <c r="K26" s="10">
        <v>900</v>
      </c>
      <c r="L26" s="10">
        <v>150</v>
      </c>
      <c r="M26" s="13" t="s">
        <v>377</v>
      </c>
      <c r="N26" s="13" t="s">
        <v>387</v>
      </c>
      <c r="O26" s="13" t="s">
        <v>109</v>
      </c>
      <c r="P26" s="17">
        <f>SUM(Q26:AX26)</f>
        <v>3000</v>
      </c>
      <c r="Q26" s="17"/>
      <c r="R26" s="17"/>
      <c r="S26" s="105">
        <f>1000*3</f>
        <v>3000</v>
      </c>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2" t="s">
        <v>388</v>
      </c>
    </row>
    <row r="27" spans="1:51">
      <c r="A27" s="2">
        <v>22</v>
      </c>
      <c r="B27" s="5" t="s">
        <v>88</v>
      </c>
      <c r="C27" s="6"/>
      <c r="D27" s="6" t="s">
        <v>389</v>
      </c>
      <c r="E27" s="4"/>
      <c r="F27" s="6" t="s">
        <v>390</v>
      </c>
      <c r="G27" s="29" t="s">
        <v>390</v>
      </c>
      <c r="H27" s="4"/>
      <c r="I27" s="7"/>
      <c r="J27" s="4"/>
      <c r="K27" s="19">
        <v>0</v>
      </c>
      <c r="L27" s="19">
        <v>0</v>
      </c>
      <c r="M27" s="4"/>
      <c r="N27" s="4"/>
      <c r="O27" s="4"/>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9"/>
    </row>
    <row r="28" spans="1:51">
      <c r="A28" s="4">
        <v>23</v>
      </c>
      <c r="B28" s="21" t="s">
        <v>88</v>
      </c>
      <c r="C28" s="3"/>
      <c r="D28" s="1"/>
      <c r="E28" s="2"/>
      <c r="F28" s="1"/>
      <c r="G28" s="26" t="s">
        <v>391</v>
      </c>
      <c r="H28" s="2"/>
      <c r="I28" s="22"/>
      <c r="J28" s="2"/>
      <c r="K28" s="23">
        <v>0</v>
      </c>
      <c r="L28" s="23">
        <v>0</v>
      </c>
      <c r="M28" s="2"/>
      <c r="N28" s="2"/>
      <c r="O28" s="2"/>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1"/>
    </row>
    <row r="29" spans="1:51">
      <c r="A29" s="2">
        <v>24</v>
      </c>
      <c r="B29" s="11" t="s">
        <v>88</v>
      </c>
      <c r="C29" s="12"/>
      <c r="D29" s="12" t="s">
        <v>392</v>
      </c>
      <c r="E29" s="13"/>
      <c r="F29" s="14"/>
      <c r="G29" s="18" t="s">
        <v>393</v>
      </c>
      <c r="H29" s="13" t="s">
        <v>394</v>
      </c>
      <c r="I29" s="18" t="s">
        <v>375</v>
      </c>
      <c r="J29" s="13" t="s">
        <v>395</v>
      </c>
      <c r="K29" s="10">
        <v>150</v>
      </c>
      <c r="L29" s="28">
        <v>0</v>
      </c>
      <c r="M29" s="13" t="s">
        <v>396</v>
      </c>
      <c r="N29" s="13" t="s">
        <v>397</v>
      </c>
      <c r="O29" s="13" t="s">
        <v>109</v>
      </c>
      <c r="P29" s="17">
        <f>SUM(Q29:AX29)</f>
        <v>0</v>
      </c>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2"/>
    </row>
    <row r="30" spans="1:51">
      <c r="A30" s="4">
        <v>25</v>
      </c>
      <c r="B30" s="11" t="s">
        <v>88</v>
      </c>
      <c r="C30" s="12"/>
      <c r="D30" s="12" t="s">
        <v>398</v>
      </c>
      <c r="E30" s="13"/>
      <c r="F30" s="14"/>
      <c r="G30" s="18" t="s">
        <v>393</v>
      </c>
      <c r="H30" s="13" t="s">
        <v>399</v>
      </c>
      <c r="I30" s="18" t="s">
        <v>375</v>
      </c>
      <c r="J30" s="13" t="s">
        <v>395</v>
      </c>
      <c r="K30" s="10">
        <v>300</v>
      </c>
      <c r="L30" s="28">
        <v>0</v>
      </c>
      <c r="M30" s="13" t="s">
        <v>396</v>
      </c>
      <c r="N30" s="13" t="s">
        <v>400</v>
      </c>
      <c r="O30" s="13" t="s">
        <v>109</v>
      </c>
      <c r="P30" s="17">
        <f>SUM(Q30:AX30)</f>
        <v>0</v>
      </c>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2"/>
    </row>
    <row r="31" spans="1:51">
      <c r="A31" s="2">
        <v>26</v>
      </c>
      <c r="B31" s="11" t="s">
        <v>88</v>
      </c>
      <c r="C31" s="12"/>
      <c r="D31" s="12" t="s">
        <v>401</v>
      </c>
      <c r="E31" s="13"/>
      <c r="F31" s="14"/>
      <c r="G31" s="18" t="s">
        <v>393</v>
      </c>
      <c r="H31" s="13" t="s">
        <v>402</v>
      </c>
      <c r="I31" s="18" t="s">
        <v>375</v>
      </c>
      <c r="J31" s="13" t="s">
        <v>395</v>
      </c>
      <c r="K31" s="10">
        <v>600</v>
      </c>
      <c r="L31" s="28">
        <v>0</v>
      </c>
      <c r="M31" s="13" t="s">
        <v>396</v>
      </c>
      <c r="N31" s="13" t="s">
        <v>403</v>
      </c>
      <c r="O31" s="13" t="s">
        <v>109</v>
      </c>
      <c r="P31" s="17">
        <f>SUM(Q31:AX31)</f>
        <v>0</v>
      </c>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2"/>
    </row>
    <row r="32" spans="1:51">
      <c r="A32" s="4">
        <v>27</v>
      </c>
      <c r="B32" s="11" t="s">
        <v>88</v>
      </c>
      <c r="C32" s="12"/>
      <c r="D32" s="12" t="s">
        <v>404</v>
      </c>
      <c r="E32" s="13"/>
      <c r="F32" s="14"/>
      <c r="G32" s="18" t="s">
        <v>393</v>
      </c>
      <c r="H32" s="13" t="s">
        <v>405</v>
      </c>
      <c r="I32" s="18" t="s">
        <v>375</v>
      </c>
      <c r="J32" s="13" t="s">
        <v>395</v>
      </c>
      <c r="K32" s="10">
        <v>900</v>
      </c>
      <c r="L32" s="28">
        <v>0</v>
      </c>
      <c r="M32" s="13" t="s">
        <v>396</v>
      </c>
      <c r="N32" s="13" t="s">
        <v>406</v>
      </c>
      <c r="O32" s="13" t="s">
        <v>109</v>
      </c>
      <c r="P32" s="17">
        <f>SUM(Q32:AX32)</f>
        <v>3000</v>
      </c>
      <c r="Q32" s="17"/>
      <c r="R32" s="17"/>
      <c r="S32" s="105">
        <f>1000*3</f>
        <v>3000</v>
      </c>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2" t="s">
        <v>388</v>
      </c>
    </row>
    <row r="33" spans="1:51" ht="26.45" customHeight="1">
      <c r="A33" s="2">
        <v>28</v>
      </c>
      <c r="B33" s="5" t="s">
        <v>88</v>
      </c>
      <c r="C33" s="6"/>
      <c r="D33" s="6" t="s">
        <v>407</v>
      </c>
      <c r="E33" s="4"/>
      <c r="F33" s="6" t="s">
        <v>408</v>
      </c>
      <c r="G33" s="29" t="s">
        <v>409</v>
      </c>
      <c r="H33" s="4"/>
      <c r="I33" s="7"/>
      <c r="J33" s="4"/>
      <c r="K33" s="19">
        <v>0</v>
      </c>
      <c r="L33" s="19">
        <v>0</v>
      </c>
      <c r="M33" s="4"/>
      <c r="N33" s="4"/>
      <c r="O33" s="4"/>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9"/>
    </row>
    <row r="34" spans="1:51">
      <c r="A34" s="4">
        <v>29</v>
      </c>
      <c r="B34" s="21" t="s">
        <v>88</v>
      </c>
      <c r="C34" s="3"/>
      <c r="D34" s="1"/>
      <c r="E34" s="2"/>
      <c r="F34" s="1"/>
      <c r="G34" s="26" t="s">
        <v>410</v>
      </c>
      <c r="H34" s="2"/>
      <c r="I34" s="22"/>
      <c r="J34" s="2"/>
      <c r="K34" s="23">
        <v>0</v>
      </c>
      <c r="L34" s="23">
        <v>0</v>
      </c>
      <c r="M34" s="2"/>
      <c r="N34" s="2"/>
      <c r="O34" s="2"/>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1"/>
    </row>
    <row r="35" spans="1:51" ht="26.45" customHeight="1">
      <c r="A35" s="2">
        <v>30</v>
      </c>
      <c r="B35" s="11" t="s">
        <v>88</v>
      </c>
      <c r="C35" s="12"/>
      <c r="D35" s="12" t="s">
        <v>411</v>
      </c>
      <c r="E35" s="13"/>
      <c r="F35" s="14"/>
      <c r="G35" s="18" t="s">
        <v>412</v>
      </c>
      <c r="H35" s="13" t="s">
        <v>413</v>
      </c>
      <c r="I35" s="18" t="s">
        <v>375</v>
      </c>
      <c r="J35" s="13" t="s">
        <v>414</v>
      </c>
      <c r="K35" s="10">
        <v>150</v>
      </c>
      <c r="L35" s="10">
        <v>150</v>
      </c>
      <c r="M35" s="13" t="s">
        <v>415</v>
      </c>
      <c r="N35" s="13" t="s">
        <v>416</v>
      </c>
      <c r="O35" s="13" t="s">
        <v>417</v>
      </c>
      <c r="P35" s="17">
        <f>SUM(Q35:AX35)</f>
        <v>0</v>
      </c>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2"/>
    </row>
    <row r="36" spans="1:51" ht="26.45" customHeight="1">
      <c r="A36" s="4">
        <v>31</v>
      </c>
      <c r="B36" s="11" t="s">
        <v>88</v>
      </c>
      <c r="C36" s="12"/>
      <c r="D36" s="12" t="s">
        <v>418</v>
      </c>
      <c r="E36" s="13"/>
      <c r="F36" s="14"/>
      <c r="G36" s="18" t="s">
        <v>412</v>
      </c>
      <c r="H36" s="13" t="s">
        <v>419</v>
      </c>
      <c r="I36" s="18" t="s">
        <v>375</v>
      </c>
      <c r="J36" s="13" t="s">
        <v>414</v>
      </c>
      <c r="K36" s="10">
        <v>300</v>
      </c>
      <c r="L36" s="10">
        <v>150</v>
      </c>
      <c r="M36" s="13" t="s">
        <v>415</v>
      </c>
      <c r="N36" s="13" t="s">
        <v>420</v>
      </c>
      <c r="O36" s="13" t="s">
        <v>417</v>
      </c>
      <c r="P36" s="17">
        <f>SUM(Q36:AX36)</f>
        <v>0</v>
      </c>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2"/>
    </row>
    <row r="37" spans="1:51" ht="26.45" customHeight="1">
      <c r="A37" s="2">
        <v>32</v>
      </c>
      <c r="B37" s="11" t="s">
        <v>88</v>
      </c>
      <c r="C37" s="12"/>
      <c r="D37" s="12" t="s">
        <v>421</v>
      </c>
      <c r="E37" s="13"/>
      <c r="F37" s="14"/>
      <c r="G37" s="18" t="s">
        <v>412</v>
      </c>
      <c r="H37" s="13" t="s">
        <v>422</v>
      </c>
      <c r="I37" s="18" t="s">
        <v>375</v>
      </c>
      <c r="J37" s="13" t="s">
        <v>414</v>
      </c>
      <c r="K37" s="10">
        <v>600</v>
      </c>
      <c r="L37" s="10">
        <v>150</v>
      </c>
      <c r="M37" s="13" t="s">
        <v>415</v>
      </c>
      <c r="N37" s="13" t="s">
        <v>423</v>
      </c>
      <c r="O37" s="13" t="s">
        <v>417</v>
      </c>
      <c r="P37" s="17">
        <f>SUM(Q37:AX37)</f>
        <v>0</v>
      </c>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2"/>
    </row>
    <row r="38" spans="1:51" ht="26.45" customHeight="1">
      <c r="A38" s="4">
        <v>33</v>
      </c>
      <c r="B38" s="11" t="s">
        <v>88</v>
      </c>
      <c r="C38" s="12"/>
      <c r="D38" s="12" t="s">
        <v>424</v>
      </c>
      <c r="E38" s="13"/>
      <c r="F38" s="14"/>
      <c r="G38" s="18" t="s">
        <v>412</v>
      </c>
      <c r="H38" s="13" t="s">
        <v>425</v>
      </c>
      <c r="I38" s="18" t="s">
        <v>375</v>
      </c>
      <c r="J38" s="13" t="s">
        <v>414</v>
      </c>
      <c r="K38" s="10">
        <v>900</v>
      </c>
      <c r="L38" s="10">
        <v>150</v>
      </c>
      <c r="M38" s="13" t="s">
        <v>415</v>
      </c>
      <c r="N38" s="13" t="s">
        <v>426</v>
      </c>
      <c r="O38" s="13" t="s">
        <v>417</v>
      </c>
      <c r="P38" s="17">
        <f>SUM(Q38:AX38)</f>
        <v>20</v>
      </c>
      <c r="Q38" s="17"/>
      <c r="R38" s="17"/>
      <c r="S38" s="105">
        <v>20</v>
      </c>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2"/>
    </row>
    <row r="39" spans="1:51">
      <c r="A39" s="2">
        <v>34</v>
      </c>
      <c r="B39" s="5" t="s">
        <v>88</v>
      </c>
      <c r="C39" s="6"/>
      <c r="D39" s="6" t="s">
        <v>427</v>
      </c>
      <c r="E39" s="4"/>
      <c r="F39" s="6" t="s">
        <v>428</v>
      </c>
      <c r="G39" s="29" t="s">
        <v>429</v>
      </c>
      <c r="H39" s="4"/>
      <c r="I39" s="7"/>
      <c r="J39" s="4"/>
      <c r="K39" s="19">
        <v>0</v>
      </c>
      <c r="L39" s="19">
        <v>0</v>
      </c>
      <c r="M39" s="4"/>
      <c r="N39" s="4"/>
      <c r="O39" s="4"/>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9"/>
    </row>
    <row r="40" spans="1:51">
      <c r="A40" s="4">
        <v>35</v>
      </c>
      <c r="B40" s="21" t="s">
        <v>88</v>
      </c>
      <c r="C40" s="3"/>
      <c r="D40" s="1"/>
      <c r="E40" s="2"/>
      <c r="F40" s="1"/>
      <c r="G40" s="26" t="s">
        <v>410</v>
      </c>
      <c r="H40" s="2"/>
      <c r="I40" s="22"/>
      <c r="J40" s="2"/>
      <c r="K40" s="23">
        <v>0</v>
      </c>
      <c r="L40" s="23">
        <v>0</v>
      </c>
      <c r="M40" s="2"/>
      <c r="N40" s="2"/>
      <c r="O40" s="2"/>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1"/>
    </row>
    <row r="41" spans="1:51" ht="26.45" customHeight="1">
      <c r="A41" s="2">
        <v>36</v>
      </c>
      <c r="B41" s="11" t="s">
        <v>88</v>
      </c>
      <c r="C41" s="12"/>
      <c r="D41" s="12" t="s">
        <v>430</v>
      </c>
      <c r="E41" s="13"/>
      <c r="F41" s="14"/>
      <c r="G41" s="18" t="s">
        <v>431</v>
      </c>
      <c r="H41" s="13" t="s">
        <v>413</v>
      </c>
      <c r="I41" s="18" t="s">
        <v>375</v>
      </c>
      <c r="J41" s="13" t="s">
        <v>432</v>
      </c>
      <c r="K41" s="10">
        <v>150</v>
      </c>
      <c r="L41" s="10">
        <v>150</v>
      </c>
      <c r="M41" s="13" t="s">
        <v>415</v>
      </c>
      <c r="N41" s="13" t="s">
        <v>433</v>
      </c>
      <c r="O41" s="13" t="s">
        <v>417</v>
      </c>
      <c r="P41" s="17">
        <f>SUM(Q41:AX41)</f>
        <v>0</v>
      </c>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2"/>
    </row>
    <row r="42" spans="1:51" ht="26.45" customHeight="1">
      <c r="A42" s="4">
        <v>37</v>
      </c>
      <c r="B42" s="11" t="s">
        <v>88</v>
      </c>
      <c r="C42" s="12"/>
      <c r="D42" s="12" t="s">
        <v>434</v>
      </c>
      <c r="E42" s="13"/>
      <c r="F42" s="14"/>
      <c r="G42" s="18" t="s">
        <v>431</v>
      </c>
      <c r="H42" s="13" t="s">
        <v>419</v>
      </c>
      <c r="I42" s="18" t="s">
        <v>375</v>
      </c>
      <c r="J42" s="13" t="s">
        <v>432</v>
      </c>
      <c r="K42" s="10">
        <v>300</v>
      </c>
      <c r="L42" s="10">
        <v>150</v>
      </c>
      <c r="M42" s="13" t="s">
        <v>415</v>
      </c>
      <c r="N42" s="13" t="s">
        <v>435</v>
      </c>
      <c r="O42" s="13" t="s">
        <v>417</v>
      </c>
      <c r="P42" s="17">
        <f>SUM(Q42:AX42)</f>
        <v>0</v>
      </c>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2"/>
    </row>
    <row r="43" spans="1:51" ht="26.45" customHeight="1">
      <c r="A43" s="2">
        <v>38</v>
      </c>
      <c r="B43" s="11" t="s">
        <v>88</v>
      </c>
      <c r="C43" s="12"/>
      <c r="D43" s="12" t="s">
        <v>436</v>
      </c>
      <c r="E43" s="13"/>
      <c r="F43" s="14"/>
      <c r="G43" s="18" t="s">
        <v>431</v>
      </c>
      <c r="H43" s="13" t="s">
        <v>422</v>
      </c>
      <c r="I43" s="18" t="s">
        <v>375</v>
      </c>
      <c r="J43" s="13" t="s">
        <v>432</v>
      </c>
      <c r="K43" s="10">
        <v>600</v>
      </c>
      <c r="L43" s="10">
        <v>150</v>
      </c>
      <c r="M43" s="13" t="s">
        <v>415</v>
      </c>
      <c r="N43" s="13" t="s">
        <v>437</v>
      </c>
      <c r="O43" s="13" t="s">
        <v>417</v>
      </c>
      <c r="P43" s="17">
        <f>SUM(Q43:AX43)</f>
        <v>0</v>
      </c>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2"/>
    </row>
    <row r="44" spans="1:51" ht="26.45" customHeight="1">
      <c r="A44" s="4">
        <v>39</v>
      </c>
      <c r="B44" s="11" t="s">
        <v>88</v>
      </c>
      <c r="C44" s="12"/>
      <c r="D44" s="12" t="s">
        <v>438</v>
      </c>
      <c r="E44" s="13"/>
      <c r="F44" s="14"/>
      <c r="G44" s="18" t="s">
        <v>431</v>
      </c>
      <c r="H44" s="13" t="s">
        <v>425</v>
      </c>
      <c r="I44" s="18" t="s">
        <v>375</v>
      </c>
      <c r="J44" s="13" t="s">
        <v>432</v>
      </c>
      <c r="K44" s="10">
        <v>900</v>
      </c>
      <c r="L44" s="10">
        <v>150</v>
      </c>
      <c r="M44" s="13" t="s">
        <v>415</v>
      </c>
      <c r="N44" s="13" t="s">
        <v>439</v>
      </c>
      <c r="O44" s="13" t="s">
        <v>417</v>
      </c>
      <c r="P44" s="17">
        <f>SUM(Q44:AX44)</f>
        <v>20</v>
      </c>
      <c r="Q44" s="17"/>
      <c r="R44" s="17"/>
      <c r="S44" s="105">
        <v>20</v>
      </c>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2"/>
    </row>
    <row r="45" spans="1:51">
      <c r="A45" s="2">
        <v>40</v>
      </c>
      <c r="B45" s="5" t="s">
        <v>88</v>
      </c>
      <c r="C45" s="6"/>
      <c r="D45" s="6" t="s">
        <v>440</v>
      </c>
      <c r="E45" s="4"/>
      <c r="F45" s="6" t="s">
        <v>441</v>
      </c>
      <c r="G45" s="29" t="s">
        <v>442</v>
      </c>
      <c r="H45" s="4"/>
      <c r="I45" s="7"/>
      <c r="J45" s="4"/>
      <c r="K45" s="19">
        <v>0</v>
      </c>
      <c r="L45" s="19">
        <v>0</v>
      </c>
      <c r="M45" s="4"/>
      <c r="N45" s="4"/>
      <c r="O45" s="4"/>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9"/>
    </row>
    <row r="46" spans="1:51">
      <c r="A46" s="4">
        <v>41</v>
      </c>
      <c r="B46" s="21" t="s">
        <v>88</v>
      </c>
      <c r="C46" s="3"/>
      <c r="D46" s="1"/>
      <c r="E46" s="2"/>
      <c r="F46" s="1"/>
      <c r="G46" s="26" t="s">
        <v>410</v>
      </c>
      <c r="H46" s="2"/>
      <c r="I46" s="22"/>
      <c r="J46" s="2"/>
      <c r="K46" s="23">
        <v>0</v>
      </c>
      <c r="L46" s="23">
        <v>0</v>
      </c>
      <c r="M46" s="2"/>
      <c r="N46" s="2"/>
      <c r="O46" s="2"/>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1"/>
    </row>
    <row r="47" spans="1:51" ht="26.45" customHeight="1">
      <c r="A47" s="2">
        <v>42</v>
      </c>
      <c r="B47" s="11" t="s">
        <v>88</v>
      </c>
      <c r="C47" s="12"/>
      <c r="D47" s="12" t="s">
        <v>443</v>
      </c>
      <c r="E47" s="13"/>
      <c r="F47" s="14"/>
      <c r="G47" s="18" t="s">
        <v>444</v>
      </c>
      <c r="H47" s="13" t="s">
        <v>419</v>
      </c>
      <c r="I47" s="18" t="s">
        <v>375</v>
      </c>
      <c r="J47" s="13" t="s">
        <v>445</v>
      </c>
      <c r="K47" s="10">
        <v>300</v>
      </c>
      <c r="L47" s="10">
        <v>150</v>
      </c>
      <c r="M47" s="13" t="s">
        <v>415</v>
      </c>
      <c r="N47" s="13" t="s">
        <v>446</v>
      </c>
      <c r="O47" s="13" t="s">
        <v>417</v>
      </c>
      <c r="P47" s="17">
        <f>SUM(Q47:AX47)</f>
        <v>0</v>
      </c>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2"/>
    </row>
    <row r="48" spans="1:51" ht="26.45" customHeight="1">
      <c r="A48" s="4">
        <v>43</v>
      </c>
      <c r="B48" s="5" t="s">
        <v>88</v>
      </c>
      <c r="C48" s="6"/>
      <c r="D48" s="6" t="s">
        <v>447</v>
      </c>
      <c r="E48" s="4"/>
      <c r="F48" s="6" t="s">
        <v>448</v>
      </c>
      <c r="G48" s="29" t="s">
        <v>449</v>
      </c>
      <c r="H48" s="4"/>
      <c r="I48" s="7"/>
      <c r="J48" s="4"/>
      <c r="K48" s="19">
        <v>0</v>
      </c>
      <c r="L48" s="19">
        <v>0</v>
      </c>
      <c r="M48" s="4"/>
      <c r="N48" s="4"/>
      <c r="O48" s="4"/>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9"/>
    </row>
    <row r="49" spans="1:51">
      <c r="A49" s="2">
        <v>44</v>
      </c>
      <c r="B49" s="21" t="s">
        <v>88</v>
      </c>
      <c r="C49" s="3"/>
      <c r="D49" s="1"/>
      <c r="E49" s="2"/>
      <c r="F49" s="1"/>
      <c r="G49" s="26" t="s">
        <v>410</v>
      </c>
      <c r="H49" s="2"/>
      <c r="I49" s="22"/>
      <c r="J49" s="2"/>
      <c r="K49" s="23">
        <v>0</v>
      </c>
      <c r="L49" s="23">
        <v>0</v>
      </c>
      <c r="M49" s="2"/>
      <c r="N49" s="2"/>
      <c r="O49" s="2"/>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1"/>
    </row>
    <row r="50" spans="1:51" ht="26.45" customHeight="1">
      <c r="A50" s="4">
        <v>45</v>
      </c>
      <c r="B50" s="11" t="s">
        <v>88</v>
      </c>
      <c r="C50" s="12"/>
      <c r="D50" s="12" t="s">
        <v>450</v>
      </c>
      <c r="E50" s="13"/>
      <c r="F50" s="14"/>
      <c r="G50" s="18" t="s">
        <v>451</v>
      </c>
      <c r="H50" s="13" t="s">
        <v>413</v>
      </c>
      <c r="I50" s="18" t="s">
        <v>375</v>
      </c>
      <c r="J50" s="13" t="s">
        <v>452</v>
      </c>
      <c r="K50" s="10">
        <v>150</v>
      </c>
      <c r="L50" s="10">
        <v>150</v>
      </c>
      <c r="M50" s="13" t="s">
        <v>415</v>
      </c>
      <c r="N50" s="13" t="s">
        <v>453</v>
      </c>
      <c r="O50" s="13" t="s">
        <v>417</v>
      </c>
      <c r="P50" s="17">
        <f>SUM(Q50:AX50)</f>
        <v>0</v>
      </c>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2"/>
    </row>
    <row r="51" spans="1:51" ht="26.45" customHeight="1">
      <c r="A51" s="2">
        <v>46</v>
      </c>
      <c r="B51" s="11" t="s">
        <v>88</v>
      </c>
      <c r="C51" s="12"/>
      <c r="D51" s="12" t="s">
        <v>454</v>
      </c>
      <c r="E51" s="13"/>
      <c r="F51" s="14"/>
      <c r="G51" s="18" t="s">
        <v>451</v>
      </c>
      <c r="H51" s="13" t="s">
        <v>419</v>
      </c>
      <c r="I51" s="18" t="s">
        <v>375</v>
      </c>
      <c r="J51" s="13" t="s">
        <v>452</v>
      </c>
      <c r="K51" s="10">
        <v>300</v>
      </c>
      <c r="L51" s="10">
        <v>150</v>
      </c>
      <c r="M51" s="13" t="s">
        <v>415</v>
      </c>
      <c r="N51" s="13" t="s">
        <v>455</v>
      </c>
      <c r="O51" s="13" t="s">
        <v>417</v>
      </c>
      <c r="P51" s="17">
        <f>SUM(Q51:AX51)</f>
        <v>0</v>
      </c>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2"/>
    </row>
    <row r="52" spans="1:51" ht="26.45" customHeight="1">
      <c r="A52" s="4">
        <v>47</v>
      </c>
      <c r="B52" s="11" t="s">
        <v>88</v>
      </c>
      <c r="C52" s="12"/>
      <c r="D52" s="12" t="s">
        <v>456</v>
      </c>
      <c r="E52" s="13"/>
      <c r="F52" s="14"/>
      <c r="G52" s="18" t="s">
        <v>451</v>
      </c>
      <c r="H52" s="13" t="s">
        <v>422</v>
      </c>
      <c r="I52" s="18" t="s">
        <v>375</v>
      </c>
      <c r="J52" s="13" t="s">
        <v>452</v>
      </c>
      <c r="K52" s="10">
        <v>600</v>
      </c>
      <c r="L52" s="10">
        <v>150</v>
      </c>
      <c r="M52" s="13" t="s">
        <v>415</v>
      </c>
      <c r="N52" s="13" t="s">
        <v>457</v>
      </c>
      <c r="O52" s="13" t="s">
        <v>417</v>
      </c>
      <c r="P52" s="17">
        <f>SUM(Q52:AX52)</f>
        <v>0</v>
      </c>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2"/>
    </row>
    <row r="53" spans="1:51" ht="26.45" customHeight="1">
      <c r="A53" s="2">
        <v>48</v>
      </c>
      <c r="B53" s="11" t="s">
        <v>88</v>
      </c>
      <c r="C53" s="12"/>
      <c r="D53" s="12" t="s">
        <v>458</v>
      </c>
      <c r="E53" s="13"/>
      <c r="F53" s="14"/>
      <c r="G53" s="18" t="s">
        <v>451</v>
      </c>
      <c r="H53" s="13" t="s">
        <v>425</v>
      </c>
      <c r="I53" s="18" t="s">
        <v>375</v>
      </c>
      <c r="J53" s="13" t="s">
        <v>452</v>
      </c>
      <c r="K53" s="10">
        <v>900</v>
      </c>
      <c r="L53" s="10">
        <v>150</v>
      </c>
      <c r="M53" s="13" t="s">
        <v>415</v>
      </c>
      <c r="N53" s="13" t="s">
        <v>459</v>
      </c>
      <c r="O53" s="13" t="s">
        <v>417</v>
      </c>
      <c r="P53" s="17">
        <f>SUM(Q53:AX53)</f>
        <v>20</v>
      </c>
      <c r="Q53" s="17"/>
      <c r="R53" s="17"/>
      <c r="S53" s="105">
        <v>20</v>
      </c>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2"/>
    </row>
    <row r="54" spans="1:51" ht="26.45" customHeight="1">
      <c r="A54" s="4">
        <v>49</v>
      </c>
      <c r="B54" s="5" t="s">
        <v>88</v>
      </c>
      <c r="C54" s="6"/>
      <c r="D54" s="6" t="s">
        <v>460</v>
      </c>
      <c r="E54" s="4"/>
      <c r="F54" s="6" t="s">
        <v>461</v>
      </c>
      <c r="G54" s="29" t="s">
        <v>462</v>
      </c>
      <c r="H54" s="4"/>
      <c r="I54" s="7"/>
      <c r="J54" s="4"/>
      <c r="K54" s="19">
        <v>0</v>
      </c>
      <c r="L54" s="19">
        <v>0</v>
      </c>
      <c r="M54" s="4"/>
      <c r="N54" s="4"/>
      <c r="O54" s="4"/>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9"/>
    </row>
    <row r="55" spans="1:51">
      <c r="A55" s="2">
        <v>50</v>
      </c>
      <c r="B55" s="21" t="s">
        <v>88</v>
      </c>
      <c r="C55" s="3"/>
      <c r="D55" s="1"/>
      <c r="E55" s="2"/>
      <c r="F55" s="1"/>
      <c r="G55" s="26" t="s">
        <v>410</v>
      </c>
      <c r="H55" s="2"/>
      <c r="I55" s="22"/>
      <c r="J55" s="2"/>
      <c r="K55" s="23">
        <v>0</v>
      </c>
      <c r="L55" s="23">
        <v>0</v>
      </c>
      <c r="M55" s="2"/>
      <c r="N55" s="2"/>
      <c r="O55" s="2"/>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1"/>
    </row>
    <row r="56" spans="1:51" ht="26.45" customHeight="1">
      <c r="A56" s="4">
        <v>51</v>
      </c>
      <c r="B56" s="11" t="s">
        <v>88</v>
      </c>
      <c r="C56" s="12"/>
      <c r="D56" s="12" t="s">
        <v>463</v>
      </c>
      <c r="E56" s="13"/>
      <c r="F56" s="14"/>
      <c r="G56" s="18" t="s">
        <v>464</v>
      </c>
      <c r="H56" s="13" t="s">
        <v>413</v>
      </c>
      <c r="I56" s="18" t="s">
        <v>375</v>
      </c>
      <c r="J56" s="13" t="s">
        <v>465</v>
      </c>
      <c r="K56" s="10">
        <v>150</v>
      </c>
      <c r="L56" s="10">
        <v>150</v>
      </c>
      <c r="M56" s="13" t="s">
        <v>415</v>
      </c>
      <c r="N56" s="13" t="s">
        <v>466</v>
      </c>
      <c r="O56" s="13" t="s">
        <v>417</v>
      </c>
      <c r="P56" s="17">
        <f>SUM(Q56:AX56)</f>
        <v>0</v>
      </c>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2"/>
    </row>
    <row r="57" spans="1:51" ht="26.45" customHeight="1">
      <c r="A57" s="2">
        <v>52</v>
      </c>
      <c r="B57" s="11" t="s">
        <v>88</v>
      </c>
      <c r="C57" s="12"/>
      <c r="D57" s="12" t="s">
        <v>467</v>
      </c>
      <c r="E57" s="13"/>
      <c r="F57" s="14"/>
      <c r="G57" s="18" t="s">
        <v>464</v>
      </c>
      <c r="H57" s="13" t="s">
        <v>419</v>
      </c>
      <c r="I57" s="18" t="s">
        <v>375</v>
      </c>
      <c r="J57" s="13" t="s">
        <v>465</v>
      </c>
      <c r="K57" s="10">
        <v>300</v>
      </c>
      <c r="L57" s="10">
        <v>150</v>
      </c>
      <c r="M57" s="13" t="s">
        <v>415</v>
      </c>
      <c r="N57" s="13" t="s">
        <v>468</v>
      </c>
      <c r="O57" s="13" t="s">
        <v>417</v>
      </c>
      <c r="P57" s="17">
        <f>SUM(Q57:AX57)</f>
        <v>0</v>
      </c>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2"/>
    </row>
    <row r="58" spans="1:51" ht="26.45" customHeight="1">
      <c r="A58" s="4">
        <v>53</v>
      </c>
      <c r="B58" s="11" t="s">
        <v>88</v>
      </c>
      <c r="C58" s="12"/>
      <c r="D58" s="12" t="s">
        <v>469</v>
      </c>
      <c r="E58" s="13"/>
      <c r="F58" s="14"/>
      <c r="G58" s="18" t="s">
        <v>464</v>
      </c>
      <c r="H58" s="13" t="s">
        <v>422</v>
      </c>
      <c r="I58" s="18" t="s">
        <v>375</v>
      </c>
      <c r="J58" s="13" t="s">
        <v>465</v>
      </c>
      <c r="K58" s="10">
        <v>600</v>
      </c>
      <c r="L58" s="10">
        <v>150</v>
      </c>
      <c r="M58" s="13" t="s">
        <v>415</v>
      </c>
      <c r="N58" s="13" t="s">
        <v>470</v>
      </c>
      <c r="O58" s="13" t="s">
        <v>417</v>
      </c>
      <c r="P58" s="17">
        <f>SUM(Q58:AX58)</f>
        <v>0</v>
      </c>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2"/>
    </row>
    <row r="59" spans="1:51" ht="26.45" customHeight="1">
      <c r="A59" s="2">
        <v>54</v>
      </c>
      <c r="B59" s="11" t="s">
        <v>88</v>
      </c>
      <c r="C59" s="12"/>
      <c r="D59" s="12" t="s">
        <v>471</v>
      </c>
      <c r="E59" s="13"/>
      <c r="F59" s="14"/>
      <c r="G59" s="18" t="s">
        <v>464</v>
      </c>
      <c r="H59" s="13" t="s">
        <v>425</v>
      </c>
      <c r="I59" s="18" t="s">
        <v>375</v>
      </c>
      <c r="J59" s="13" t="s">
        <v>465</v>
      </c>
      <c r="K59" s="10">
        <v>900</v>
      </c>
      <c r="L59" s="10">
        <v>150</v>
      </c>
      <c r="M59" s="13" t="s">
        <v>415</v>
      </c>
      <c r="N59" s="13" t="s">
        <v>472</v>
      </c>
      <c r="O59" s="13" t="s">
        <v>417</v>
      </c>
      <c r="P59" s="17">
        <f>SUM(Q59:AX59)</f>
        <v>20</v>
      </c>
      <c r="Q59" s="17"/>
      <c r="R59" s="17"/>
      <c r="S59" s="105">
        <v>20</v>
      </c>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2"/>
    </row>
    <row r="60" spans="1:51">
      <c r="A60" s="4">
        <v>55</v>
      </c>
      <c r="B60" s="5" t="s">
        <v>88</v>
      </c>
      <c r="C60" s="6"/>
      <c r="D60" s="6" t="s">
        <v>473</v>
      </c>
      <c r="E60" s="4"/>
      <c r="F60" s="6" t="s">
        <v>474</v>
      </c>
      <c r="G60" s="29" t="s">
        <v>475</v>
      </c>
      <c r="H60" s="4"/>
      <c r="I60" s="7"/>
      <c r="J60" s="4"/>
      <c r="K60" s="19">
        <v>0</v>
      </c>
      <c r="L60" s="19">
        <v>0</v>
      </c>
      <c r="M60" s="4"/>
      <c r="N60" s="4"/>
      <c r="O60" s="4"/>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9"/>
    </row>
    <row r="61" spans="1:51" ht="26.45" customHeight="1">
      <c r="A61" s="2">
        <v>56</v>
      </c>
      <c r="B61" s="21" t="s">
        <v>88</v>
      </c>
      <c r="C61" s="3"/>
      <c r="D61" s="1"/>
      <c r="E61" s="2"/>
      <c r="F61" s="1"/>
      <c r="G61" s="26" t="s">
        <v>476</v>
      </c>
      <c r="H61" s="2"/>
      <c r="I61" s="22"/>
      <c r="J61" s="2"/>
      <c r="K61" s="23">
        <v>0</v>
      </c>
      <c r="L61" s="23">
        <v>0</v>
      </c>
      <c r="M61" s="2"/>
      <c r="N61" s="2"/>
      <c r="O61" s="2"/>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c r="AU61" s="25"/>
      <c r="AV61" s="25"/>
      <c r="AW61" s="25"/>
      <c r="AX61" s="25"/>
      <c r="AY61" s="1"/>
    </row>
    <row r="62" spans="1:51">
      <c r="A62" s="4">
        <v>57</v>
      </c>
      <c r="B62" s="21" t="s">
        <v>88</v>
      </c>
      <c r="C62" s="3"/>
      <c r="D62" s="1"/>
      <c r="E62" s="2"/>
      <c r="F62" s="1"/>
      <c r="G62" s="26" t="s">
        <v>477</v>
      </c>
      <c r="H62" s="2"/>
      <c r="I62" s="22"/>
      <c r="J62" s="2"/>
      <c r="K62" s="23">
        <v>0</v>
      </c>
      <c r="L62" s="23">
        <v>0</v>
      </c>
      <c r="M62" s="2"/>
      <c r="N62" s="2"/>
      <c r="O62" s="2"/>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1"/>
    </row>
    <row r="63" spans="1:51">
      <c r="A63" s="2">
        <v>58</v>
      </c>
      <c r="B63" s="11" t="s">
        <v>88</v>
      </c>
      <c r="C63" s="12"/>
      <c r="D63" s="12" t="s">
        <v>478</v>
      </c>
      <c r="E63" s="13"/>
      <c r="F63" s="14"/>
      <c r="G63" s="18" t="s">
        <v>479</v>
      </c>
      <c r="H63" s="13" t="s">
        <v>413</v>
      </c>
      <c r="I63" s="18" t="s">
        <v>375</v>
      </c>
      <c r="J63" s="13" t="s">
        <v>480</v>
      </c>
      <c r="K63" s="10">
        <v>150</v>
      </c>
      <c r="L63" s="10">
        <v>150</v>
      </c>
      <c r="M63" s="13" t="s">
        <v>415</v>
      </c>
      <c r="N63" s="13" t="s">
        <v>481</v>
      </c>
      <c r="O63" s="13" t="s">
        <v>417</v>
      </c>
      <c r="P63" s="17">
        <f>SUM(Q63:AX63)</f>
        <v>0</v>
      </c>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2"/>
    </row>
    <row r="64" spans="1:51">
      <c r="A64" s="4">
        <v>59</v>
      </c>
      <c r="B64" s="11" t="s">
        <v>88</v>
      </c>
      <c r="C64" s="12"/>
      <c r="D64" s="12" t="s">
        <v>482</v>
      </c>
      <c r="E64" s="13"/>
      <c r="F64" s="14"/>
      <c r="G64" s="18" t="s">
        <v>479</v>
      </c>
      <c r="H64" s="13" t="s">
        <v>419</v>
      </c>
      <c r="I64" s="18" t="s">
        <v>483</v>
      </c>
      <c r="J64" s="13" t="s">
        <v>480</v>
      </c>
      <c r="K64" s="10">
        <v>300</v>
      </c>
      <c r="L64" s="10">
        <v>150</v>
      </c>
      <c r="M64" s="13" t="s">
        <v>415</v>
      </c>
      <c r="N64" s="13" t="s">
        <v>484</v>
      </c>
      <c r="O64" s="13" t="s">
        <v>417</v>
      </c>
      <c r="P64" s="17">
        <f>SUM(Q64:AX64)</f>
        <v>0</v>
      </c>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2"/>
    </row>
    <row r="65" spans="1:51">
      <c r="A65" s="2">
        <v>60</v>
      </c>
      <c r="B65" s="11" t="s">
        <v>88</v>
      </c>
      <c r="C65" s="12"/>
      <c r="D65" s="12" t="s">
        <v>485</v>
      </c>
      <c r="E65" s="13"/>
      <c r="F65" s="14"/>
      <c r="G65" s="18" t="s">
        <v>479</v>
      </c>
      <c r="H65" s="13" t="s">
        <v>422</v>
      </c>
      <c r="I65" s="18" t="s">
        <v>486</v>
      </c>
      <c r="J65" s="13" t="s">
        <v>480</v>
      </c>
      <c r="K65" s="10">
        <v>600</v>
      </c>
      <c r="L65" s="10">
        <v>150</v>
      </c>
      <c r="M65" s="13" t="s">
        <v>415</v>
      </c>
      <c r="N65" s="13" t="s">
        <v>487</v>
      </c>
      <c r="O65" s="13" t="s">
        <v>417</v>
      </c>
      <c r="P65" s="17">
        <f>SUM(Q65:AX65)</f>
        <v>0</v>
      </c>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2"/>
    </row>
    <row r="66" spans="1:51">
      <c r="A66" s="4">
        <v>61</v>
      </c>
      <c r="B66" s="11" t="s">
        <v>88</v>
      </c>
      <c r="C66" s="12"/>
      <c r="D66" s="12" t="s">
        <v>488</v>
      </c>
      <c r="E66" s="13"/>
      <c r="F66" s="14"/>
      <c r="G66" s="18" t="s">
        <v>479</v>
      </c>
      <c r="H66" s="13" t="s">
        <v>489</v>
      </c>
      <c r="I66" s="18" t="s">
        <v>490</v>
      </c>
      <c r="J66" s="13" t="s">
        <v>480</v>
      </c>
      <c r="K66" s="10">
        <v>750</v>
      </c>
      <c r="L66" s="10">
        <v>150</v>
      </c>
      <c r="M66" s="13" t="s">
        <v>491</v>
      </c>
      <c r="N66" s="13" t="s">
        <v>492</v>
      </c>
      <c r="O66" s="13" t="s">
        <v>417</v>
      </c>
      <c r="P66" s="17">
        <f>SUM(Q66:AX66)</f>
        <v>0</v>
      </c>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4"/>
    </row>
    <row r="67" spans="1:51">
      <c r="A67" s="2">
        <v>62</v>
      </c>
      <c r="B67" s="5" t="s">
        <v>88</v>
      </c>
      <c r="C67" s="6"/>
      <c r="D67" s="6" t="s">
        <v>493</v>
      </c>
      <c r="E67" s="4"/>
      <c r="F67" s="6" t="s">
        <v>494</v>
      </c>
      <c r="G67" s="29" t="s">
        <v>494</v>
      </c>
      <c r="H67" s="4"/>
      <c r="I67" s="7"/>
      <c r="J67" s="4"/>
      <c r="K67" s="19">
        <v>0</v>
      </c>
      <c r="L67" s="19">
        <v>0</v>
      </c>
      <c r="M67" s="4"/>
      <c r="N67" s="4"/>
      <c r="O67" s="4"/>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9"/>
    </row>
    <row r="68" spans="1:51" ht="26.45" customHeight="1">
      <c r="A68" s="4">
        <v>63</v>
      </c>
      <c r="B68" s="21" t="s">
        <v>88</v>
      </c>
      <c r="C68" s="3"/>
      <c r="D68" s="1"/>
      <c r="E68" s="2"/>
      <c r="F68" s="1"/>
      <c r="G68" s="26" t="s">
        <v>476</v>
      </c>
      <c r="H68" s="2"/>
      <c r="I68" s="22"/>
      <c r="J68" s="2"/>
      <c r="K68" s="23">
        <v>0</v>
      </c>
      <c r="L68" s="23">
        <v>0</v>
      </c>
      <c r="M68" s="2"/>
      <c r="N68" s="2"/>
      <c r="O68" s="2"/>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1"/>
    </row>
    <row r="69" spans="1:51">
      <c r="A69" s="2">
        <v>64</v>
      </c>
      <c r="B69" s="21" t="s">
        <v>88</v>
      </c>
      <c r="C69" s="3"/>
      <c r="D69" s="1"/>
      <c r="E69" s="2"/>
      <c r="F69" s="1"/>
      <c r="G69" s="26" t="s">
        <v>477</v>
      </c>
      <c r="H69" s="2"/>
      <c r="I69" s="22"/>
      <c r="J69" s="2"/>
      <c r="K69" s="23">
        <v>0</v>
      </c>
      <c r="L69" s="23">
        <v>0</v>
      </c>
      <c r="M69" s="2"/>
      <c r="N69" s="2"/>
      <c r="O69" s="2"/>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25"/>
      <c r="AU69" s="25"/>
      <c r="AV69" s="25"/>
      <c r="AW69" s="25"/>
      <c r="AX69" s="25"/>
      <c r="AY69" s="1"/>
    </row>
    <row r="70" spans="1:51" ht="26.45" customHeight="1">
      <c r="A70" s="4">
        <v>65</v>
      </c>
      <c r="B70" s="11" t="s">
        <v>88</v>
      </c>
      <c r="C70" s="12"/>
      <c r="D70" s="12" t="s">
        <v>495</v>
      </c>
      <c r="E70" s="13"/>
      <c r="F70" s="14"/>
      <c r="G70" s="18" t="s">
        <v>496</v>
      </c>
      <c r="H70" s="13" t="s">
        <v>497</v>
      </c>
      <c r="I70" s="18" t="s">
        <v>483</v>
      </c>
      <c r="J70" s="13" t="s">
        <v>498</v>
      </c>
      <c r="K70" s="28">
        <v>0</v>
      </c>
      <c r="L70" s="10">
        <v>150</v>
      </c>
      <c r="M70" s="13" t="s">
        <v>377</v>
      </c>
      <c r="N70" s="13" t="s">
        <v>499</v>
      </c>
      <c r="O70" s="13" t="s">
        <v>417</v>
      </c>
      <c r="P70" s="17">
        <f>SUM(Q70:AX70)</f>
        <v>0</v>
      </c>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2"/>
    </row>
    <row r="71" spans="1:51">
      <c r="A71" s="2">
        <v>66</v>
      </c>
      <c r="B71" s="5" t="s">
        <v>88</v>
      </c>
      <c r="C71" s="6"/>
      <c r="D71" s="6" t="s">
        <v>500</v>
      </c>
      <c r="E71" s="4"/>
      <c r="F71" s="6" t="s">
        <v>501</v>
      </c>
      <c r="G71" s="29" t="s">
        <v>501</v>
      </c>
      <c r="H71" s="4"/>
      <c r="I71" s="7"/>
      <c r="J71" s="4"/>
      <c r="K71" s="19">
        <v>0</v>
      </c>
      <c r="L71" s="19">
        <v>0</v>
      </c>
      <c r="M71" s="4"/>
      <c r="N71" s="4"/>
      <c r="O71" s="4"/>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9"/>
    </row>
    <row r="72" spans="1:51" ht="26.45" customHeight="1">
      <c r="A72" s="4">
        <v>67</v>
      </c>
      <c r="B72" s="21" t="s">
        <v>88</v>
      </c>
      <c r="C72" s="3"/>
      <c r="D72" s="1"/>
      <c r="E72" s="2"/>
      <c r="F72" s="1"/>
      <c r="G72" s="26" t="s">
        <v>476</v>
      </c>
      <c r="H72" s="2"/>
      <c r="I72" s="22"/>
      <c r="J72" s="2"/>
      <c r="K72" s="23">
        <v>0</v>
      </c>
      <c r="L72" s="23">
        <v>0</v>
      </c>
      <c r="M72" s="2"/>
      <c r="N72" s="2"/>
      <c r="O72" s="2"/>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25"/>
      <c r="AW72" s="25"/>
      <c r="AX72" s="25"/>
      <c r="AY72" s="1"/>
    </row>
    <row r="73" spans="1:51">
      <c r="A73" s="2">
        <v>68</v>
      </c>
      <c r="B73" s="21" t="s">
        <v>88</v>
      </c>
      <c r="C73" s="3"/>
      <c r="D73" s="1"/>
      <c r="E73" s="2"/>
      <c r="F73" s="1"/>
      <c r="G73" s="26" t="s">
        <v>477</v>
      </c>
      <c r="H73" s="2"/>
      <c r="I73" s="22"/>
      <c r="J73" s="2"/>
      <c r="K73" s="23">
        <v>0</v>
      </c>
      <c r="L73" s="23">
        <v>0</v>
      </c>
      <c r="M73" s="2"/>
      <c r="N73" s="2"/>
      <c r="O73" s="2"/>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c r="AT73" s="25"/>
      <c r="AU73" s="25"/>
      <c r="AV73" s="25"/>
      <c r="AW73" s="25"/>
      <c r="AX73" s="25"/>
      <c r="AY73" s="1"/>
    </row>
    <row r="74" spans="1:51" ht="26.45" customHeight="1">
      <c r="A74" s="4">
        <v>69</v>
      </c>
      <c r="B74" s="11" t="s">
        <v>88</v>
      </c>
      <c r="C74" s="12"/>
      <c r="D74" s="12" t="s">
        <v>502</v>
      </c>
      <c r="E74" s="13"/>
      <c r="F74" s="14"/>
      <c r="G74" s="18" t="s">
        <v>503</v>
      </c>
      <c r="H74" s="13" t="s">
        <v>497</v>
      </c>
      <c r="I74" s="18" t="s">
        <v>486</v>
      </c>
      <c r="J74" s="13" t="s">
        <v>498</v>
      </c>
      <c r="K74" s="28">
        <v>0</v>
      </c>
      <c r="L74" s="10">
        <v>150</v>
      </c>
      <c r="M74" s="13" t="s">
        <v>377</v>
      </c>
      <c r="N74" s="13" t="s">
        <v>504</v>
      </c>
      <c r="O74" s="13" t="s">
        <v>417</v>
      </c>
      <c r="P74" s="17">
        <f>SUM(Q74:AX74)</f>
        <v>0</v>
      </c>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2"/>
    </row>
    <row r="75" spans="1:51">
      <c r="A75" s="2">
        <v>70</v>
      </c>
      <c r="B75" s="5" t="s">
        <v>88</v>
      </c>
      <c r="C75" s="6"/>
      <c r="D75" s="6" t="s">
        <v>505</v>
      </c>
      <c r="E75" s="4"/>
      <c r="F75" s="6" t="s">
        <v>506</v>
      </c>
      <c r="G75" s="29" t="s">
        <v>506</v>
      </c>
      <c r="H75" s="4"/>
      <c r="I75" s="7"/>
      <c r="J75" s="4"/>
      <c r="K75" s="19">
        <v>0</v>
      </c>
      <c r="L75" s="19">
        <v>0</v>
      </c>
      <c r="M75" s="4"/>
      <c r="N75" s="4"/>
      <c r="O75" s="4"/>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9"/>
    </row>
    <row r="76" spans="1:51" ht="26.45" customHeight="1">
      <c r="A76" s="4">
        <v>71</v>
      </c>
      <c r="B76" s="21" t="s">
        <v>88</v>
      </c>
      <c r="C76" s="3"/>
      <c r="D76" s="1"/>
      <c r="E76" s="2"/>
      <c r="F76" s="1"/>
      <c r="G76" s="26" t="s">
        <v>476</v>
      </c>
      <c r="H76" s="2"/>
      <c r="I76" s="22"/>
      <c r="J76" s="2"/>
      <c r="K76" s="23">
        <v>0</v>
      </c>
      <c r="L76" s="23">
        <v>0</v>
      </c>
      <c r="M76" s="2"/>
      <c r="N76" s="2"/>
      <c r="O76" s="2"/>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1"/>
    </row>
    <row r="77" spans="1:51">
      <c r="A77" s="2">
        <v>72</v>
      </c>
      <c r="B77" s="21" t="s">
        <v>88</v>
      </c>
      <c r="C77" s="3"/>
      <c r="D77" s="1"/>
      <c r="E77" s="2"/>
      <c r="F77" s="1"/>
      <c r="G77" s="26" t="s">
        <v>477</v>
      </c>
      <c r="H77" s="2"/>
      <c r="I77" s="22"/>
      <c r="J77" s="2"/>
      <c r="K77" s="23">
        <v>0</v>
      </c>
      <c r="L77" s="23">
        <v>0</v>
      </c>
      <c r="M77" s="2"/>
      <c r="N77" s="2"/>
      <c r="O77" s="2"/>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1"/>
    </row>
    <row r="78" spans="1:51">
      <c r="A78" s="4">
        <v>73</v>
      </c>
      <c r="B78" s="11" t="s">
        <v>88</v>
      </c>
      <c r="C78" s="12"/>
      <c r="D78" s="12" t="s">
        <v>507</v>
      </c>
      <c r="E78" s="13"/>
      <c r="F78" s="14"/>
      <c r="G78" s="18" t="s">
        <v>508</v>
      </c>
      <c r="H78" s="13" t="s">
        <v>413</v>
      </c>
      <c r="I78" s="18" t="s">
        <v>375</v>
      </c>
      <c r="J78" s="13" t="s">
        <v>509</v>
      </c>
      <c r="K78" s="10">
        <v>150</v>
      </c>
      <c r="L78" s="10">
        <v>150</v>
      </c>
      <c r="M78" s="13" t="s">
        <v>415</v>
      </c>
      <c r="N78" s="13" t="s">
        <v>510</v>
      </c>
      <c r="O78" s="13" t="s">
        <v>417</v>
      </c>
      <c r="P78" s="17">
        <f>SUM(Q78:AX78)</f>
        <v>0</v>
      </c>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2"/>
    </row>
    <row r="79" spans="1:51">
      <c r="A79" s="2">
        <v>74</v>
      </c>
      <c r="B79" s="11" t="s">
        <v>88</v>
      </c>
      <c r="C79" s="12"/>
      <c r="D79" s="12" t="s">
        <v>511</v>
      </c>
      <c r="E79" s="13"/>
      <c r="F79" s="14"/>
      <c r="G79" s="18" t="s">
        <v>508</v>
      </c>
      <c r="H79" s="13" t="s">
        <v>419</v>
      </c>
      <c r="I79" s="18" t="s">
        <v>375</v>
      </c>
      <c r="J79" s="13" t="s">
        <v>509</v>
      </c>
      <c r="K79" s="10">
        <v>300</v>
      </c>
      <c r="L79" s="10">
        <v>150</v>
      </c>
      <c r="M79" s="13" t="s">
        <v>415</v>
      </c>
      <c r="N79" s="13" t="s">
        <v>512</v>
      </c>
      <c r="O79" s="13" t="s">
        <v>417</v>
      </c>
      <c r="P79" s="17">
        <f>SUM(Q79:AX79)</f>
        <v>0</v>
      </c>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2"/>
    </row>
    <row r="80" spans="1:51">
      <c r="A80" s="4">
        <v>75</v>
      </c>
      <c r="B80" s="11" t="s">
        <v>88</v>
      </c>
      <c r="C80" s="12"/>
      <c r="D80" s="12" t="s">
        <v>513</v>
      </c>
      <c r="E80" s="13"/>
      <c r="F80" s="14"/>
      <c r="G80" s="18" t="s">
        <v>508</v>
      </c>
      <c r="H80" s="13" t="s">
        <v>422</v>
      </c>
      <c r="I80" s="18" t="s">
        <v>375</v>
      </c>
      <c r="J80" s="13" t="s">
        <v>509</v>
      </c>
      <c r="K80" s="10">
        <v>600</v>
      </c>
      <c r="L80" s="10">
        <v>150</v>
      </c>
      <c r="M80" s="13" t="s">
        <v>415</v>
      </c>
      <c r="N80" s="13" t="s">
        <v>514</v>
      </c>
      <c r="O80" s="13" t="s">
        <v>417</v>
      </c>
      <c r="P80" s="17">
        <f>SUM(Q80:AX80)</f>
        <v>0</v>
      </c>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2"/>
    </row>
    <row r="81" spans="1:51">
      <c r="A81" s="2">
        <v>76</v>
      </c>
      <c r="B81" s="11" t="s">
        <v>88</v>
      </c>
      <c r="C81" s="12"/>
      <c r="D81" s="12" t="s">
        <v>515</v>
      </c>
      <c r="E81" s="13"/>
      <c r="F81" s="14"/>
      <c r="G81" s="18" t="s">
        <v>508</v>
      </c>
      <c r="H81" s="13" t="s">
        <v>425</v>
      </c>
      <c r="I81" s="18" t="s">
        <v>375</v>
      </c>
      <c r="J81" s="13" t="s">
        <v>509</v>
      </c>
      <c r="K81" s="10">
        <v>900</v>
      </c>
      <c r="L81" s="10">
        <v>150</v>
      </c>
      <c r="M81" s="13" t="s">
        <v>415</v>
      </c>
      <c r="N81" s="13" t="s">
        <v>516</v>
      </c>
      <c r="O81" s="13" t="s">
        <v>417</v>
      </c>
      <c r="P81" s="17">
        <f>SUM(Q81:AX81)</f>
        <v>20</v>
      </c>
      <c r="Q81" s="17"/>
      <c r="R81" s="17"/>
      <c r="S81" s="105">
        <v>20</v>
      </c>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2"/>
    </row>
    <row r="82" spans="1:51">
      <c r="A82" s="4">
        <v>77</v>
      </c>
      <c r="B82" s="5" t="s">
        <v>88</v>
      </c>
      <c r="C82" s="6"/>
      <c r="D82" s="6" t="s">
        <v>517</v>
      </c>
      <c r="E82" s="4"/>
      <c r="F82" s="6" t="s">
        <v>518</v>
      </c>
      <c r="G82" s="29" t="s">
        <v>519</v>
      </c>
      <c r="H82" s="4"/>
      <c r="I82" s="7"/>
      <c r="J82" s="4"/>
      <c r="K82" s="19">
        <v>0</v>
      </c>
      <c r="L82" s="19">
        <v>0</v>
      </c>
      <c r="M82" s="4"/>
      <c r="N82" s="4"/>
      <c r="O82" s="4"/>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9"/>
    </row>
    <row r="83" spans="1:51" ht="26.45" customHeight="1">
      <c r="A83" s="2">
        <v>78</v>
      </c>
      <c r="B83" s="21" t="s">
        <v>88</v>
      </c>
      <c r="C83" s="3"/>
      <c r="D83" s="1"/>
      <c r="E83" s="2"/>
      <c r="F83" s="1"/>
      <c r="G83" s="26" t="s">
        <v>476</v>
      </c>
      <c r="H83" s="2"/>
      <c r="I83" s="22"/>
      <c r="J83" s="2"/>
      <c r="K83" s="23">
        <v>0</v>
      </c>
      <c r="L83" s="23">
        <v>0</v>
      </c>
      <c r="M83" s="2"/>
      <c r="N83" s="2"/>
      <c r="O83" s="2"/>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1"/>
    </row>
    <row r="84" spans="1:51">
      <c r="A84" s="4">
        <v>79</v>
      </c>
      <c r="B84" s="21" t="s">
        <v>88</v>
      </c>
      <c r="C84" s="3"/>
      <c r="D84" s="1"/>
      <c r="E84" s="2"/>
      <c r="F84" s="1"/>
      <c r="G84" s="26" t="s">
        <v>477</v>
      </c>
      <c r="H84" s="2"/>
      <c r="I84" s="22"/>
      <c r="J84" s="2"/>
      <c r="K84" s="23">
        <v>0</v>
      </c>
      <c r="L84" s="23">
        <v>0</v>
      </c>
      <c r="M84" s="2"/>
      <c r="N84" s="2"/>
      <c r="O84" s="2"/>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5"/>
      <c r="AW84" s="25"/>
      <c r="AX84" s="25"/>
      <c r="AY84" s="1"/>
    </row>
    <row r="85" spans="1:51">
      <c r="A85" s="2">
        <v>80</v>
      </c>
      <c r="B85" s="11" t="s">
        <v>88</v>
      </c>
      <c r="C85" s="12"/>
      <c r="D85" s="12" t="s">
        <v>520</v>
      </c>
      <c r="E85" s="13"/>
      <c r="F85" s="14"/>
      <c r="G85" s="18" t="s">
        <v>521</v>
      </c>
      <c r="H85" s="13" t="s">
        <v>522</v>
      </c>
      <c r="I85" s="18" t="s">
        <v>375</v>
      </c>
      <c r="J85" s="13" t="s">
        <v>523</v>
      </c>
      <c r="K85" s="28">
        <v>0</v>
      </c>
      <c r="L85" s="10">
        <v>140</v>
      </c>
      <c r="M85" s="13" t="s">
        <v>377</v>
      </c>
      <c r="N85" s="13" t="s">
        <v>524</v>
      </c>
      <c r="O85" s="13" t="s">
        <v>417</v>
      </c>
      <c r="P85" s="17">
        <f>SUM(Q85:AX85)</f>
        <v>0</v>
      </c>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2"/>
    </row>
    <row r="86" spans="1:51" ht="26.45" customHeight="1">
      <c r="A86" s="4">
        <v>81</v>
      </c>
      <c r="B86" s="5" t="s">
        <v>88</v>
      </c>
      <c r="C86" s="6"/>
      <c r="D86" s="6" t="s">
        <v>525</v>
      </c>
      <c r="E86" s="4"/>
      <c r="F86" s="6" t="s">
        <v>526</v>
      </c>
      <c r="G86" s="29" t="s">
        <v>527</v>
      </c>
      <c r="H86" s="4"/>
      <c r="I86" s="7"/>
      <c r="J86" s="4"/>
      <c r="K86" s="19">
        <v>0</v>
      </c>
      <c r="L86" s="19">
        <v>0</v>
      </c>
      <c r="M86" s="4"/>
      <c r="N86" s="4"/>
      <c r="O86" s="4"/>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9"/>
    </row>
    <row r="87" spans="1:51" ht="26.45" customHeight="1">
      <c r="A87" s="2">
        <v>82</v>
      </c>
      <c r="B87" s="21" t="s">
        <v>88</v>
      </c>
      <c r="C87" s="3"/>
      <c r="D87" s="1"/>
      <c r="E87" s="2"/>
      <c r="F87" s="1"/>
      <c r="G87" s="26" t="s">
        <v>476</v>
      </c>
      <c r="H87" s="2"/>
      <c r="I87" s="22"/>
      <c r="J87" s="2"/>
      <c r="K87" s="23">
        <v>0</v>
      </c>
      <c r="L87" s="23">
        <v>0</v>
      </c>
      <c r="M87" s="2"/>
      <c r="N87" s="2"/>
      <c r="O87" s="2"/>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1"/>
    </row>
    <row r="88" spans="1:51">
      <c r="A88" s="4">
        <v>83</v>
      </c>
      <c r="B88" s="21" t="s">
        <v>88</v>
      </c>
      <c r="C88" s="3"/>
      <c r="D88" s="1"/>
      <c r="E88" s="2"/>
      <c r="F88" s="1"/>
      <c r="G88" s="26" t="s">
        <v>477</v>
      </c>
      <c r="H88" s="2"/>
      <c r="I88" s="22"/>
      <c r="J88" s="2"/>
      <c r="K88" s="23">
        <v>0</v>
      </c>
      <c r="L88" s="23">
        <v>0</v>
      </c>
      <c r="M88" s="2"/>
      <c r="N88" s="2"/>
      <c r="O88" s="2"/>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1"/>
    </row>
    <row r="89" spans="1:51" ht="26.45" customHeight="1">
      <c r="A89" s="2">
        <v>84</v>
      </c>
      <c r="B89" s="11" t="s">
        <v>88</v>
      </c>
      <c r="C89" s="12"/>
      <c r="D89" s="12" t="s">
        <v>528</v>
      </c>
      <c r="E89" s="13"/>
      <c r="F89" s="14"/>
      <c r="G89" s="18" t="s">
        <v>529</v>
      </c>
      <c r="H89" s="13" t="s">
        <v>522</v>
      </c>
      <c r="I89" s="18" t="s">
        <v>375</v>
      </c>
      <c r="J89" s="13" t="s">
        <v>530</v>
      </c>
      <c r="K89" s="28">
        <v>0</v>
      </c>
      <c r="L89" s="10">
        <v>140</v>
      </c>
      <c r="M89" s="13" t="s">
        <v>377</v>
      </c>
      <c r="N89" s="13" t="s">
        <v>531</v>
      </c>
      <c r="O89" s="13" t="s">
        <v>417</v>
      </c>
      <c r="P89" s="17">
        <f>SUM(Q89:AX89)</f>
        <v>0</v>
      </c>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2"/>
    </row>
    <row r="90" spans="1:51">
      <c r="A90" s="4">
        <v>85</v>
      </c>
      <c r="B90" s="5" t="s">
        <v>88</v>
      </c>
      <c r="C90" s="6"/>
      <c r="D90" s="6" t="s">
        <v>532</v>
      </c>
      <c r="E90" s="4"/>
      <c r="F90" s="6" t="s">
        <v>533</v>
      </c>
      <c r="G90" s="29" t="s">
        <v>533</v>
      </c>
      <c r="H90" s="4"/>
      <c r="I90" s="7"/>
      <c r="J90" s="4"/>
      <c r="K90" s="19">
        <v>0</v>
      </c>
      <c r="L90" s="19">
        <v>0</v>
      </c>
      <c r="M90" s="4"/>
      <c r="N90" s="4"/>
      <c r="O90" s="4"/>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9"/>
    </row>
    <row r="91" spans="1:51" ht="39.6" customHeight="1">
      <c r="A91" s="2">
        <v>86</v>
      </c>
      <c r="B91" s="21" t="s">
        <v>88</v>
      </c>
      <c r="C91" s="3"/>
      <c r="D91" s="1"/>
      <c r="E91" s="2"/>
      <c r="F91" s="1"/>
      <c r="G91" s="26" t="s">
        <v>534</v>
      </c>
      <c r="H91" s="2"/>
      <c r="I91" s="22"/>
      <c r="J91" s="2"/>
      <c r="K91" s="23">
        <v>0</v>
      </c>
      <c r="L91" s="23">
        <v>0</v>
      </c>
      <c r="M91" s="2"/>
      <c r="N91" s="2"/>
      <c r="O91" s="2"/>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1"/>
    </row>
    <row r="92" spans="1:51" ht="26.45" customHeight="1">
      <c r="A92" s="4">
        <v>87</v>
      </c>
      <c r="B92" s="21" t="s">
        <v>88</v>
      </c>
      <c r="C92" s="3"/>
      <c r="D92" s="1"/>
      <c r="E92" s="2"/>
      <c r="F92" s="1"/>
      <c r="G92" s="26" t="s">
        <v>535</v>
      </c>
      <c r="H92" s="2"/>
      <c r="I92" s="22"/>
      <c r="J92" s="2"/>
      <c r="K92" s="23">
        <v>0</v>
      </c>
      <c r="L92" s="23">
        <v>0</v>
      </c>
      <c r="M92" s="2"/>
      <c r="N92" s="2"/>
      <c r="O92" s="2"/>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1"/>
    </row>
    <row r="93" spans="1:51" ht="26.45" customHeight="1">
      <c r="A93" s="2">
        <v>88</v>
      </c>
      <c r="B93" s="21" t="s">
        <v>88</v>
      </c>
      <c r="C93" s="3"/>
      <c r="D93" s="1"/>
      <c r="E93" s="2"/>
      <c r="F93" s="1"/>
      <c r="G93" s="26" t="s">
        <v>536</v>
      </c>
      <c r="H93" s="2"/>
      <c r="I93" s="22"/>
      <c r="J93" s="2"/>
      <c r="K93" s="23">
        <v>0</v>
      </c>
      <c r="L93" s="23">
        <v>0</v>
      </c>
      <c r="M93" s="2"/>
      <c r="N93" s="2"/>
      <c r="O93" s="2"/>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1"/>
    </row>
    <row r="94" spans="1:51">
      <c r="A94" s="4">
        <v>89</v>
      </c>
      <c r="B94" s="11" t="s">
        <v>88</v>
      </c>
      <c r="C94" s="12"/>
      <c r="D94" s="12" t="s">
        <v>537</v>
      </c>
      <c r="E94" s="13"/>
      <c r="F94" s="14"/>
      <c r="G94" s="18" t="s">
        <v>538</v>
      </c>
      <c r="H94" s="13" t="s">
        <v>539</v>
      </c>
      <c r="I94" s="18" t="s">
        <v>375</v>
      </c>
      <c r="J94" s="13" t="s">
        <v>540</v>
      </c>
      <c r="K94" s="28">
        <v>0</v>
      </c>
      <c r="L94" s="28">
        <v>0</v>
      </c>
      <c r="M94" s="30" t="s">
        <v>541</v>
      </c>
      <c r="N94" s="13" t="s">
        <v>542</v>
      </c>
      <c r="O94" s="13" t="s">
        <v>417</v>
      </c>
      <c r="P94" s="17">
        <f>SUM(Q94:AX94)</f>
        <v>1000</v>
      </c>
      <c r="Q94" s="17"/>
      <c r="R94" s="17"/>
      <c r="S94" s="105">
        <f>(P26/6)*2</f>
        <v>1000</v>
      </c>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2" t="s">
        <v>388</v>
      </c>
    </row>
    <row r="95" spans="1:51">
      <c r="A95" s="2">
        <v>90</v>
      </c>
      <c r="B95" s="5" t="s">
        <v>88</v>
      </c>
      <c r="C95" s="6"/>
      <c r="D95" s="6" t="s">
        <v>543</v>
      </c>
      <c r="E95" s="4"/>
      <c r="F95" s="6" t="s">
        <v>544</v>
      </c>
      <c r="G95" s="29" t="s">
        <v>544</v>
      </c>
      <c r="H95" s="4"/>
      <c r="I95" s="7"/>
      <c r="J95" s="4"/>
      <c r="K95" s="19">
        <v>0</v>
      </c>
      <c r="L95" s="19">
        <v>0</v>
      </c>
      <c r="M95" s="4"/>
      <c r="N95" s="4"/>
      <c r="O95" s="4"/>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9"/>
    </row>
    <row r="96" spans="1:51">
      <c r="A96" s="4">
        <v>91</v>
      </c>
      <c r="B96" s="21" t="s">
        <v>88</v>
      </c>
      <c r="C96" s="3"/>
      <c r="D96" s="1"/>
      <c r="E96" s="2"/>
      <c r="F96" s="1"/>
      <c r="G96" s="26" t="s">
        <v>545</v>
      </c>
      <c r="H96" s="2"/>
      <c r="I96" s="22"/>
      <c r="J96" s="2"/>
      <c r="K96" s="23">
        <v>0</v>
      </c>
      <c r="L96" s="23">
        <v>0</v>
      </c>
      <c r="M96" s="2"/>
      <c r="N96" s="2"/>
      <c r="O96" s="2"/>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c r="AY96" s="1"/>
    </row>
    <row r="97" spans="1:51" ht="26.45" customHeight="1">
      <c r="A97" s="2">
        <v>92</v>
      </c>
      <c r="B97" s="21" t="s">
        <v>88</v>
      </c>
      <c r="C97" s="3"/>
      <c r="D97" s="1"/>
      <c r="E97" s="2"/>
      <c r="F97" s="1"/>
      <c r="G97" s="26" t="s">
        <v>546</v>
      </c>
      <c r="H97" s="2"/>
      <c r="I97" s="22"/>
      <c r="J97" s="2"/>
      <c r="K97" s="23">
        <v>0</v>
      </c>
      <c r="L97" s="23">
        <v>0</v>
      </c>
      <c r="M97" s="2"/>
      <c r="N97" s="2"/>
      <c r="O97" s="2"/>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1"/>
    </row>
    <row r="98" spans="1:51" ht="26.45" customHeight="1">
      <c r="A98" s="4">
        <v>93</v>
      </c>
      <c r="B98" s="11" t="s">
        <v>88</v>
      </c>
      <c r="C98" s="12"/>
      <c r="D98" s="12" t="s">
        <v>547</v>
      </c>
      <c r="E98" s="13"/>
      <c r="F98" s="14"/>
      <c r="G98" s="18" t="s">
        <v>548</v>
      </c>
      <c r="H98" s="13" t="s">
        <v>539</v>
      </c>
      <c r="I98" s="18" t="s">
        <v>375</v>
      </c>
      <c r="J98" s="13" t="s">
        <v>549</v>
      </c>
      <c r="K98" s="28">
        <v>0</v>
      </c>
      <c r="L98" s="28">
        <v>0</v>
      </c>
      <c r="M98" s="30" t="s">
        <v>541</v>
      </c>
      <c r="N98" s="13" t="s">
        <v>550</v>
      </c>
      <c r="O98" s="13" t="s">
        <v>417</v>
      </c>
      <c r="P98" s="17">
        <f>SUM(Q98:AX98)</f>
        <v>0</v>
      </c>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2" t="s">
        <v>388</v>
      </c>
    </row>
    <row r="99" spans="1:51" ht="26.45" customHeight="1">
      <c r="A99" s="2">
        <v>94</v>
      </c>
      <c r="B99" s="11" t="s">
        <v>88</v>
      </c>
      <c r="C99" s="12"/>
      <c r="D99" s="12" t="s">
        <v>551</v>
      </c>
      <c r="E99" s="13"/>
      <c r="F99" s="14"/>
      <c r="G99" s="18" t="s">
        <v>552</v>
      </c>
      <c r="H99" s="13" t="s">
        <v>539</v>
      </c>
      <c r="I99" s="18" t="s">
        <v>483</v>
      </c>
      <c r="J99" s="13" t="s">
        <v>553</v>
      </c>
      <c r="K99" s="28">
        <v>0</v>
      </c>
      <c r="L99" s="28">
        <v>0</v>
      </c>
      <c r="M99" s="10"/>
      <c r="N99" s="13" t="s">
        <v>554</v>
      </c>
      <c r="O99" s="13" t="s">
        <v>417</v>
      </c>
      <c r="P99" s="17">
        <f>SUM(Q99:AX99)</f>
        <v>0</v>
      </c>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2"/>
    </row>
    <row r="100" spans="1:51" ht="26.45" customHeight="1">
      <c r="A100" s="4">
        <v>95</v>
      </c>
      <c r="B100" s="11" t="s">
        <v>88</v>
      </c>
      <c r="C100" s="12"/>
      <c r="D100" s="12" t="s">
        <v>555</v>
      </c>
      <c r="E100" s="13"/>
      <c r="F100" s="14"/>
      <c r="G100" s="18" t="s">
        <v>556</v>
      </c>
      <c r="H100" s="13" t="s">
        <v>539</v>
      </c>
      <c r="I100" s="18" t="s">
        <v>375</v>
      </c>
      <c r="J100" s="13" t="s">
        <v>557</v>
      </c>
      <c r="K100" s="28">
        <v>0</v>
      </c>
      <c r="L100" s="28">
        <v>0</v>
      </c>
      <c r="M100" s="30" t="s">
        <v>541</v>
      </c>
      <c r="N100" s="13" t="s">
        <v>558</v>
      </c>
      <c r="O100" s="13" t="s">
        <v>417</v>
      </c>
      <c r="P100" s="17">
        <f>SUM(Q100:AX100)</f>
        <v>0</v>
      </c>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2"/>
    </row>
    <row r="101" spans="1:51" ht="26.45" customHeight="1">
      <c r="A101" s="2">
        <v>96</v>
      </c>
      <c r="B101" s="11" t="s">
        <v>88</v>
      </c>
      <c r="C101" s="12"/>
      <c r="D101" s="12" t="s">
        <v>559</v>
      </c>
      <c r="E101" s="13"/>
      <c r="F101" s="14"/>
      <c r="G101" s="18" t="s">
        <v>560</v>
      </c>
      <c r="H101" s="13" t="s">
        <v>539</v>
      </c>
      <c r="I101" s="18" t="s">
        <v>486</v>
      </c>
      <c r="J101" s="13" t="s">
        <v>553</v>
      </c>
      <c r="K101" s="28">
        <v>0</v>
      </c>
      <c r="L101" s="28">
        <v>0</v>
      </c>
      <c r="M101" s="10"/>
      <c r="N101" s="13" t="s">
        <v>561</v>
      </c>
      <c r="O101" s="13" t="s">
        <v>417</v>
      </c>
      <c r="P101" s="17">
        <f>SUM(Q101:AX101)</f>
        <v>0</v>
      </c>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2"/>
    </row>
    <row r="102" spans="1:51" ht="26.45" customHeight="1">
      <c r="A102" s="4">
        <v>97</v>
      </c>
      <c r="B102" s="11" t="s">
        <v>88</v>
      </c>
      <c r="C102" s="12"/>
      <c r="D102" s="12" t="s">
        <v>562</v>
      </c>
      <c r="E102" s="13"/>
      <c r="F102" s="14"/>
      <c r="G102" s="18" t="s">
        <v>563</v>
      </c>
      <c r="H102" s="13" t="s">
        <v>539</v>
      </c>
      <c r="I102" s="18" t="s">
        <v>490</v>
      </c>
      <c r="J102" s="13" t="s">
        <v>553</v>
      </c>
      <c r="K102" s="28">
        <v>0</v>
      </c>
      <c r="L102" s="28">
        <v>0</v>
      </c>
      <c r="M102" s="10"/>
      <c r="N102" s="13" t="s">
        <v>564</v>
      </c>
      <c r="O102" s="13" t="s">
        <v>417</v>
      </c>
      <c r="P102" s="17">
        <f>SUM(Q102:AX102)</f>
        <v>0</v>
      </c>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2"/>
    </row>
    <row r="103" spans="1:51" ht="26.45" customHeight="1">
      <c r="A103" s="2">
        <v>98</v>
      </c>
      <c r="B103" s="11" t="s">
        <v>88</v>
      </c>
      <c r="C103" s="12"/>
      <c r="D103" s="12" t="s">
        <v>565</v>
      </c>
      <c r="E103" s="13"/>
      <c r="F103" s="14"/>
      <c r="G103" s="18" t="s">
        <v>566</v>
      </c>
      <c r="H103" s="13" t="s">
        <v>539</v>
      </c>
      <c r="I103" s="18" t="s">
        <v>375</v>
      </c>
      <c r="J103" s="13" t="s">
        <v>553</v>
      </c>
      <c r="K103" s="28">
        <v>0</v>
      </c>
      <c r="L103" s="28">
        <v>0</v>
      </c>
      <c r="M103" s="30" t="s">
        <v>541</v>
      </c>
      <c r="N103" s="13" t="s">
        <v>567</v>
      </c>
      <c r="O103" s="13" t="s">
        <v>417</v>
      </c>
      <c r="P103" s="17">
        <f>SUM(Q103:AX103)</f>
        <v>0</v>
      </c>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4"/>
    </row>
    <row r="104" spans="1:51">
      <c r="A104" s="4">
        <v>99</v>
      </c>
      <c r="B104" s="5" t="s">
        <v>88</v>
      </c>
      <c r="C104" s="6"/>
      <c r="D104" s="6" t="s">
        <v>568</v>
      </c>
      <c r="E104" s="4"/>
      <c r="F104" s="6" t="s">
        <v>569</v>
      </c>
      <c r="G104" s="29" t="s">
        <v>569</v>
      </c>
      <c r="H104" s="4"/>
      <c r="I104" s="7"/>
      <c r="J104" s="4"/>
      <c r="K104" s="19">
        <v>0</v>
      </c>
      <c r="L104" s="19">
        <v>0</v>
      </c>
      <c r="M104" s="4"/>
      <c r="N104" s="4"/>
      <c r="O104" s="4"/>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9"/>
    </row>
    <row r="105" spans="1:51" ht="26.45" customHeight="1">
      <c r="A105" s="2">
        <v>100</v>
      </c>
      <c r="B105" s="21" t="s">
        <v>88</v>
      </c>
      <c r="C105" s="3"/>
      <c r="D105" s="1"/>
      <c r="E105" s="2"/>
      <c r="F105" s="1"/>
      <c r="G105" s="26" t="s">
        <v>476</v>
      </c>
      <c r="H105" s="2"/>
      <c r="I105" s="22"/>
      <c r="J105" s="2"/>
      <c r="K105" s="23">
        <v>0</v>
      </c>
      <c r="L105" s="23">
        <v>0</v>
      </c>
      <c r="M105" s="2"/>
      <c r="N105" s="2"/>
      <c r="O105" s="2"/>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1"/>
    </row>
    <row r="106" spans="1:51" ht="26.45" customHeight="1">
      <c r="A106" s="4">
        <v>101</v>
      </c>
      <c r="B106" s="21" t="s">
        <v>88</v>
      </c>
      <c r="C106" s="3"/>
      <c r="D106" s="1"/>
      <c r="E106" s="2"/>
      <c r="F106" s="1"/>
      <c r="G106" s="26" t="s">
        <v>570</v>
      </c>
      <c r="H106" s="2"/>
      <c r="I106" s="22"/>
      <c r="J106" s="2"/>
      <c r="K106" s="23">
        <v>0</v>
      </c>
      <c r="L106" s="23">
        <v>0</v>
      </c>
      <c r="M106" s="2"/>
      <c r="N106" s="2"/>
      <c r="O106" s="2"/>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1"/>
    </row>
    <row r="107" spans="1:51" ht="52.9" customHeight="1">
      <c r="A107" s="2">
        <v>102</v>
      </c>
      <c r="B107" s="21" t="s">
        <v>88</v>
      </c>
      <c r="C107" s="3"/>
      <c r="D107" s="1"/>
      <c r="E107" s="2"/>
      <c r="F107" s="1"/>
      <c r="G107" s="26" t="s">
        <v>571</v>
      </c>
      <c r="H107" s="2"/>
      <c r="I107" s="22"/>
      <c r="J107" s="2"/>
      <c r="K107" s="23">
        <v>0</v>
      </c>
      <c r="L107" s="23">
        <v>0</v>
      </c>
      <c r="M107" s="2"/>
      <c r="N107" s="2"/>
      <c r="O107" s="2"/>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1"/>
    </row>
    <row r="108" spans="1:51">
      <c r="A108" s="4">
        <v>103</v>
      </c>
      <c r="B108" s="11" t="s">
        <v>88</v>
      </c>
      <c r="C108" s="12"/>
      <c r="D108" s="12" t="s">
        <v>572</v>
      </c>
      <c r="E108" s="13"/>
      <c r="F108" s="14"/>
      <c r="G108" s="18" t="s">
        <v>569</v>
      </c>
      <c r="H108" s="13" t="s">
        <v>413</v>
      </c>
      <c r="I108" s="18" t="s">
        <v>375</v>
      </c>
      <c r="J108" s="13" t="s">
        <v>573</v>
      </c>
      <c r="K108" s="10">
        <v>150</v>
      </c>
      <c r="L108" s="10">
        <v>150</v>
      </c>
      <c r="M108" s="13" t="s">
        <v>415</v>
      </c>
      <c r="N108" s="13" t="s">
        <v>574</v>
      </c>
      <c r="O108" s="13" t="s">
        <v>417</v>
      </c>
      <c r="P108" s="17">
        <f>SUM(Q108:AX108)</f>
        <v>0</v>
      </c>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2"/>
    </row>
    <row r="109" spans="1:51">
      <c r="A109" s="2">
        <v>104</v>
      </c>
      <c r="B109" s="11" t="s">
        <v>88</v>
      </c>
      <c r="C109" s="12"/>
      <c r="D109" s="12" t="s">
        <v>575</v>
      </c>
      <c r="E109" s="13"/>
      <c r="F109" s="14"/>
      <c r="G109" s="18" t="s">
        <v>569</v>
      </c>
      <c r="H109" s="13" t="s">
        <v>419</v>
      </c>
      <c r="I109" s="18" t="s">
        <v>375</v>
      </c>
      <c r="J109" s="13" t="s">
        <v>573</v>
      </c>
      <c r="K109" s="10">
        <v>300</v>
      </c>
      <c r="L109" s="10">
        <v>150</v>
      </c>
      <c r="M109" s="13" t="s">
        <v>415</v>
      </c>
      <c r="N109" s="13" t="s">
        <v>576</v>
      </c>
      <c r="O109" s="13" t="s">
        <v>417</v>
      </c>
      <c r="P109" s="17">
        <f>SUM(Q109:AX109)</f>
        <v>0</v>
      </c>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2"/>
    </row>
    <row r="110" spans="1:51">
      <c r="A110" s="4">
        <v>105</v>
      </c>
      <c r="B110" s="11" t="s">
        <v>88</v>
      </c>
      <c r="C110" s="12"/>
      <c r="D110" s="12" t="s">
        <v>577</v>
      </c>
      <c r="E110" s="13"/>
      <c r="F110" s="14"/>
      <c r="G110" s="18" t="s">
        <v>569</v>
      </c>
      <c r="H110" s="13" t="s">
        <v>422</v>
      </c>
      <c r="I110" s="18" t="s">
        <v>375</v>
      </c>
      <c r="J110" s="13" t="s">
        <v>573</v>
      </c>
      <c r="K110" s="10">
        <v>600</v>
      </c>
      <c r="L110" s="10">
        <v>150</v>
      </c>
      <c r="M110" s="13" t="s">
        <v>415</v>
      </c>
      <c r="N110" s="13" t="s">
        <v>578</v>
      </c>
      <c r="O110" s="13" t="s">
        <v>417</v>
      </c>
      <c r="P110" s="17">
        <f>SUM(Q110:AX110)</f>
        <v>0</v>
      </c>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2"/>
    </row>
    <row r="111" spans="1:51">
      <c r="A111" s="2">
        <v>106</v>
      </c>
      <c r="B111" s="11" t="s">
        <v>88</v>
      </c>
      <c r="C111" s="12"/>
      <c r="D111" s="12" t="s">
        <v>579</v>
      </c>
      <c r="E111" s="13"/>
      <c r="F111" s="14"/>
      <c r="G111" s="18" t="s">
        <v>569</v>
      </c>
      <c r="H111" s="13" t="s">
        <v>425</v>
      </c>
      <c r="I111" s="18" t="s">
        <v>375</v>
      </c>
      <c r="J111" s="13" t="s">
        <v>573</v>
      </c>
      <c r="K111" s="10">
        <v>900</v>
      </c>
      <c r="L111" s="10">
        <v>150</v>
      </c>
      <c r="M111" s="13" t="s">
        <v>415</v>
      </c>
      <c r="N111" s="13" t="s">
        <v>580</v>
      </c>
      <c r="O111" s="13" t="s">
        <v>417</v>
      </c>
      <c r="P111" s="17">
        <f>SUM(Q111:AX111)</f>
        <v>3000</v>
      </c>
      <c r="Q111" s="17"/>
      <c r="R111" s="17"/>
      <c r="S111" s="105">
        <f>(P26/6)*2*3</f>
        <v>3000</v>
      </c>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2"/>
    </row>
    <row r="112" spans="1:51">
      <c r="A112" s="4">
        <v>107</v>
      </c>
      <c r="B112" s="21" t="s">
        <v>88</v>
      </c>
      <c r="C112" s="3"/>
      <c r="D112" s="1"/>
      <c r="E112" s="2"/>
      <c r="F112" s="48" t="s">
        <v>581</v>
      </c>
      <c r="G112" s="49" t="s">
        <v>581</v>
      </c>
      <c r="H112" s="2"/>
      <c r="I112" s="22"/>
      <c r="J112" s="2"/>
      <c r="K112" s="23">
        <v>0</v>
      </c>
      <c r="L112" s="23">
        <v>0</v>
      </c>
      <c r="M112" s="2"/>
      <c r="N112" s="2"/>
      <c r="O112" s="2"/>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1"/>
    </row>
    <row r="113" spans="1:51" ht="39.6" customHeight="1">
      <c r="A113" s="2">
        <v>108</v>
      </c>
      <c r="B113" s="21" t="s">
        <v>88</v>
      </c>
      <c r="C113" s="3"/>
      <c r="D113" s="1"/>
      <c r="E113" s="2"/>
      <c r="F113" s="1"/>
      <c r="G113" s="26" t="s">
        <v>355</v>
      </c>
      <c r="H113" s="2"/>
      <c r="I113" s="22"/>
      <c r="J113" s="2"/>
      <c r="K113" s="23">
        <v>0</v>
      </c>
      <c r="L113" s="23">
        <v>0</v>
      </c>
      <c r="M113" s="2"/>
      <c r="N113" s="2"/>
      <c r="O113" s="2"/>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1"/>
    </row>
    <row r="114" spans="1:51" ht="26.45" customHeight="1">
      <c r="A114" s="4">
        <v>109</v>
      </c>
      <c r="B114" s="21" t="s">
        <v>88</v>
      </c>
      <c r="C114" s="3"/>
      <c r="D114" s="1"/>
      <c r="E114" s="2"/>
      <c r="F114" s="1"/>
      <c r="G114" s="26" t="s">
        <v>356</v>
      </c>
      <c r="H114" s="2"/>
      <c r="I114" s="22"/>
      <c r="J114" s="2"/>
      <c r="K114" s="23">
        <v>0</v>
      </c>
      <c r="L114" s="23">
        <v>0</v>
      </c>
      <c r="M114" s="2"/>
      <c r="N114" s="2"/>
      <c r="O114" s="2"/>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1"/>
    </row>
    <row r="115" spans="1:51" ht="26.45" customHeight="1">
      <c r="A115" s="2">
        <v>110</v>
      </c>
      <c r="B115" s="21" t="s">
        <v>88</v>
      </c>
      <c r="C115" s="3"/>
      <c r="D115" s="1"/>
      <c r="E115" s="2"/>
      <c r="F115" s="1"/>
      <c r="G115" s="26" t="s">
        <v>357</v>
      </c>
      <c r="H115" s="2"/>
      <c r="I115" s="22"/>
      <c r="J115" s="2"/>
      <c r="K115" s="23">
        <v>0</v>
      </c>
      <c r="L115" s="23">
        <v>0</v>
      </c>
      <c r="M115" s="2"/>
      <c r="N115" s="2"/>
      <c r="O115" s="2"/>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1"/>
    </row>
    <row r="116" spans="1:51" ht="26.45" customHeight="1">
      <c r="A116" s="4">
        <v>111</v>
      </c>
      <c r="B116" s="21" t="s">
        <v>88</v>
      </c>
      <c r="C116" s="3"/>
      <c r="D116" s="1"/>
      <c r="E116" s="2"/>
      <c r="F116" s="1"/>
      <c r="G116" s="26" t="s">
        <v>358</v>
      </c>
      <c r="H116" s="2"/>
      <c r="I116" s="22"/>
      <c r="J116" s="2"/>
      <c r="K116" s="23">
        <v>0</v>
      </c>
      <c r="L116" s="23">
        <v>0</v>
      </c>
      <c r="M116" s="2"/>
      <c r="N116" s="2"/>
      <c r="O116" s="2"/>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1"/>
    </row>
    <row r="117" spans="1:51" ht="26.45" customHeight="1">
      <c r="A117" s="2">
        <v>112</v>
      </c>
      <c r="B117" s="21" t="s">
        <v>88</v>
      </c>
      <c r="C117" s="3"/>
      <c r="D117" s="1"/>
      <c r="E117" s="2"/>
      <c r="F117" s="1"/>
      <c r="G117" s="26" t="s">
        <v>359</v>
      </c>
      <c r="H117" s="2"/>
      <c r="I117" s="22"/>
      <c r="J117" s="2"/>
      <c r="K117" s="23">
        <v>0</v>
      </c>
      <c r="L117" s="23">
        <v>0</v>
      </c>
      <c r="M117" s="2"/>
      <c r="N117" s="2"/>
      <c r="O117" s="2"/>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1"/>
    </row>
    <row r="118" spans="1:51">
      <c r="A118" s="4">
        <v>113</v>
      </c>
      <c r="B118" s="21" t="s">
        <v>88</v>
      </c>
      <c r="C118" s="3"/>
      <c r="D118" s="1"/>
      <c r="E118" s="2"/>
      <c r="F118" s="1"/>
      <c r="G118" s="26" t="s">
        <v>360</v>
      </c>
      <c r="H118" s="2"/>
      <c r="I118" s="22"/>
      <c r="J118" s="2"/>
      <c r="K118" s="23">
        <v>0</v>
      </c>
      <c r="L118" s="23">
        <v>0</v>
      </c>
      <c r="M118" s="2"/>
      <c r="N118" s="2"/>
      <c r="O118" s="2"/>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25"/>
      <c r="AU118" s="25"/>
      <c r="AV118" s="25"/>
      <c r="AW118" s="25"/>
      <c r="AX118" s="25"/>
      <c r="AY118" s="1"/>
    </row>
    <row r="119" spans="1:51" ht="26.45" customHeight="1">
      <c r="A119" s="2">
        <v>114</v>
      </c>
      <c r="B119" s="21" t="s">
        <v>88</v>
      </c>
      <c r="C119" s="3"/>
      <c r="D119" s="1"/>
      <c r="E119" s="2"/>
      <c r="F119" s="1"/>
      <c r="G119" s="26" t="s">
        <v>361</v>
      </c>
      <c r="H119" s="2"/>
      <c r="I119" s="22"/>
      <c r="J119" s="2"/>
      <c r="K119" s="23">
        <v>0</v>
      </c>
      <c r="L119" s="23">
        <v>0</v>
      </c>
      <c r="M119" s="2"/>
      <c r="N119" s="2"/>
      <c r="O119" s="2"/>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25"/>
      <c r="AY119" s="1"/>
    </row>
    <row r="120" spans="1:51" ht="26.45" customHeight="1">
      <c r="A120" s="4">
        <v>115</v>
      </c>
      <c r="B120" s="21" t="s">
        <v>88</v>
      </c>
      <c r="C120" s="3"/>
      <c r="D120" s="1"/>
      <c r="E120" s="2"/>
      <c r="F120" s="1"/>
      <c r="G120" s="26" t="s">
        <v>363</v>
      </c>
      <c r="H120" s="2"/>
      <c r="I120" s="22"/>
      <c r="J120" s="2"/>
      <c r="K120" s="23">
        <v>0</v>
      </c>
      <c r="L120" s="23">
        <v>0</v>
      </c>
      <c r="M120" s="2"/>
      <c r="N120" s="2"/>
      <c r="O120" s="2"/>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25"/>
      <c r="AY120" s="1"/>
    </row>
    <row r="121" spans="1:51" ht="26.45" customHeight="1">
      <c r="A121" s="2">
        <v>116</v>
      </c>
      <c r="B121" s="21" t="s">
        <v>88</v>
      </c>
      <c r="C121" s="3"/>
      <c r="D121" s="1"/>
      <c r="E121" s="2"/>
      <c r="F121" s="1"/>
      <c r="G121" s="26" t="s">
        <v>364</v>
      </c>
      <c r="H121" s="2"/>
      <c r="I121" s="22"/>
      <c r="J121" s="2"/>
      <c r="K121" s="23">
        <v>0</v>
      </c>
      <c r="L121" s="23">
        <v>0</v>
      </c>
      <c r="M121" s="2"/>
      <c r="N121" s="2"/>
      <c r="O121" s="2"/>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25"/>
      <c r="AU121" s="25"/>
      <c r="AV121" s="25"/>
      <c r="AW121" s="25"/>
      <c r="AX121" s="25"/>
      <c r="AY121" s="1"/>
    </row>
    <row r="122" spans="1:51">
      <c r="A122" s="4">
        <v>117</v>
      </c>
      <c r="B122" s="21" t="s">
        <v>88</v>
      </c>
      <c r="C122" s="3"/>
      <c r="D122" s="1"/>
      <c r="E122" s="2"/>
      <c r="F122" s="1"/>
      <c r="G122" s="26" t="s">
        <v>365</v>
      </c>
      <c r="H122" s="2"/>
      <c r="I122" s="22"/>
      <c r="J122" s="2"/>
      <c r="K122" s="23">
        <v>0</v>
      </c>
      <c r="L122" s="23">
        <v>0</v>
      </c>
      <c r="M122" s="2"/>
      <c r="N122" s="2"/>
      <c r="O122" s="2"/>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25"/>
      <c r="AY122" s="1"/>
    </row>
    <row r="123" spans="1:51">
      <c r="A123" s="2">
        <v>118</v>
      </c>
      <c r="B123" s="21" t="s">
        <v>88</v>
      </c>
      <c r="C123" s="3"/>
      <c r="D123" s="1"/>
      <c r="E123" s="2"/>
      <c r="F123" s="1"/>
      <c r="G123" s="26" t="s">
        <v>366</v>
      </c>
      <c r="H123" s="2"/>
      <c r="I123" s="22"/>
      <c r="J123" s="2"/>
      <c r="K123" s="23">
        <v>0</v>
      </c>
      <c r="L123" s="23">
        <v>0</v>
      </c>
      <c r="M123" s="2"/>
      <c r="N123" s="2"/>
      <c r="O123" s="2"/>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1"/>
    </row>
    <row r="124" spans="1:51">
      <c r="A124" s="4">
        <v>119</v>
      </c>
      <c r="B124" s="21" t="s">
        <v>88</v>
      </c>
      <c r="C124" s="3"/>
      <c r="D124" s="1"/>
      <c r="E124" s="2"/>
      <c r="F124" s="1"/>
      <c r="G124" s="26" t="s">
        <v>582</v>
      </c>
      <c r="H124" s="2"/>
      <c r="I124" s="22"/>
      <c r="J124" s="2"/>
      <c r="K124" s="23">
        <v>0</v>
      </c>
      <c r="L124" s="23">
        <v>0</v>
      </c>
      <c r="M124" s="2"/>
      <c r="N124" s="2"/>
      <c r="O124" s="2"/>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1"/>
    </row>
    <row r="125" spans="1:51">
      <c r="A125" s="2">
        <v>120</v>
      </c>
      <c r="B125" s="5" t="s">
        <v>88</v>
      </c>
      <c r="C125" s="6"/>
      <c r="D125" s="6" t="s">
        <v>583</v>
      </c>
      <c r="E125" s="4"/>
      <c r="F125" s="6" t="s">
        <v>369</v>
      </c>
      <c r="G125" s="29" t="s">
        <v>370</v>
      </c>
      <c r="H125" s="4"/>
      <c r="I125" s="7"/>
      <c r="J125" s="4"/>
      <c r="K125" s="19">
        <v>0</v>
      </c>
      <c r="L125" s="19">
        <v>0</v>
      </c>
      <c r="M125" s="4"/>
      <c r="N125" s="4"/>
      <c r="O125" s="4"/>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9"/>
    </row>
    <row r="126" spans="1:51">
      <c r="A126" s="4">
        <v>121</v>
      </c>
      <c r="B126" s="21" t="s">
        <v>88</v>
      </c>
      <c r="C126" s="3"/>
      <c r="D126" s="1"/>
      <c r="E126" s="2"/>
      <c r="F126" s="1"/>
      <c r="G126" s="26" t="s">
        <v>371</v>
      </c>
      <c r="H126" s="2"/>
      <c r="I126" s="22"/>
      <c r="J126" s="2"/>
      <c r="K126" s="23">
        <v>0</v>
      </c>
      <c r="L126" s="23">
        <v>0</v>
      </c>
      <c r="M126" s="2"/>
      <c r="N126" s="2"/>
      <c r="O126" s="2"/>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1"/>
    </row>
    <row r="127" spans="1:51">
      <c r="A127" s="2">
        <v>122</v>
      </c>
      <c r="B127" s="11" t="s">
        <v>88</v>
      </c>
      <c r="C127" s="12"/>
      <c r="D127" s="12" t="s">
        <v>584</v>
      </c>
      <c r="E127" s="13"/>
      <c r="F127" s="14"/>
      <c r="G127" s="18" t="s">
        <v>373</v>
      </c>
      <c r="H127" s="13" t="s">
        <v>374</v>
      </c>
      <c r="I127" s="18" t="s">
        <v>585</v>
      </c>
      <c r="J127" s="13" t="s">
        <v>376</v>
      </c>
      <c r="K127" s="10">
        <v>150</v>
      </c>
      <c r="L127" s="10">
        <v>150</v>
      </c>
      <c r="M127" s="13" t="s">
        <v>377</v>
      </c>
      <c r="N127" s="13" t="s">
        <v>586</v>
      </c>
      <c r="O127" s="13" t="s">
        <v>109</v>
      </c>
      <c r="P127" s="17">
        <f>SUM(Q127:AX127)</f>
        <v>840</v>
      </c>
      <c r="Q127" s="17"/>
      <c r="R127" s="17"/>
      <c r="S127" s="17"/>
      <c r="T127" s="17"/>
      <c r="U127" s="17"/>
      <c r="V127" s="17"/>
      <c r="W127" s="17">
        <f>100*2*1.2</f>
        <v>240</v>
      </c>
      <c r="X127" s="17">
        <f>150*2*1.2</f>
        <v>360</v>
      </c>
      <c r="Y127" s="17"/>
      <c r="Z127" s="17"/>
      <c r="AA127" s="17">
        <f>100*2*1.2</f>
        <v>240</v>
      </c>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2" t="s">
        <v>587</v>
      </c>
    </row>
    <row r="128" spans="1:51">
      <c r="A128" s="4">
        <v>123</v>
      </c>
      <c r="B128" s="11" t="s">
        <v>88</v>
      </c>
      <c r="C128" s="12"/>
      <c r="D128" s="12" t="s">
        <v>588</v>
      </c>
      <c r="E128" s="13"/>
      <c r="F128" s="14"/>
      <c r="G128" s="18" t="s">
        <v>373</v>
      </c>
      <c r="H128" s="13" t="s">
        <v>380</v>
      </c>
      <c r="I128" s="18" t="s">
        <v>585</v>
      </c>
      <c r="J128" s="13" t="s">
        <v>376</v>
      </c>
      <c r="K128" s="10">
        <v>300</v>
      </c>
      <c r="L128" s="10">
        <v>150</v>
      </c>
      <c r="M128" s="13" t="s">
        <v>377</v>
      </c>
      <c r="N128" s="13" t="s">
        <v>589</v>
      </c>
      <c r="O128" s="13" t="s">
        <v>109</v>
      </c>
      <c r="P128" s="17">
        <f>SUM(Q128:AX128)</f>
        <v>600</v>
      </c>
      <c r="Q128" s="17"/>
      <c r="R128" s="17"/>
      <c r="S128" s="17"/>
      <c r="T128" s="17"/>
      <c r="U128" s="17"/>
      <c r="V128" s="17"/>
      <c r="W128" s="17">
        <v>200</v>
      </c>
      <c r="X128" s="17">
        <v>200</v>
      </c>
      <c r="Y128" s="17"/>
      <c r="Z128" s="17"/>
      <c r="AA128" s="17">
        <v>200</v>
      </c>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2"/>
    </row>
    <row r="129" spans="1:51">
      <c r="A129" s="2">
        <v>124</v>
      </c>
      <c r="B129" s="11" t="s">
        <v>88</v>
      </c>
      <c r="C129" s="12"/>
      <c r="D129" s="12" t="s">
        <v>590</v>
      </c>
      <c r="E129" s="13"/>
      <c r="F129" s="14"/>
      <c r="G129" s="18" t="s">
        <v>373</v>
      </c>
      <c r="H129" s="13" t="s">
        <v>591</v>
      </c>
      <c r="I129" s="18" t="s">
        <v>585</v>
      </c>
      <c r="J129" s="13" t="s">
        <v>376</v>
      </c>
      <c r="K129" s="10">
        <v>450</v>
      </c>
      <c r="L129" s="10">
        <v>150</v>
      </c>
      <c r="M129" s="13" t="s">
        <v>377</v>
      </c>
      <c r="N129" s="13" t="s">
        <v>592</v>
      </c>
      <c r="O129" s="13" t="s">
        <v>109</v>
      </c>
      <c r="P129" s="17">
        <f>SUM(Q129:AX129)</f>
        <v>0</v>
      </c>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2"/>
    </row>
    <row r="130" spans="1:51">
      <c r="A130" s="4">
        <v>125</v>
      </c>
      <c r="B130" s="11" t="s">
        <v>88</v>
      </c>
      <c r="C130" s="12"/>
      <c r="D130" s="12" t="s">
        <v>593</v>
      </c>
      <c r="E130" s="13"/>
      <c r="F130" s="14"/>
      <c r="G130" s="18" t="s">
        <v>373</v>
      </c>
      <c r="H130" s="13" t="s">
        <v>383</v>
      </c>
      <c r="I130" s="18" t="s">
        <v>585</v>
      </c>
      <c r="J130" s="13" t="s">
        <v>376</v>
      </c>
      <c r="K130" s="10">
        <v>600</v>
      </c>
      <c r="L130" s="10">
        <v>150</v>
      </c>
      <c r="M130" s="13" t="s">
        <v>377</v>
      </c>
      <c r="N130" s="13" t="s">
        <v>594</v>
      </c>
      <c r="O130" s="13" t="s">
        <v>109</v>
      </c>
      <c r="P130" s="17">
        <f>SUM(Q130:AX130)</f>
        <v>0</v>
      </c>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2"/>
    </row>
    <row r="131" spans="1:51">
      <c r="A131" s="2">
        <v>126</v>
      </c>
      <c r="B131" s="11" t="s">
        <v>88</v>
      </c>
      <c r="C131" s="12"/>
      <c r="D131" s="12" t="s">
        <v>595</v>
      </c>
      <c r="E131" s="13"/>
      <c r="F131" s="14"/>
      <c r="G131" s="18" t="s">
        <v>373</v>
      </c>
      <c r="H131" s="13" t="s">
        <v>386</v>
      </c>
      <c r="I131" s="18" t="s">
        <v>585</v>
      </c>
      <c r="J131" s="13" t="s">
        <v>376</v>
      </c>
      <c r="K131" s="10">
        <v>900</v>
      </c>
      <c r="L131" s="10">
        <v>150</v>
      </c>
      <c r="M131" s="13" t="s">
        <v>377</v>
      </c>
      <c r="N131" s="13" t="s">
        <v>596</v>
      </c>
      <c r="O131" s="13" t="s">
        <v>109</v>
      </c>
      <c r="P131" s="17">
        <f>SUM(Q131:AX131)</f>
        <v>0</v>
      </c>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2"/>
    </row>
    <row r="132" spans="1:51" ht="26.45" customHeight="1">
      <c r="A132" s="4">
        <v>127</v>
      </c>
      <c r="B132" s="5" t="s">
        <v>88</v>
      </c>
      <c r="C132" s="6"/>
      <c r="D132" s="6" t="s">
        <v>597</v>
      </c>
      <c r="E132" s="4"/>
      <c r="F132" s="6" t="s">
        <v>408</v>
      </c>
      <c r="G132" s="29" t="s">
        <v>598</v>
      </c>
      <c r="H132" s="4"/>
      <c r="I132" s="7"/>
      <c r="J132" s="4"/>
      <c r="K132" s="19">
        <v>0</v>
      </c>
      <c r="L132" s="19">
        <v>0</v>
      </c>
      <c r="M132" s="4"/>
      <c r="N132" s="4"/>
      <c r="O132" s="4"/>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9"/>
    </row>
    <row r="133" spans="1:51">
      <c r="A133" s="2">
        <v>128</v>
      </c>
      <c r="B133" s="21" t="s">
        <v>88</v>
      </c>
      <c r="C133" s="3"/>
      <c r="D133" s="1"/>
      <c r="E133" s="2"/>
      <c r="F133" s="1"/>
      <c r="G133" s="26" t="s">
        <v>410</v>
      </c>
      <c r="H133" s="2"/>
      <c r="I133" s="22"/>
      <c r="J133" s="2"/>
      <c r="K133" s="23">
        <v>0</v>
      </c>
      <c r="L133" s="23">
        <v>0</v>
      </c>
      <c r="M133" s="2"/>
      <c r="N133" s="2"/>
      <c r="O133" s="2"/>
      <c r="P133" s="25"/>
      <c r="Q133" s="25"/>
      <c r="R133" s="25"/>
      <c r="S133" s="25"/>
      <c r="T133" s="25"/>
      <c r="U133" s="25"/>
      <c r="V133" s="25"/>
      <c r="W133" s="25"/>
      <c r="X133" s="25"/>
      <c r="Y133" s="25"/>
      <c r="Z133" s="25"/>
      <c r="AA133" s="25"/>
      <c r="AB133" s="25"/>
      <c r="AC133" s="25"/>
      <c r="AD133" s="25"/>
      <c r="AE133" s="25"/>
      <c r="AF133" s="25"/>
      <c r="AG133" s="25"/>
      <c r="AH133" s="25"/>
      <c r="AI133" s="25"/>
      <c r="AJ133" s="25"/>
      <c r="AK133" s="25"/>
      <c r="AL133" s="25"/>
      <c r="AM133" s="25"/>
      <c r="AN133" s="25"/>
      <c r="AO133" s="25"/>
      <c r="AP133" s="25"/>
      <c r="AQ133" s="25"/>
      <c r="AR133" s="25"/>
      <c r="AS133" s="25"/>
      <c r="AT133" s="25"/>
      <c r="AU133" s="25"/>
      <c r="AV133" s="25"/>
      <c r="AW133" s="25"/>
      <c r="AX133" s="25"/>
      <c r="AY133" s="1"/>
    </row>
    <row r="134" spans="1:51" ht="26.45" customHeight="1">
      <c r="A134" s="4">
        <v>129</v>
      </c>
      <c r="B134" s="11" t="s">
        <v>88</v>
      </c>
      <c r="C134" s="12"/>
      <c r="D134" s="12" t="s">
        <v>599</v>
      </c>
      <c r="E134" s="13"/>
      <c r="F134" s="14"/>
      <c r="G134" s="18" t="s">
        <v>600</v>
      </c>
      <c r="H134" s="13" t="s">
        <v>413</v>
      </c>
      <c r="I134" s="18" t="s">
        <v>585</v>
      </c>
      <c r="J134" s="13" t="s">
        <v>414</v>
      </c>
      <c r="K134" s="10">
        <v>150</v>
      </c>
      <c r="L134" s="10">
        <v>150</v>
      </c>
      <c r="M134" s="13" t="s">
        <v>415</v>
      </c>
      <c r="N134" s="13" t="s">
        <v>601</v>
      </c>
      <c r="O134" s="13" t="s">
        <v>417</v>
      </c>
      <c r="P134" s="17">
        <f>SUM(Q134:AX134)</f>
        <v>15</v>
      </c>
      <c r="Q134" s="17"/>
      <c r="R134" s="17"/>
      <c r="S134" s="17"/>
      <c r="T134" s="17"/>
      <c r="U134" s="17"/>
      <c r="V134" s="17"/>
      <c r="W134" s="17">
        <v>5</v>
      </c>
      <c r="X134" s="17">
        <v>5</v>
      </c>
      <c r="Y134" s="17"/>
      <c r="Z134" s="17"/>
      <c r="AA134" s="17">
        <v>5</v>
      </c>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2"/>
    </row>
    <row r="135" spans="1:51" ht="26.45" customHeight="1">
      <c r="A135" s="2">
        <v>130</v>
      </c>
      <c r="B135" s="11" t="s">
        <v>88</v>
      </c>
      <c r="C135" s="12"/>
      <c r="D135" s="12" t="s">
        <v>602</v>
      </c>
      <c r="E135" s="13"/>
      <c r="F135" s="14"/>
      <c r="G135" s="18" t="s">
        <v>600</v>
      </c>
      <c r="H135" s="13" t="s">
        <v>419</v>
      </c>
      <c r="I135" s="18" t="s">
        <v>585</v>
      </c>
      <c r="J135" s="13" t="s">
        <v>414</v>
      </c>
      <c r="K135" s="10">
        <v>300</v>
      </c>
      <c r="L135" s="10">
        <v>150</v>
      </c>
      <c r="M135" s="13" t="s">
        <v>415</v>
      </c>
      <c r="N135" s="13" t="s">
        <v>603</v>
      </c>
      <c r="O135" s="13" t="s">
        <v>417</v>
      </c>
      <c r="P135" s="17">
        <f>SUM(Q135:AX135)</f>
        <v>15</v>
      </c>
      <c r="Q135" s="17"/>
      <c r="R135" s="17"/>
      <c r="S135" s="17"/>
      <c r="T135" s="17"/>
      <c r="U135" s="17"/>
      <c r="V135" s="17"/>
      <c r="W135" s="17">
        <v>5</v>
      </c>
      <c r="X135" s="17">
        <v>5</v>
      </c>
      <c r="Y135" s="17"/>
      <c r="Z135" s="17"/>
      <c r="AA135" s="17">
        <v>5</v>
      </c>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2"/>
    </row>
    <row r="136" spans="1:51" ht="26.45" customHeight="1">
      <c r="A136" s="4">
        <v>131</v>
      </c>
      <c r="B136" s="11" t="s">
        <v>88</v>
      </c>
      <c r="C136" s="12"/>
      <c r="D136" s="12" t="s">
        <v>604</v>
      </c>
      <c r="E136" s="13"/>
      <c r="F136" s="14"/>
      <c r="G136" s="18" t="s">
        <v>600</v>
      </c>
      <c r="H136" s="13" t="s">
        <v>422</v>
      </c>
      <c r="I136" s="18" t="s">
        <v>585</v>
      </c>
      <c r="J136" s="13" t="s">
        <v>414</v>
      </c>
      <c r="K136" s="10">
        <v>600</v>
      </c>
      <c r="L136" s="10">
        <v>150</v>
      </c>
      <c r="M136" s="13" t="s">
        <v>415</v>
      </c>
      <c r="N136" s="13" t="s">
        <v>605</v>
      </c>
      <c r="O136" s="13" t="s">
        <v>417</v>
      </c>
      <c r="P136" s="17">
        <f>SUM(Q136:AX136)</f>
        <v>0</v>
      </c>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2"/>
    </row>
    <row r="137" spans="1:51" ht="26.45" customHeight="1">
      <c r="A137" s="2">
        <v>132</v>
      </c>
      <c r="B137" s="11" t="s">
        <v>88</v>
      </c>
      <c r="C137" s="12"/>
      <c r="D137" s="12" t="s">
        <v>606</v>
      </c>
      <c r="E137" s="13"/>
      <c r="F137" s="14"/>
      <c r="G137" s="18" t="s">
        <v>600</v>
      </c>
      <c r="H137" s="13" t="s">
        <v>425</v>
      </c>
      <c r="I137" s="18" t="s">
        <v>585</v>
      </c>
      <c r="J137" s="13" t="s">
        <v>414</v>
      </c>
      <c r="K137" s="10">
        <v>900</v>
      </c>
      <c r="L137" s="10">
        <v>150</v>
      </c>
      <c r="M137" s="13" t="s">
        <v>415</v>
      </c>
      <c r="N137" s="13" t="s">
        <v>607</v>
      </c>
      <c r="O137" s="13" t="s">
        <v>417</v>
      </c>
      <c r="P137" s="17">
        <f>SUM(Q137:AX137)</f>
        <v>0</v>
      </c>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2"/>
    </row>
    <row r="138" spans="1:51" ht="26.45" customHeight="1">
      <c r="A138" s="4">
        <v>133</v>
      </c>
      <c r="B138" s="11" t="s">
        <v>88</v>
      </c>
      <c r="C138" s="12"/>
      <c r="D138" s="12" t="s">
        <v>608</v>
      </c>
      <c r="E138" s="13"/>
      <c r="F138" s="14"/>
      <c r="G138" s="18" t="s">
        <v>600</v>
      </c>
      <c r="H138" s="13" t="s">
        <v>609</v>
      </c>
      <c r="I138" s="18" t="s">
        <v>585</v>
      </c>
      <c r="J138" s="13" t="s">
        <v>414</v>
      </c>
      <c r="K138" s="10">
        <v>450</v>
      </c>
      <c r="L138" s="10">
        <v>150</v>
      </c>
      <c r="M138" s="13" t="s">
        <v>610</v>
      </c>
      <c r="N138" s="13" t="s">
        <v>611</v>
      </c>
      <c r="O138" s="13" t="s">
        <v>417</v>
      </c>
      <c r="P138" s="17">
        <f>SUM(Q138:AX138)</f>
        <v>0</v>
      </c>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4"/>
    </row>
    <row r="139" spans="1:51">
      <c r="A139" s="2">
        <v>134</v>
      </c>
      <c r="B139" s="21" t="s">
        <v>88</v>
      </c>
      <c r="C139" s="3"/>
      <c r="D139" s="1"/>
      <c r="E139" s="2"/>
      <c r="F139" s="1"/>
      <c r="G139" s="26" t="s">
        <v>612</v>
      </c>
      <c r="H139" s="2"/>
      <c r="I139" s="22"/>
      <c r="J139" s="2"/>
      <c r="K139" s="23">
        <v>0</v>
      </c>
      <c r="L139" s="23">
        <v>0</v>
      </c>
      <c r="M139" s="2"/>
      <c r="N139" s="2"/>
      <c r="O139" s="2"/>
      <c r="P139" s="25"/>
      <c r="Q139" s="25"/>
      <c r="R139" s="25"/>
      <c r="S139" s="25"/>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c r="AQ139" s="25"/>
      <c r="AR139" s="25"/>
      <c r="AS139" s="25"/>
      <c r="AT139" s="25"/>
      <c r="AU139" s="25"/>
      <c r="AV139" s="25"/>
      <c r="AW139" s="25"/>
      <c r="AX139" s="25"/>
      <c r="AY139" s="1"/>
    </row>
    <row r="140" spans="1:51" ht="26.45" customHeight="1">
      <c r="A140" s="4">
        <v>135</v>
      </c>
      <c r="B140" s="11" t="s">
        <v>88</v>
      </c>
      <c r="C140" s="12"/>
      <c r="D140" s="12" t="s">
        <v>613</v>
      </c>
      <c r="E140" s="13"/>
      <c r="F140" s="14"/>
      <c r="G140" s="18" t="s">
        <v>600</v>
      </c>
      <c r="H140" s="13" t="s">
        <v>419</v>
      </c>
      <c r="I140" s="18" t="s">
        <v>585</v>
      </c>
      <c r="J140" s="13" t="s">
        <v>614</v>
      </c>
      <c r="K140" s="10">
        <v>300</v>
      </c>
      <c r="L140" s="10">
        <v>150</v>
      </c>
      <c r="M140" s="13" t="s">
        <v>610</v>
      </c>
      <c r="N140" s="13" t="s">
        <v>615</v>
      </c>
      <c r="O140" s="13" t="s">
        <v>417</v>
      </c>
      <c r="P140" s="17">
        <f>SUM(Q140:AX140)</f>
        <v>15</v>
      </c>
      <c r="Q140" s="17"/>
      <c r="R140" s="17"/>
      <c r="S140" s="17"/>
      <c r="T140" s="17"/>
      <c r="U140" s="17"/>
      <c r="V140" s="17"/>
      <c r="W140" s="17">
        <v>5</v>
      </c>
      <c r="X140" s="17">
        <v>5</v>
      </c>
      <c r="Y140" s="17"/>
      <c r="Z140" s="17"/>
      <c r="AA140" s="17">
        <v>5</v>
      </c>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4"/>
    </row>
    <row r="141" spans="1:51" ht="26.45" customHeight="1">
      <c r="A141" s="2">
        <v>136</v>
      </c>
      <c r="B141" s="11" t="s">
        <v>88</v>
      </c>
      <c r="C141" s="12"/>
      <c r="D141" s="12" t="s">
        <v>616</v>
      </c>
      <c r="E141" s="13"/>
      <c r="F141" s="14"/>
      <c r="G141" s="18" t="s">
        <v>600</v>
      </c>
      <c r="H141" s="13" t="s">
        <v>422</v>
      </c>
      <c r="I141" s="18" t="s">
        <v>585</v>
      </c>
      <c r="J141" s="13" t="s">
        <v>614</v>
      </c>
      <c r="K141" s="10">
        <v>600</v>
      </c>
      <c r="L141" s="10">
        <v>150</v>
      </c>
      <c r="M141" s="13" t="s">
        <v>610</v>
      </c>
      <c r="N141" s="13" t="s">
        <v>617</v>
      </c>
      <c r="O141" s="13" t="s">
        <v>417</v>
      </c>
      <c r="P141" s="17">
        <f>SUM(Q141:AX141)</f>
        <v>0</v>
      </c>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4"/>
    </row>
    <row r="142" spans="1:51">
      <c r="A142" s="4">
        <v>137</v>
      </c>
      <c r="B142" s="5" t="s">
        <v>88</v>
      </c>
      <c r="C142" s="6"/>
      <c r="D142" s="6" t="s">
        <v>618</v>
      </c>
      <c r="E142" s="4"/>
      <c r="F142" s="6" t="s">
        <v>428</v>
      </c>
      <c r="G142" s="29" t="s">
        <v>619</v>
      </c>
      <c r="H142" s="4"/>
      <c r="I142" s="7"/>
      <c r="J142" s="4"/>
      <c r="K142" s="19">
        <v>0</v>
      </c>
      <c r="L142" s="19">
        <v>0</v>
      </c>
      <c r="M142" s="4"/>
      <c r="N142" s="4"/>
      <c r="O142" s="4"/>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9"/>
    </row>
    <row r="143" spans="1:51">
      <c r="A143" s="2">
        <v>138</v>
      </c>
      <c r="B143" s="21" t="s">
        <v>88</v>
      </c>
      <c r="C143" s="3"/>
      <c r="D143" s="1"/>
      <c r="E143" s="2"/>
      <c r="F143" s="1"/>
      <c r="G143" s="26" t="s">
        <v>612</v>
      </c>
      <c r="H143" s="2"/>
      <c r="I143" s="22"/>
      <c r="J143" s="2"/>
      <c r="K143" s="23">
        <v>0</v>
      </c>
      <c r="L143" s="23">
        <v>0</v>
      </c>
      <c r="M143" s="2"/>
      <c r="N143" s="2"/>
      <c r="O143" s="2"/>
      <c r="P143" s="25"/>
      <c r="Q143" s="25"/>
      <c r="R143" s="25"/>
      <c r="S143" s="25"/>
      <c r="T143" s="25"/>
      <c r="U143" s="25"/>
      <c r="V143" s="25"/>
      <c r="W143" s="25"/>
      <c r="X143" s="25"/>
      <c r="Y143" s="25"/>
      <c r="Z143" s="25"/>
      <c r="AA143" s="25"/>
      <c r="AB143" s="25"/>
      <c r="AC143" s="25"/>
      <c r="AD143" s="25"/>
      <c r="AE143" s="25"/>
      <c r="AF143" s="25"/>
      <c r="AG143" s="25"/>
      <c r="AH143" s="25"/>
      <c r="AI143" s="25"/>
      <c r="AJ143" s="25"/>
      <c r="AK143" s="25"/>
      <c r="AL143" s="25"/>
      <c r="AM143" s="25"/>
      <c r="AN143" s="25"/>
      <c r="AO143" s="25"/>
      <c r="AP143" s="25"/>
      <c r="AQ143" s="25"/>
      <c r="AR143" s="25"/>
      <c r="AS143" s="25"/>
      <c r="AT143" s="25"/>
      <c r="AU143" s="25"/>
      <c r="AV143" s="25"/>
      <c r="AW143" s="25"/>
      <c r="AX143" s="25"/>
      <c r="AY143" s="1"/>
    </row>
    <row r="144" spans="1:51" ht="26.45" customHeight="1">
      <c r="A144" s="4">
        <v>139</v>
      </c>
      <c r="B144" s="11" t="s">
        <v>88</v>
      </c>
      <c r="C144" s="12"/>
      <c r="D144" s="12" t="s">
        <v>620</v>
      </c>
      <c r="E144" s="13"/>
      <c r="F144" s="14"/>
      <c r="G144" s="18" t="s">
        <v>621</v>
      </c>
      <c r="H144" s="13" t="s">
        <v>419</v>
      </c>
      <c r="I144" s="18" t="s">
        <v>585</v>
      </c>
      <c r="J144" s="13" t="s">
        <v>432</v>
      </c>
      <c r="K144" s="10">
        <v>300</v>
      </c>
      <c r="L144" s="10">
        <v>150</v>
      </c>
      <c r="M144" s="13" t="s">
        <v>415</v>
      </c>
      <c r="N144" s="13" t="s">
        <v>622</v>
      </c>
      <c r="O144" s="13" t="s">
        <v>417</v>
      </c>
      <c r="P144" s="17">
        <f>SUM(Q144:AX144)</f>
        <v>15</v>
      </c>
      <c r="Q144" s="17"/>
      <c r="R144" s="17"/>
      <c r="S144" s="17"/>
      <c r="T144" s="17"/>
      <c r="U144" s="17"/>
      <c r="V144" s="17"/>
      <c r="W144" s="17">
        <v>5</v>
      </c>
      <c r="X144" s="17">
        <v>5</v>
      </c>
      <c r="Y144" s="17"/>
      <c r="Z144" s="17"/>
      <c r="AA144" s="17">
        <v>5</v>
      </c>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2"/>
    </row>
    <row r="145" spans="1:51" ht="26.45" customHeight="1">
      <c r="A145" s="2">
        <v>140</v>
      </c>
      <c r="B145" s="11" t="s">
        <v>88</v>
      </c>
      <c r="C145" s="12"/>
      <c r="D145" s="12" t="s">
        <v>623</v>
      </c>
      <c r="E145" s="13"/>
      <c r="F145" s="14"/>
      <c r="G145" s="18" t="s">
        <v>621</v>
      </c>
      <c r="H145" s="13" t="s">
        <v>422</v>
      </c>
      <c r="I145" s="18" t="s">
        <v>585</v>
      </c>
      <c r="J145" s="13" t="s">
        <v>432</v>
      </c>
      <c r="K145" s="10">
        <v>600</v>
      </c>
      <c r="L145" s="10">
        <v>150</v>
      </c>
      <c r="M145" s="13" t="s">
        <v>415</v>
      </c>
      <c r="N145" s="13" t="s">
        <v>624</v>
      </c>
      <c r="O145" s="13" t="s">
        <v>417</v>
      </c>
      <c r="P145" s="17">
        <f>SUM(Q145:AX145)</f>
        <v>0</v>
      </c>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2"/>
    </row>
    <row r="146" spans="1:51" ht="26.45" customHeight="1">
      <c r="A146" s="4">
        <v>141</v>
      </c>
      <c r="B146" s="11" t="s">
        <v>88</v>
      </c>
      <c r="C146" s="12"/>
      <c r="D146" s="12" t="s">
        <v>625</v>
      </c>
      <c r="E146" s="13"/>
      <c r="F146" s="14"/>
      <c r="G146" s="18" t="s">
        <v>621</v>
      </c>
      <c r="H146" s="13" t="s">
        <v>425</v>
      </c>
      <c r="I146" s="18" t="s">
        <v>585</v>
      </c>
      <c r="J146" s="13" t="s">
        <v>432</v>
      </c>
      <c r="K146" s="10">
        <v>900</v>
      </c>
      <c r="L146" s="10">
        <v>150</v>
      </c>
      <c r="M146" s="13" t="s">
        <v>415</v>
      </c>
      <c r="N146" s="13" t="s">
        <v>626</v>
      </c>
      <c r="O146" s="13" t="s">
        <v>417</v>
      </c>
      <c r="P146" s="17">
        <f>SUM(Q146:AX146)</f>
        <v>0</v>
      </c>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2"/>
    </row>
    <row r="147" spans="1:51">
      <c r="A147" s="2">
        <v>142</v>
      </c>
      <c r="B147" s="5" t="s">
        <v>88</v>
      </c>
      <c r="C147" s="6"/>
      <c r="D147" s="6" t="s">
        <v>627</v>
      </c>
      <c r="E147" s="4"/>
      <c r="F147" s="6" t="s">
        <v>474</v>
      </c>
      <c r="G147" s="29" t="s">
        <v>475</v>
      </c>
      <c r="H147" s="4"/>
      <c r="I147" s="7"/>
      <c r="J147" s="4"/>
      <c r="K147" s="19">
        <v>0</v>
      </c>
      <c r="L147" s="19">
        <v>0</v>
      </c>
      <c r="M147" s="4"/>
      <c r="N147" s="4"/>
      <c r="O147" s="4"/>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9"/>
    </row>
    <row r="148" spans="1:51" ht="26.45" customHeight="1">
      <c r="A148" s="4">
        <v>143</v>
      </c>
      <c r="B148" s="21" t="s">
        <v>88</v>
      </c>
      <c r="C148" s="3"/>
      <c r="D148" s="1"/>
      <c r="E148" s="2"/>
      <c r="F148" s="1"/>
      <c r="G148" s="26" t="s">
        <v>476</v>
      </c>
      <c r="H148" s="2"/>
      <c r="I148" s="22"/>
      <c r="J148" s="2"/>
      <c r="K148" s="23">
        <v>0</v>
      </c>
      <c r="L148" s="23">
        <v>0</v>
      </c>
      <c r="M148" s="2"/>
      <c r="N148" s="2"/>
      <c r="O148" s="2"/>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c r="AW148" s="25"/>
      <c r="AX148" s="25"/>
      <c r="AY148" s="1"/>
    </row>
    <row r="149" spans="1:51">
      <c r="A149" s="2">
        <v>144</v>
      </c>
      <c r="B149" s="21" t="s">
        <v>88</v>
      </c>
      <c r="C149" s="3"/>
      <c r="D149" s="1"/>
      <c r="E149" s="2"/>
      <c r="F149" s="1"/>
      <c r="G149" s="26" t="s">
        <v>477</v>
      </c>
      <c r="H149" s="2"/>
      <c r="I149" s="22"/>
      <c r="J149" s="2"/>
      <c r="K149" s="23">
        <v>0</v>
      </c>
      <c r="L149" s="23">
        <v>0</v>
      </c>
      <c r="M149" s="2"/>
      <c r="N149" s="2"/>
      <c r="O149" s="2"/>
      <c r="P149" s="25"/>
      <c r="Q149" s="25"/>
      <c r="R149" s="25"/>
      <c r="S149" s="25"/>
      <c r="T149" s="25"/>
      <c r="U149" s="25"/>
      <c r="V149" s="25"/>
      <c r="W149" s="25"/>
      <c r="X149" s="25"/>
      <c r="Y149" s="25"/>
      <c r="Z149" s="25"/>
      <c r="AA149" s="25"/>
      <c r="AB149" s="25"/>
      <c r="AC149" s="25"/>
      <c r="AD149" s="25"/>
      <c r="AE149" s="25"/>
      <c r="AF149" s="25"/>
      <c r="AG149" s="25"/>
      <c r="AH149" s="25"/>
      <c r="AI149" s="25"/>
      <c r="AJ149" s="25"/>
      <c r="AK149" s="25"/>
      <c r="AL149" s="25"/>
      <c r="AM149" s="25"/>
      <c r="AN149" s="25"/>
      <c r="AO149" s="25"/>
      <c r="AP149" s="25"/>
      <c r="AQ149" s="25"/>
      <c r="AR149" s="25"/>
      <c r="AS149" s="25"/>
      <c r="AT149" s="25"/>
      <c r="AU149" s="25"/>
      <c r="AV149" s="25"/>
      <c r="AW149" s="25"/>
      <c r="AX149" s="25"/>
      <c r="AY149" s="1"/>
    </row>
    <row r="150" spans="1:51">
      <c r="A150" s="4">
        <v>145</v>
      </c>
      <c r="B150" s="11" t="s">
        <v>88</v>
      </c>
      <c r="C150" s="12"/>
      <c r="D150" s="12" t="s">
        <v>628</v>
      </c>
      <c r="E150" s="13"/>
      <c r="F150" s="14"/>
      <c r="G150" s="18" t="s">
        <v>479</v>
      </c>
      <c r="H150" s="13" t="s">
        <v>422</v>
      </c>
      <c r="I150" s="18" t="s">
        <v>585</v>
      </c>
      <c r="J150" s="13" t="s">
        <v>480</v>
      </c>
      <c r="K150" s="10">
        <v>600</v>
      </c>
      <c r="L150" s="10">
        <v>150</v>
      </c>
      <c r="M150" s="13" t="s">
        <v>415</v>
      </c>
      <c r="N150" s="13" t="s">
        <v>629</v>
      </c>
      <c r="O150" s="13" t="s">
        <v>417</v>
      </c>
      <c r="P150" s="17">
        <f>SUM(Q150:AX150)</f>
        <v>0</v>
      </c>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2"/>
    </row>
    <row r="151" spans="1:51">
      <c r="A151" s="2">
        <v>146</v>
      </c>
      <c r="B151" s="11" t="s">
        <v>88</v>
      </c>
      <c r="C151" s="12"/>
      <c r="D151" s="12" t="s">
        <v>630</v>
      </c>
      <c r="E151" s="13"/>
      <c r="F151" s="14"/>
      <c r="G151" s="18" t="s">
        <v>479</v>
      </c>
      <c r="H151" s="13" t="s">
        <v>419</v>
      </c>
      <c r="I151" s="18" t="s">
        <v>585</v>
      </c>
      <c r="J151" s="13" t="s">
        <v>480</v>
      </c>
      <c r="K151" s="10">
        <v>300</v>
      </c>
      <c r="L151" s="10">
        <v>150</v>
      </c>
      <c r="M151" s="13" t="s">
        <v>610</v>
      </c>
      <c r="N151" s="13" t="s">
        <v>631</v>
      </c>
      <c r="O151" s="13" t="s">
        <v>417</v>
      </c>
      <c r="P151" s="17">
        <f>SUM(Q151:AX151)</f>
        <v>0</v>
      </c>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4"/>
    </row>
    <row r="152" spans="1:51">
      <c r="A152" s="4">
        <v>147</v>
      </c>
      <c r="B152" s="11" t="s">
        <v>88</v>
      </c>
      <c r="C152" s="12"/>
      <c r="D152" s="12" t="s">
        <v>632</v>
      </c>
      <c r="E152" s="13"/>
      <c r="F152" s="14"/>
      <c r="G152" s="18" t="s">
        <v>479</v>
      </c>
      <c r="H152" s="13" t="s">
        <v>609</v>
      </c>
      <c r="I152" s="18" t="s">
        <v>585</v>
      </c>
      <c r="J152" s="13" t="s">
        <v>480</v>
      </c>
      <c r="K152" s="10">
        <v>450</v>
      </c>
      <c r="L152" s="10">
        <v>150</v>
      </c>
      <c r="M152" s="13" t="s">
        <v>610</v>
      </c>
      <c r="N152" s="13" t="s">
        <v>633</v>
      </c>
      <c r="O152" s="13" t="s">
        <v>417</v>
      </c>
      <c r="P152" s="17">
        <f>SUM(Q152:AX152)</f>
        <v>0</v>
      </c>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4"/>
    </row>
    <row r="153" spans="1:51">
      <c r="A153" s="2">
        <v>148</v>
      </c>
      <c r="B153" s="5" t="s">
        <v>88</v>
      </c>
      <c r="C153" s="6"/>
      <c r="D153" s="6" t="s">
        <v>634</v>
      </c>
      <c r="E153" s="4"/>
      <c r="F153" s="6" t="s">
        <v>494</v>
      </c>
      <c r="G153" s="29" t="s">
        <v>494</v>
      </c>
      <c r="H153" s="4"/>
      <c r="I153" s="7"/>
      <c r="J153" s="4"/>
      <c r="K153" s="19">
        <v>0</v>
      </c>
      <c r="L153" s="19">
        <v>0</v>
      </c>
      <c r="M153" s="4"/>
      <c r="N153" s="4"/>
      <c r="O153" s="4"/>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9"/>
    </row>
    <row r="154" spans="1:51" ht="26.45" customHeight="1">
      <c r="A154" s="4">
        <v>149</v>
      </c>
      <c r="B154" s="21" t="s">
        <v>88</v>
      </c>
      <c r="C154" s="3"/>
      <c r="D154" s="1"/>
      <c r="E154" s="2"/>
      <c r="F154" s="1"/>
      <c r="G154" s="26" t="s">
        <v>635</v>
      </c>
      <c r="H154" s="2"/>
      <c r="I154" s="22"/>
      <c r="J154" s="2"/>
      <c r="K154" s="23">
        <v>0</v>
      </c>
      <c r="L154" s="23">
        <v>0</v>
      </c>
      <c r="M154" s="2"/>
      <c r="N154" s="2"/>
      <c r="O154" s="2"/>
      <c r="P154" s="25"/>
      <c r="Q154" s="25"/>
      <c r="R154" s="25"/>
      <c r="S154" s="25"/>
      <c r="T154" s="25"/>
      <c r="U154" s="25"/>
      <c r="V154" s="25"/>
      <c r="W154" s="25"/>
      <c r="X154" s="25"/>
      <c r="Y154" s="25"/>
      <c r="Z154" s="25"/>
      <c r="AA154" s="25"/>
      <c r="AB154" s="25"/>
      <c r="AC154" s="25"/>
      <c r="AD154" s="25"/>
      <c r="AE154" s="25"/>
      <c r="AF154" s="25"/>
      <c r="AG154" s="25"/>
      <c r="AH154" s="25"/>
      <c r="AI154" s="25"/>
      <c r="AJ154" s="25"/>
      <c r="AK154" s="25"/>
      <c r="AL154" s="25"/>
      <c r="AM154" s="25"/>
      <c r="AN154" s="25"/>
      <c r="AO154" s="25"/>
      <c r="AP154" s="25"/>
      <c r="AQ154" s="25"/>
      <c r="AR154" s="25"/>
      <c r="AS154" s="25"/>
      <c r="AT154" s="25"/>
      <c r="AU154" s="25"/>
      <c r="AV154" s="25"/>
      <c r="AW154" s="25"/>
      <c r="AX154" s="25"/>
      <c r="AY154" s="1"/>
    </row>
    <row r="155" spans="1:51">
      <c r="A155" s="2">
        <v>150</v>
      </c>
      <c r="B155" s="21" t="s">
        <v>88</v>
      </c>
      <c r="C155" s="3"/>
      <c r="D155" s="1"/>
      <c r="E155" s="2"/>
      <c r="F155" s="1"/>
      <c r="G155" s="26" t="s">
        <v>477</v>
      </c>
      <c r="H155" s="2"/>
      <c r="I155" s="22"/>
      <c r="J155" s="2"/>
      <c r="K155" s="23">
        <v>0</v>
      </c>
      <c r="L155" s="23">
        <v>0</v>
      </c>
      <c r="M155" s="2"/>
      <c r="N155" s="2"/>
      <c r="O155" s="2"/>
      <c r="P155" s="25"/>
      <c r="Q155" s="25"/>
      <c r="R155" s="25"/>
      <c r="S155" s="25"/>
      <c r="T155" s="25"/>
      <c r="U155" s="25"/>
      <c r="V155" s="25"/>
      <c r="W155" s="25"/>
      <c r="X155" s="25"/>
      <c r="Y155" s="25"/>
      <c r="Z155" s="25"/>
      <c r="AA155" s="25"/>
      <c r="AB155" s="25"/>
      <c r="AC155" s="25"/>
      <c r="AD155" s="25"/>
      <c r="AE155" s="25"/>
      <c r="AF155" s="25"/>
      <c r="AG155" s="25"/>
      <c r="AH155" s="25"/>
      <c r="AI155" s="25"/>
      <c r="AJ155" s="25"/>
      <c r="AK155" s="25"/>
      <c r="AL155" s="25"/>
      <c r="AM155" s="25"/>
      <c r="AN155" s="25"/>
      <c r="AO155" s="25"/>
      <c r="AP155" s="25"/>
      <c r="AQ155" s="25"/>
      <c r="AR155" s="25"/>
      <c r="AS155" s="25"/>
      <c r="AT155" s="25"/>
      <c r="AU155" s="25"/>
      <c r="AV155" s="25"/>
      <c r="AW155" s="25"/>
      <c r="AX155" s="25"/>
      <c r="AY155" s="1"/>
    </row>
    <row r="156" spans="1:51" ht="26.45" customHeight="1">
      <c r="A156" s="4">
        <v>151</v>
      </c>
      <c r="B156" s="11" t="s">
        <v>88</v>
      </c>
      <c r="C156" s="12"/>
      <c r="D156" s="12" t="s">
        <v>636</v>
      </c>
      <c r="E156" s="13"/>
      <c r="F156" s="14"/>
      <c r="G156" s="18" t="s">
        <v>637</v>
      </c>
      <c r="H156" s="13" t="s">
        <v>497</v>
      </c>
      <c r="I156" s="18" t="s">
        <v>585</v>
      </c>
      <c r="J156" s="13" t="s">
        <v>638</v>
      </c>
      <c r="K156" s="28">
        <v>0</v>
      </c>
      <c r="L156" s="10">
        <v>150</v>
      </c>
      <c r="M156" s="13" t="s">
        <v>377</v>
      </c>
      <c r="N156" s="13" t="s">
        <v>639</v>
      </c>
      <c r="O156" s="13" t="s">
        <v>417</v>
      </c>
      <c r="P156" s="17">
        <f>SUM(Q156:AX156)</f>
        <v>0</v>
      </c>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2"/>
    </row>
    <row r="157" spans="1:51">
      <c r="A157" s="2">
        <v>152</v>
      </c>
      <c r="B157" s="5" t="s">
        <v>88</v>
      </c>
      <c r="C157" s="6"/>
      <c r="D157" s="6" t="s">
        <v>640</v>
      </c>
      <c r="E157" s="4"/>
      <c r="F157" s="6" t="s">
        <v>501</v>
      </c>
      <c r="G157" s="29" t="s">
        <v>641</v>
      </c>
      <c r="H157" s="4"/>
      <c r="I157" s="7"/>
      <c r="J157" s="4"/>
      <c r="K157" s="19">
        <v>0</v>
      </c>
      <c r="L157" s="19">
        <v>0</v>
      </c>
      <c r="M157" s="4"/>
      <c r="N157" s="4"/>
      <c r="O157" s="4"/>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9"/>
    </row>
    <row r="158" spans="1:51" ht="26.45" customHeight="1">
      <c r="A158" s="4">
        <v>153</v>
      </c>
      <c r="B158" s="21" t="s">
        <v>88</v>
      </c>
      <c r="C158" s="3"/>
      <c r="D158" s="1"/>
      <c r="E158" s="2"/>
      <c r="F158" s="1"/>
      <c r="G158" s="26" t="s">
        <v>635</v>
      </c>
      <c r="H158" s="2"/>
      <c r="I158" s="22"/>
      <c r="J158" s="2"/>
      <c r="K158" s="23">
        <v>0</v>
      </c>
      <c r="L158" s="23">
        <v>0</v>
      </c>
      <c r="M158" s="2"/>
      <c r="N158" s="2"/>
      <c r="O158" s="2"/>
      <c r="P158" s="25"/>
      <c r="Q158" s="25"/>
      <c r="R158" s="25"/>
      <c r="S158" s="25"/>
      <c r="T158" s="25"/>
      <c r="U158" s="25"/>
      <c r="V158" s="25"/>
      <c r="W158" s="25"/>
      <c r="X158" s="25"/>
      <c r="Y158" s="25"/>
      <c r="Z158" s="25"/>
      <c r="AA158" s="25"/>
      <c r="AB158" s="25"/>
      <c r="AC158" s="25"/>
      <c r="AD158" s="25"/>
      <c r="AE158" s="25"/>
      <c r="AF158" s="25"/>
      <c r="AG158" s="25"/>
      <c r="AH158" s="25"/>
      <c r="AI158" s="25"/>
      <c r="AJ158" s="25"/>
      <c r="AK158" s="25"/>
      <c r="AL158" s="25"/>
      <c r="AM158" s="25"/>
      <c r="AN158" s="25"/>
      <c r="AO158" s="25"/>
      <c r="AP158" s="25"/>
      <c r="AQ158" s="25"/>
      <c r="AR158" s="25"/>
      <c r="AS158" s="25"/>
      <c r="AT158" s="25"/>
      <c r="AU158" s="25"/>
      <c r="AV158" s="25"/>
      <c r="AW158" s="25"/>
      <c r="AX158" s="25"/>
      <c r="AY158" s="1"/>
    </row>
    <row r="159" spans="1:51">
      <c r="A159" s="2">
        <v>154</v>
      </c>
      <c r="B159" s="21" t="s">
        <v>88</v>
      </c>
      <c r="C159" s="3"/>
      <c r="D159" s="1"/>
      <c r="E159" s="2"/>
      <c r="F159" s="1"/>
      <c r="G159" s="26" t="s">
        <v>477</v>
      </c>
      <c r="H159" s="2"/>
      <c r="I159" s="22"/>
      <c r="J159" s="2"/>
      <c r="K159" s="23">
        <v>0</v>
      </c>
      <c r="L159" s="23">
        <v>0</v>
      </c>
      <c r="M159" s="2"/>
      <c r="N159" s="2"/>
      <c r="O159" s="2"/>
      <c r="P159" s="25"/>
      <c r="Q159" s="25"/>
      <c r="R159" s="25"/>
      <c r="S159" s="25"/>
      <c r="T159" s="25"/>
      <c r="U159" s="25"/>
      <c r="V159" s="25"/>
      <c r="W159" s="25"/>
      <c r="X159" s="25"/>
      <c r="Y159" s="25"/>
      <c r="Z159" s="25"/>
      <c r="AA159" s="25"/>
      <c r="AB159" s="25"/>
      <c r="AC159" s="25"/>
      <c r="AD159" s="25"/>
      <c r="AE159" s="25"/>
      <c r="AF159" s="25"/>
      <c r="AG159" s="25"/>
      <c r="AH159" s="25"/>
      <c r="AI159" s="25"/>
      <c r="AJ159" s="25"/>
      <c r="AK159" s="25"/>
      <c r="AL159" s="25"/>
      <c r="AM159" s="25"/>
      <c r="AN159" s="25"/>
      <c r="AO159" s="25"/>
      <c r="AP159" s="25"/>
      <c r="AQ159" s="25"/>
      <c r="AR159" s="25"/>
      <c r="AS159" s="25"/>
      <c r="AT159" s="25"/>
      <c r="AU159" s="25"/>
      <c r="AV159" s="25"/>
      <c r="AW159" s="25"/>
      <c r="AX159" s="25"/>
      <c r="AY159" s="1"/>
    </row>
    <row r="160" spans="1:51" ht="26.45" customHeight="1">
      <c r="A160" s="4">
        <v>155</v>
      </c>
      <c r="B160" s="11" t="s">
        <v>88</v>
      </c>
      <c r="C160" s="12"/>
      <c r="D160" s="12" t="s">
        <v>642</v>
      </c>
      <c r="E160" s="13"/>
      <c r="F160" s="14"/>
      <c r="G160" s="18" t="s">
        <v>643</v>
      </c>
      <c r="H160" s="13" t="s">
        <v>497</v>
      </c>
      <c r="I160" s="18" t="s">
        <v>585</v>
      </c>
      <c r="J160" s="13" t="s">
        <v>644</v>
      </c>
      <c r="K160" s="28">
        <v>0</v>
      </c>
      <c r="L160" s="10">
        <v>150</v>
      </c>
      <c r="M160" s="13" t="s">
        <v>377</v>
      </c>
      <c r="N160" s="13" t="s">
        <v>645</v>
      </c>
      <c r="O160" s="13" t="s">
        <v>417</v>
      </c>
      <c r="P160" s="17">
        <f>SUM(Q160:AX160)</f>
        <v>0</v>
      </c>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2"/>
    </row>
    <row r="161" spans="1:51">
      <c r="A161" s="2">
        <v>156</v>
      </c>
      <c r="B161" s="5" t="s">
        <v>88</v>
      </c>
      <c r="C161" s="6"/>
      <c r="D161" s="6" t="s">
        <v>646</v>
      </c>
      <c r="E161" s="4"/>
      <c r="F161" s="6" t="s">
        <v>506</v>
      </c>
      <c r="G161" s="29" t="s">
        <v>506</v>
      </c>
      <c r="H161" s="4"/>
      <c r="I161" s="7"/>
      <c r="J161" s="4"/>
      <c r="K161" s="19">
        <v>0</v>
      </c>
      <c r="L161" s="19">
        <v>0</v>
      </c>
      <c r="M161" s="4"/>
      <c r="N161" s="4"/>
      <c r="O161" s="4"/>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9"/>
    </row>
    <row r="162" spans="1:51" ht="26.45" customHeight="1">
      <c r="A162" s="4">
        <v>157</v>
      </c>
      <c r="B162" s="21" t="s">
        <v>88</v>
      </c>
      <c r="C162" s="3"/>
      <c r="D162" s="1"/>
      <c r="E162" s="2"/>
      <c r="F162" s="1"/>
      <c r="G162" s="26" t="s">
        <v>635</v>
      </c>
      <c r="H162" s="2"/>
      <c r="I162" s="22"/>
      <c r="J162" s="2"/>
      <c r="K162" s="23">
        <v>0</v>
      </c>
      <c r="L162" s="23">
        <v>0</v>
      </c>
      <c r="M162" s="2"/>
      <c r="N162" s="2"/>
      <c r="O162" s="2"/>
      <c r="P162" s="25"/>
      <c r="Q162" s="25"/>
      <c r="R162" s="25"/>
      <c r="S162" s="25"/>
      <c r="T162" s="25"/>
      <c r="U162" s="25"/>
      <c r="V162" s="25"/>
      <c r="W162" s="25"/>
      <c r="X162" s="25"/>
      <c r="Y162" s="25"/>
      <c r="Z162" s="25"/>
      <c r="AA162" s="25"/>
      <c r="AB162" s="25"/>
      <c r="AC162" s="25"/>
      <c r="AD162" s="25"/>
      <c r="AE162" s="25"/>
      <c r="AF162" s="25"/>
      <c r="AG162" s="25"/>
      <c r="AH162" s="25"/>
      <c r="AI162" s="25"/>
      <c r="AJ162" s="25"/>
      <c r="AK162" s="25"/>
      <c r="AL162" s="25"/>
      <c r="AM162" s="25"/>
      <c r="AN162" s="25"/>
      <c r="AO162" s="25"/>
      <c r="AP162" s="25"/>
      <c r="AQ162" s="25"/>
      <c r="AR162" s="25"/>
      <c r="AS162" s="25"/>
      <c r="AT162" s="25"/>
      <c r="AU162" s="25"/>
      <c r="AV162" s="25"/>
      <c r="AW162" s="25"/>
      <c r="AX162" s="25"/>
      <c r="AY162" s="1"/>
    </row>
    <row r="163" spans="1:51">
      <c r="A163" s="2">
        <v>158</v>
      </c>
      <c r="B163" s="21" t="s">
        <v>88</v>
      </c>
      <c r="C163" s="3"/>
      <c r="D163" s="1"/>
      <c r="E163" s="2"/>
      <c r="F163" s="1"/>
      <c r="G163" s="26" t="s">
        <v>477</v>
      </c>
      <c r="H163" s="2"/>
      <c r="I163" s="22"/>
      <c r="J163" s="2"/>
      <c r="K163" s="23">
        <v>0</v>
      </c>
      <c r="L163" s="23">
        <v>0</v>
      </c>
      <c r="M163" s="2"/>
      <c r="N163" s="2"/>
      <c r="O163" s="2"/>
      <c r="P163" s="25"/>
      <c r="Q163" s="25"/>
      <c r="R163" s="25"/>
      <c r="S163" s="25"/>
      <c r="T163" s="25"/>
      <c r="U163" s="25"/>
      <c r="V163" s="25"/>
      <c r="W163" s="25"/>
      <c r="X163" s="25"/>
      <c r="Y163" s="25"/>
      <c r="Z163" s="25"/>
      <c r="AA163" s="25"/>
      <c r="AB163" s="25"/>
      <c r="AC163" s="25"/>
      <c r="AD163" s="25"/>
      <c r="AE163" s="25"/>
      <c r="AF163" s="25"/>
      <c r="AG163" s="25"/>
      <c r="AH163" s="25"/>
      <c r="AI163" s="25"/>
      <c r="AJ163" s="25"/>
      <c r="AK163" s="25"/>
      <c r="AL163" s="25"/>
      <c r="AM163" s="25"/>
      <c r="AN163" s="25"/>
      <c r="AO163" s="25"/>
      <c r="AP163" s="25"/>
      <c r="AQ163" s="25"/>
      <c r="AR163" s="25"/>
      <c r="AS163" s="25"/>
      <c r="AT163" s="25"/>
      <c r="AU163" s="25"/>
      <c r="AV163" s="25"/>
      <c r="AW163" s="25"/>
      <c r="AX163" s="25"/>
      <c r="AY163" s="1"/>
    </row>
    <row r="164" spans="1:51">
      <c r="A164" s="4">
        <v>159</v>
      </c>
      <c r="B164" s="11" t="s">
        <v>88</v>
      </c>
      <c r="C164" s="12"/>
      <c r="D164" s="12" t="s">
        <v>647</v>
      </c>
      <c r="E164" s="13"/>
      <c r="F164" s="14"/>
      <c r="G164" s="18" t="s">
        <v>508</v>
      </c>
      <c r="H164" s="13" t="s">
        <v>419</v>
      </c>
      <c r="I164" s="18" t="s">
        <v>585</v>
      </c>
      <c r="J164" s="13" t="s">
        <v>509</v>
      </c>
      <c r="K164" s="10">
        <v>300</v>
      </c>
      <c r="L164" s="10">
        <v>150</v>
      </c>
      <c r="M164" s="13" t="s">
        <v>415</v>
      </c>
      <c r="N164" s="13" t="s">
        <v>648</v>
      </c>
      <c r="O164" s="13" t="s">
        <v>417</v>
      </c>
      <c r="P164" s="17">
        <f>SUM(Q164:AX164)</f>
        <v>15</v>
      </c>
      <c r="Q164" s="17"/>
      <c r="R164" s="17"/>
      <c r="S164" s="17"/>
      <c r="T164" s="17"/>
      <c r="U164" s="17"/>
      <c r="V164" s="17"/>
      <c r="W164" s="17">
        <v>5</v>
      </c>
      <c r="X164" s="17">
        <v>5</v>
      </c>
      <c r="Y164" s="17"/>
      <c r="Z164" s="17"/>
      <c r="AA164" s="17">
        <v>5</v>
      </c>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2"/>
    </row>
    <row r="165" spans="1:51">
      <c r="A165" s="2">
        <v>160</v>
      </c>
      <c r="B165" s="11" t="s">
        <v>88</v>
      </c>
      <c r="C165" s="12"/>
      <c r="D165" s="12" t="s">
        <v>649</v>
      </c>
      <c r="E165" s="13"/>
      <c r="F165" s="14"/>
      <c r="G165" s="18" t="s">
        <v>508</v>
      </c>
      <c r="H165" s="13" t="s">
        <v>422</v>
      </c>
      <c r="I165" s="18" t="s">
        <v>585</v>
      </c>
      <c r="J165" s="13" t="s">
        <v>509</v>
      </c>
      <c r="K165" s="10">
        <v>600</v>
      </c>
      <c r="L165" s="10">
        <v>150</v>
      </c>
      <c r="M165" s="13" t="s">
        <v>415</v>
      </c>
      <c r="N165" s="13" t="s">
        <v>650</v>
      </c>
      <c r="O165" s="13" t="s">
        <v>417</v>
      </c>
      <c r="P165" s="17">
        <f>SUM(Q165:AX165)</f>
        <v>0</v>
      </c>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2"/>
    </row>
    <row r="166" spans="1:51">
      <c r="A166" s="4">
        <v>161</v>
      </c>
      <c r="B166" s="11" t="s">
        <v>88</v>
      </c>
      <c r="C166" s="12"/>
      <c r="D166" s="12" t="s">
        <v>651</v>
      </c>
      <c r="E166" s="13"/>
      <c r="F166" s="14"/>
      <c r="G166" s="18" t="s">
        <v>508</v>
      </c>
      <c r="H166" s="13" t="s">
        <v>425</v>
      </c>
      <c r="I166" s="18" t="s">
        <v>585</v>
      </c>
      <c r="J166" s="13" t="s">
        <v>509</v>
      </c>
      <c r="K166" s="10">
        <v>900</v>
      </c>
      <c r="L166" s="10">
        <v>150</v>
      </c>
      <c r="M166" s="13" t="s">
        <v>415</v>
      </c>
      <c r="N166" s="13" t="s">
        <v>652</v>
      </c>
      <c r="O166" s="13" t="s">
        <v>417</v>
      </c>
      <c r="P166" s="17">
        <f>SUM(Q166:AX166)</f>
        <v>0</v>
      </c>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2"/>
    </row>
    <row r="167" spans="1:51">
      <c r="A167" s="2">
        <v>162</v>
      </c>
      <c r="B167" s="5" t="s">
        <v>88</v>
      </c>
      <c r="C167" s="6"/>
      <c r="D167" s="6" t="s">
        <v>653</v>
      </c>
      <c r="E167" s="4"/>
      <c r="F167" s="6" t="s">
        <v>518</v>
      </c>
      <c r="G167" s="29" t="s">
        <v>518</v>
      </c>
      <c r="H167" s="4"/>
      <c r="I167" s="7"/>
      <c r="J167" s="4"/>
      <c r="K167" s="19">
        <v>0</v>
      </c>
      <c r="L167" s="19">
        <v>0</v>
      </c>
      <c r="M167" s="4"/>
      <c r="N167" s="4"/>
      <c r="O167" s="4"/>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9"/>
    </row>
    <row r="168" spans="1:51" ht="26.45" customHeight="1">
      <c r="A168" s="4">
        <v>163</v>
      </c>
      <c r="B168" s="21" t="s">
        <v>88</v>
      </c>
      <c r="C168" s="3"/>
      <c r="D168" s="1"/>
      <c r="E168" s="2"/>
      <c r="F168" s="1"/>
      <c r="G168" s="26" t="s">
        <v>635</v>
      </c>
      <c r="H168" s="2"/>
      <c r="I168" s="22"/>
      <c r="J168" s="2"/>
      <c r="K168" s="23">
        <v>0</v>
      </c>
      <c r="L168" s="23">
        <v>0</v>
      </c>
      <c r="M168" s="2"/>
      <c r="N168" s="2"/>
      <c r="O168" s="2"/>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c r="AP168" s="25"/>
      <c r="AQ168" s="25"/>
      <c r="AR168" s="25"/>
      <c r="AS168" s="25"/>
      <c r="AT168" s="25"/>
      <c r="AU168" s="25"/>
      <c r="AV168" s="25"/>
      <c r="AW168" s="25"/>
      <c r="AX168" s="25"/>
      <c r="AY168" s="1"/>
    </row>
    <row r="169" spans="1:51">
      <c r="A169" s="2">
        <v>164</v>
      </c>
      <c r="B169" s="21" t="s">
        <v>88</v>
      </c>
      <c r="C169" s="3"/>
      <c r="D169" s="1"/>
      <c r="E169" s="2"/>
      <c r="F169" s="1"/>
      <c r="G169" s="26" t="s">
        <v>477</v>
      </c>
      <c r="H169" s="2"/>
      <c r="I169" s="22"/>
      <c r="J169" s="2"/>
      <c r="K169" s="23">
        <v>0</v>
      </c>
      <c r="L169" s="23">
        <v>0</v>
      </c>
      <c r="M169" s="2"/>
      <c r="N169" s="2"/>
      <c r="O169" s="2"/>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25"/>
      <c r="AU169" s="25"/>
      <c r="AV169" s="25"/>
      <c r="AW169" s="25"/>
      <c r="AX169" s="25"/>
      <c r="AY169" s="1"/>
    </row>
    <row r="170" spans="1:51">
      <c r="A170" s="4">
        <v>165</v>
      </c>
      <c r="B170" s="11" t="s">
        <v>88</v>
      </c>
      <c r="C170" s="12"/>
      <c r="D170" s="12" t="s">
        <v>654</v>
      </c>
      <c r="E170" s="13"/>
      <c r="F170" s="14"/>
      <c r="G170" s="18" t="s">
        <v>518</v>
      </c>
      <c r="H170" s="13" t="s">
        <v>522</v>
      </c>
      <c r="I170" s="18" t="s">
        <v>585</v>
      </c>
      <c r="J170" s="13" t="s">
        <v>523</v>
      </c>
      <c r="K170" s="28">
        <v>0</v>
      </c>
      <c r="L170" s="10">
        <v>140</v>
      </c>
      <c r="M170" s="13" t="s">
        <v>377</v>
      </c>
      <c r="N170" s="13" t="s">
        <v>655</v>
      </c>
      <c r="O170" s="13" t="s">
        <v>417</v>
      </c>
      <c r="P170" s="17">
        <f>SUM(Q170:AX170)</f>
        <v>0</v>
      </c>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2"/>
    </row>
    <row r="171" spans="1:51">
      <c r="A171" s="2">
        <v>166</v>
      </c>
      <c r="B171" s="5" t="s">
        <v>88</v>
      </c>
      <c r="C171" s="6"/>
      <c r="D171" s="6" t="s">
        <v>656</v>
      </c>
      <c r="E171" s="4"/>
      <c r="F171" s="6" t="s">
        <v>533</v>
      </c>
      <c r="G171" s="29" t="s">
        <v>533</v>
      </c>
      <c r="H171" s="4"/>
      <c r="I171" s="7"/>
      <c r="J171" s="4"/>
      <c r="K171" s="19">
        <v>0</v>
      </c>
      <c r="L171" s="19">
        <v>0</v>
      </c>
      <c r="M171" s="4"/>
      <c r="N171" s="4"/>
      <c r="O171" s="4"/>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9"/>
    </row>
    <row r="172" spans="1:51" ht="39.6" customHeight="1">
      <c r="A172" s="4">
        <v>167</v>
      </c>
      <c r="B172" s="21" t="s">
        <v>88</v>
      </c>
      <c r="C172" s="3"/>
      <c r="D172" s="1"/>
      <c r="E172" s="2"/>
      <c r="F172" s="1"/>
      <c r="G172" s="26" t="s">
        <v>534</v>
      </c>
      <c r="H172" s="2"/>
      <c r="I172" s="22"/>
      <c r="J172" s="2"/>
      <c r="K172" s="23">
        <v>0</v>
      </c>
      <c r="L172" s="23">
        <v>0</v>
      </c>
      <c r="M172" s="2"/>
      <c r="N172" s="2"/>
      <c r="O172" s="2"/>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c r="AP172" s="25"/>
      <c r="AQ172" s="25"/>
      <c r="AR172" s="25"/>
      <c r="AS172" s="25"/>
      <c r="AT172" s="25"/>
      <c r="AU172" s="25"/>
      <c r="AV172" s="25"/>
      <c r="AW172" s="25"/>
      <c r="AX172" s="25"/>
      <c r="AY172" s="1"/>
    </row>
    <row r="173" spans="1:51" ht="26.45" customHeight="1">
      <c r="A173" s="2">
        <v>168</v>
      </c>
      <c r="B173" s="21" t="s">
        <v>88</v>
      </c>
      <c r="C173" s="3"/>
      <c r="D173" s="1"/>
      <c r="E173" s="2"/>
      <c r="F173" s="1"/>
      <c r="G173" s="26" t="s">
        <v>657</v>
      </c>
      <c r="H173" s="2"/>
      <c r="I173" s="22"/>
      <c r="J173" s="2"/>
      <c r="K173" s="23">
        <v>0</v>
      </c>
      <c r="L173" s="23">
        <v>0</v>
      </c>
      <c r="M173" s="2"/>
      <c r="N173" s="2"/>
      <c r="O173" s="2"/>
      <c r="P173" s="25"/>
      <c r="Q173" s="25"/>
      <c r="R173" s="25"/>
      <c r="S173" s="25"/>
      <c r="T173" s="25"/>
      <c r="U173" s="25"/>
      <c r="V173" s="25"/>
      <c r="W173" s="25"/>
      <c r="X173" s="25"/>
      <c r="Y173" s="25"/>
      <c r="Z173" s="25"/>
      <c r="AA173" s="25"/>
      <c r="AB173" s="25"/>
      <c r="AC173" s="25"/>
      <c r="AD173" s="25"/>
      <c r="AE173" s="25"/>
      <c r="AF173" s="25"/>
      <c r="AG173" s="25"/>
      <c r="AH173" s="25"/>
      <c r="AI173" s="25"/>
      <c r="AJ173" s="25"/>
      <c r="AK173" s="25"/>
      <c r="AL173" s="25"/>
      <c r="AM173" s="25"/>
      <c r="AN173" s="25"/>
      <c r="AO173" s="25"/>
      <c r="AP173" s="25"/>
      <c r="AQ173" s="25"/>
      <c r="AR173" s="25"/>
      <c r="AS173" s="25"/>
      <c r="AT173" s="25"/>
      <c r="AU173" s="25"/>
      <c r="AV173" s="25"/>
      <c r="AW173" s="25"/>
      <c r="AX173" s="25"/>
      <c r="AY173" s="1"/>
    </row>
    <row r="174" spans="1:51" ht="26.45" customHeight="1">
      <c r="A174" s="4">
        <v>169</v>
      </c>
      <c r="B174" s="21" t="s">
        <v>88</v>
      </c>
      <c r="C174" s="3"/>
      <c r="D174" s="1"/>
      <c r="E174" s="2"/>
      <c r="F174" s="1"/>
      <c r="G174" s="26" t="s">
        <v>536</v>
      </c>
      <c r="H174" s="2"/>
      <c r="I174" s="22"/>
      <c r="J174" s="2"/>
      <c r="K174" s="23">
        <v>0</v>
      </c>
      <c r="L174" s="23">
        <v>0</v>
      </c>
      <c r="M174" s="2"/>
      <c r="N174" s="2"/>
      <c r="O174" s="2"/>
      <c r="P174" s="25"/>
      <c r="Q174" s="25"/>
      <c r="R174" s="25"/>
      <c r="S174" s="25"/>
      <c r="T174" s="25"/>
      <c r="U174" s="25"/>
      <c r="V174" s="25"/>
      <c r="W174" s="25"/>
      <c r="X174" s="25"/>
      <c r="Y174" s="25"/>
      <c r="Z174" s="25"/>
      <c r="AA174" s="25"/>
      <c r="AB174" s="25"/>
      <c r="AC174" s="25"/>
      <c r="AD174" s="25"/>
      <c r="AE174" s="25"/>
      <c r="AF174" s="25"/>
      <c r="AG174" s="25"/>
      <c r="AH174" s="25"/>
      <c r="AI174" s="25"/>
      <c r="AJ174" s="25"/>
      <c r="AK174" s="25"/>
      <c r="AL174" s="25"/>
      <c r="AM174" s="25"/>
      <c r="AN174" s="25"/>
      <c r="AO174" s="25"/>
      <c r="AP174" s="25"/>
      <c r="AQ174" s="25"/>
      <c r="AR174" s="25"/>
      <c r="AS174" s="25"/>
      <c r="AT174" s="25"/>
      <c r="AU174" s="25"/>
      <c r="AV174" s="25"/>
      <c r="AW174" s="25"/>
      <c r="AX174" s="25"/>
      <c r="AY174" s="1"/>
    </row>
    <row r="175" spans="1:51">
      <c r="A175" s="2">
        <v>170</v>
      </c>
      <c r="B175" s="11" t="s">
        <v>88</v>
      </c>
      <c r="C175" s="12"/>
      <c r="D175" s="12" t="s">
        <v>658</v>
      </c>
      <c r="E175" s="13"/>
      <c r="F175" s="14"/>
      <c r="G175" s="18" t="s">
        <v>533</v>
      </c>
      <c r="H175" s="13" t="s">
        <v>539</v>
      </c>
      <c r="I175" s="18" t="s">
        <v>585</v>
      </c>
      <c r="J175" s="13" t="s">
        <v>540</v>
      </c>
      <c r="K175" s="28">
        <v>0</v>
      </c>
      <c r="L175" s="28">
        <v>0</v>
      </c>
      <c r="M175" s="30" t="s">
        <v>541</v>
      </c>
      <c r="N175" s="13" t="s">
        <v>659</v>
      </c>
      <c r="O175" s="13" t="s">
        <v>417</v>
      </c>
      <c r="P175" s="17">
        <f>SUM(Q175:AX175)</f>
        <v>0</v>
      </c>
      <c r="Q175" s="17"/>
      <c r="R175" s="17"/>
      <c r="S175" s="17"/>
      <c r="T175" s="17"/>
      <c r="U175" s="17"/>
      <c r="V175" s="17"/>
      <c r="W175" s="17">
        <f>(SUM(S127:S128)/6)*2</f>
        <v>0</v>
      </c>
      <c r="X175" s="17">
        <f>(SUM(R127:R128)/6)*2</f>
        <v>0</v>
      </c>
      <c r="Y175" s="17"/>
      <c r="Z175" s="17"/>
      <c r="AA175" s="17">
        <f>(SUM(Q127:Q128)/6)*2</f>
        <v>0</v>
      </c>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2" t="s">
        <v>587</v>
      </c>
    </row>
    <row r="176" spans="1:51">
      <c r="A176" s="4">
        <v>171</v>
      </c>
      <c r="B176" s="5" t="s">
        <v>88</v>
      </c>
      <c r="C176" s="6"/>
      <c r="D176" s="6" t="s">
        <v>660</v>
      </c>
      <c r="E176" s="4"/>
      <c r="F176" s="6" t="s">
        <v>544</v>
      </c>
      <c r="G176" s="29" t="s">
        <v>544</v>
      </c>
      <c r="H176" s="4"/>
      <c r="I176" s="7"/>
      <c r="J176" s="4"/>
      <c r="K176" s="19">
        <v>0</v>
      </c>
      <c r="L176" s="19">
        <v>0</v>
      </c>
      <c r="M176" s="4"/>
      <c r="N176" s="4"/>
      <c r="O176" s="4"/>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9"/>
    </row>
    <row r="177" spans="1:51">
      <c r="A177" s="2">
        <v>172</v>
      </c>
      <c r="B177" s="21" t="s">
        <v>88</v>
      </c>
      <c r="C177" s="3"/>
      <c r="D177" s="1"/>
      <c r="E177" s="2"/>
      <c r="F177" s="1"/>
      <c r="G177" s="26" t="s">
        <v>661</v>
      </c>
      <c r="H177" s="2"/>
      <c r="I177" s="22"/>
      <c r="J177" s="2"/>
      <c r="K177" s="23">
        <v>0</v>
      </c>
      <c r="L177" s="23">
        <v>0</v>
      </c>
      <c r="M177" s="2"/>
      <c r="N177" s="2"/>
      <c r="O177" s="2"/>
      <c r="P177" s="25"/>
      <c r="Q177" s="25"/>
      <c r="R177" s="25"/>
      <c r="S177" s="25"/>
      <c r="T177" s="25"/>
      <c r="U177" s="25"/>
      <c r="V177" s="25"/>
      <c r="W177" s="25"/>
      <c r="X177" s="25"/>
      <c r="Y177" s="25"/>
      <c r="Z177" s="25"/>
      <c r="AA177" s="25"/>
      <c r="AB177" s="25"/>
      <c r="AC177" s="25"/>
      <c r="AD177" s="25"/>
      <c r="AE177" s="25"/>
      <c r="AF177" s="25"/>
      <c r="AG177" s="25"/>
      <c r="AH177" s="25"/>
      <c r="AI177" s="25"/>
      <c r="AJ177" s="25"/>
      <c r="AK177" s="25"/>
      <c r="AL177" s="25"/>
      <c r="AM177" s="25"/>
      <c r="AN177" s="25"/>
      <c r="AO177" s="25"/>
      <c r="AP177" s="25"/>
      <c r="AQ177" s="25"/>
      <c r="AR177" s="25"/>
      <c r="AS177" s="25"/>
      <c r="AT177" s="25"/>
      <c r="AU177" s="25"/>
      <c r="AV177" s="25"/>
      <c r="AW177" s="25"/>
      <c r="AX177" s="25"/>
      <c r="AY177" s="1"/>
    </row>
    <row r="178" spans="1:51" ht="26.45" customHeight="1">
      <c r="A178" s="4">
        <v>173</v>
      </c>
      <c r="B178" s="21" t="s">
        <v>88</v>
      </c>
      <c r="C178" s="3"/>
      <c r="D178" s="1"/>
      <c r="E178" s="2"/>
      <c r="F178" s="1"/>
      <c r="G178" s="26" t="s">
        <v>546</v>
      </c>
      <c r="H178" s="2"/>
      <c r="I178" s="22"/>
      <c r="J178" s="2"/>
      <c r="K178" s="23">
        <v>0</v>
      </c>
      <c r="L178" s="23">
        <v>0</v>
      </c>
      <c r="M178" s="2"/>
      <c r="N178" s="2"/>
      <c r="O178" s="2"/>
      <c r="P178" s="25"/>
      <c r="Q178" s="25"/>
      <c r="R178" s="25"/>
      <c r="S178" s="25"/>
      <c r="T178" s="25"/>
      <c r="U178" s="25"/>
      <c r="V178" s="25"/>
      <c r="W178" s="25"/>
      <c r="X178" s="25"/>
      <c r="Y178" s="25"/>
      <c r="Z178" s="25"/>
      <c r="AA178" s="25"/>
      <c r="AB178" s="25"/>
      <c r="AC178" s="25"/>
      <c r="AD178" s="25"/>
      <c r="AE178" s="25"/>
      <c r="AF178" s="25"/>
      <c r="AG178" s="25"/>
      <c r="AH178" s="25"/>
      <c r="AI178" s="25"/>
      <c r="AJ178" s="25"/>
      <c r="AK178" s="25"/>
      <c r="AL178" s="25"/>
      <c r="AM178" s="25"/>
      <c r="AN178" s="25"/>
      <c r="AO178" s="25"/>
      <c r="AP178" s="25"/>
      <c r="AQ178" s="25"/>
      <c r="AR178" s="25"/>
      <c r="AS178" s="25"/>
      <c r="AT178" s="25"/>
      <c r="AU178" s="25"/>
      <c r="AV178" s="25"/>
      <c r="AW178" s="25"/>
      <c r="AX178" s="25"/>
      <c r="AY178" s="1"/>
    </row>
    <row r="179" spans="1:51">
      <c r="A179" s="2">
        <v>174</v>
      </c>
      <c r="B179" s="11" t="s">
        <v>88</v>
      </c>
      <c r="C179" s="12"/>
      <c r="D179" s="12" t="s">
        <v>662</v>
      </c>
      <c r="E179" s="13"/>
      <c r="F179" s="14"/>
      <c r="G179" s="18" t="s">
        <v>544</v>
      </c>
      <c r="H179" s="13" t="s">
        <v>539</v>
      </c>
      <c r="I179" s="18" t="s">
        <v>585</v>
      </c>
      <c r="J179" s="13" t="s">
        <v>663</v>
      </c>
      <c r="K179" s="28">
        <v>0</v>
      </c>
      <c r="L179" s="28">
        <v>0</v>
      </c>
      <c r="M179" s="10"/>
      <c r="N179" s="13" t="s">
        <v>664</v>
      </c>
      <c r="O179" s="13" t="s">
        <v>417</v>
      </c>
      <c r="P179" s="17">
        <f>SUM(Q179:AX179)</f>
        <v>0</v>
      </c>
      <c r="Q179" s="17"/>
      <c r="R179" s="17"/>
      <c r="S179" s="17"/>
      <c r="T179" s="17"/>
      <c r="U179" s="17"/>
      <c r="V179" s="17"/>
      <c r="W179" s="17">
        <f>(SUM(S127:S128)/6)*2*3</f>
        <v>0</v>
      </c>
      <c r="X179" s="17">
        <f>(SUM(R127:R128)/6)*2*3</f>
        <v>0</v>
      </c>
      <c r="Y179" s="17"/>
      <c r="Z179" s="17"/>
      <c r="AA179" s="17">
        <f>(SUM(Q127:Q128)/6)*2*3</f>
        <v>0</v>
      </c>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2" t="s">
        <v>587</v>
      </c>
    </row>
    <row r="180" spans="1:51">
      <c r="A180" s="4">
        <v>175</v>
      </c>
      <c r="B180" s="21" t="s">
        <v>88</v>
      </c>
      <c r="C180" s="3"/>
      <c r="D180" s="1"/>
      <c r="E180" s="2"/>
      <c r="F180" s="1"/>
      <c r="G180" s="26" t="s">
        <v>665</v>
      </c>
      <c r="H180" s="2"/>
      <c r="I180" s="22"/>
      <c r="J180" s="2"/>
      <c r="K180" s="23">
        <v>0</v>
      </c>
      <c r="L180" s="23">
        <v>0</v>
      </c>
      <c r="M180" s="2"/>
      <c r="N180" s="2"/>
      <c r="O180" s="2"/>
      <c r="P180" s="25"/>
      <c r="Q180" s="25"/>
      <c r="R180" s="25"/>
      <c r="S180" s="25"/>
      <c r="T180" s="25"/>
      <c r="U180" s="25"/>
      <c r="V180" s="25"/>
      <c r="W180" s="25"/>
      <c r="X180" s="25"/>
      <c r="Y180" s="25"/>
      <c r="Z180" s="25"/>
      <c r="AA180" s="25"/>
      <c r="AB180" s="25"/>
      <c r="AC180" s="25"/>
      <c r="AD180" s="25"/>
      <c r="AE180" s="25"/>
      <c r="AF180" s="25"/>
      <c r="AG180" s="25"/>
      <c r="AH180" s="25"/>
      <c r="AI180" s="25"/>
      <c r="AJ180" s="25"/>
      <c r="AK180" s="25"/>
      <c r="AL180" s="25"/>
      <c r="AM180" s="25"/>
      <c r="AN180" s="25"/>
      <c r="AO180" s="25"/>
      <c r="AP180" s="25"/>
      <c r="AQ180" s="25"/>
      <c r="AR180" s="25"/>
      <c r="AS180" s="25"/>
      <c r="AT180" s="25"/>
      <c r="AU180" s="25"/>
      <c r="AV180" s="25"/>
      <c r="AW180" s="25"/>
      <c r="AX180" s="25"/>
      <c r="AY180" s="1"/>
    </row>
    <row r="181" spans="1:51">
      <c r="A181" s="2">
        <v>176</v>
      </c>
      <c r="B181" s="21" t="s">
        <v>88</v>
      </c>
      <c r="C181" s="3"/>
      <c r="D181" s="1"/>
      <c r="E181" s="2"/>
      <c r="F181" s="1"/>
      <c r="G181" s="26" t="s">
        <v>666</v>
      </c>
      <c r="H181" s="2"/>
      <c r="I181" s="22"/>
      <c r="J181" s="2"/>
      <c r="K181" s="23">
        <v>0</v>
      </c>
      <c r="L181" s="23">
        <v>0</v>
      </c>
      <c r="M181" s="2"/>
      <c r="N181" s="2"/>
      <c r="O181" s="2"/>
      <c r="P181" s="25"/>
      <c r="Q181" s="25"/>
      <c r="R181" s="25"/>
      <c r="S181" s="25"/>
      <c r="T181" s="25"/>
      <c r="U181" s="25"/>
      <c r="V181" s="25"/>
      <c r="W181" s="25"/>
      <c r="X181" s="25"/>
      <c r="Y181" s="25"/>
      <c r="Z181" s="25"/>
      <c r="AA181" s="25"/>
      <c r="AB181" s="25"/>
      <c r="AC181" s="25"/>
      <c r="AD181" s="25"/>
      <c r="AE181" s="25"/>
      <c r="AF181" s="25"/>
      <c r="AG181" s="25"/>
      <c r="AH181" s="25"/>
      <c r="AI181" s="25"/>
      <c r="AJ181" s="25"/>
      <c r="AK181" s="25"/>
      <c r="AL181" s="25"/>
      <c r="AM181" s="25"/>
      <c r="AN181" s="25"/>
      <c r="AO181" s="25"/>
      <c r="AP181" s="25"/>
      <c r="AQ181" s="25"/>
      <c r="AR181" s="25"/>
      <c r="AS181" s="25"/>
      <c r="AT181" s="25"/>
      <c r="AU181" s="25"/>
      <c r="AV181" s="25"/>
      <c r="AW181" s="25"/>
      <c r="AX181" s="25"/>
      <c r="AY181" s="1"/>
    </row>
  </sheetData>
  <autoFilter ref="A5:BF181" xr:uid="{00000000-0009-0000-0000-000002000000}"/>
  <mergeCells count="7">
    <mergeCell ref="A2:AY2"/>
    <mergeCell ref="AD3:AX3"/>
    <mergeCell ref="O3:O5"/>
    <mergeCell ref="A1:AY1"/>
    <mergeCell ref="P3:P5"/>
    <mergeCell ref="AY3:AY5"/>
    <mergeCell ref="Q3:AC3"/>
  </mergeCells>
  <pageMargins left="1" right="1" top="1" bottom="1" header="0.3" footer="0.3"/>
  <pageSetup paperSize="0" orientation="portrait"/>
  <headerFooter>
    <oddHeader>&amp;L&amp;"Aptos"&amp;8&amp;K000000 대외비(Restricted)&amp;1#_x000D_&amp;"Calibri"&amp;11&amp;K000000&amp;"Calibri"&amp;1 &amp;K000000 대외비(Restricted)#_x000D_</oddHeader>
  </headerFooter>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AX77"/>
  <sheetViews>
    <sheetView zoomScale="55" zoomScaleNormal="55" workbookViewId="0">
      <pane xSplit="13" ySplit="5" topLeftCell="N6" activePane="bottomRight" state="frozen"/>
      <selection pane="bottomRight" activeCell="P4" sqref="P4"/>
      <selection pane="bottomLeft" activeCell="A6" sqref="A6"/>
      <selection pane="topRight" activeCell="N1" sqref="N1"/>
    </sheetView>
  </sheetViews>
  <sheetFormatPr defaultRowHeight="14.45" outlineLevelCol="1"/>
  <cols>
    <col min="1" max="1" width="5.7109375" customWidth="1"/>
    <col min="2" max="2" width="11.28515625" customWidth="1"/>
    <col min="3" max="3" width="21.28515625" customWidth="1"/>
    <col min="4" max="4" width="8.7109375" customWidth="1"/>
    <col min="5" max="5" width="14.28515625" customWidth="1" outlineLevel="1"/>
    <col min="6" max="6" width="14.28515625" customWidth="1"/>
    <col min="7" max="7" width="35.7109375" customWidth="1"/>
    <col min="8" max="8" width="14.28515625" customWidth="1"/>
    <col min="9" max="9" width="28.7109375" customWidth="1"/>
    <col min="10" max="13" width="14.28515625" customWidth="1" outlineLevel="1"/>
    <col min="14" max="14" width="8.7109375" customWidth="1"/>
    <col min="15" max="15" width="11.28515625" customWidth="1"/>
    <col min="16" max="33" width="13" customWidth="1"/>
    <col min="34" max="34" width="13" customWidth="1" collapsed="1"/>
    <col min="35" max="49" width="13" customWidth="1"/>
    <col min="50" max="50" width="21.28515625" customWidth="1"/>
  </cols>
  <sheetData>
    <row r="1" spans="1:50" ht="18.75" customHeight="1">
      <c r="A1" s="109" t="s">
        <v>7</v>
      </c>
      <c r="B1" s="117"/>
      <c r="C1" s="117"/>
      <c r="D1" s="117"/>
      <c r="E1" s="117"/>
      <c r="F1" s="117"/>
      <c r="G1" s="117"/>
      <c r="H1" s="117"/>
      <c r="I1" s="117"/>
      <c r="J1" s="117"/>
      <c r="K1" s="117"/>
      <c r="L1" s="117"/>
      <c r="M1" s="117"/>
      <c r="N1" s="117"/>
      <c r="O1" s="117"/>
      <c r="P1" s="117"/>
      <c r="Q1" s="117"/>
      <c r="R1" s="117"/>
      <c r="S1" s="117"/>
      <c r="T1" s="117"/>
      <c r="U1" s="117"/>
      <c r="V1" s="117"/>
      <c r="W1" s="117"/>
      <c r="X1" s="117"/>
      <c r="Y1" s="117"/>
      <c r="Z1" s="117"/>
      <c r="AA1" s="117"/>
      <c r="AB1" s="117"/>
      <c r="AC1" s="117"/>
      <c r="AD1" s="117"/>
      <c r="AE1" s="117"/>
      <c r="AF1" s="117"/>
      <c r="AG1" s="117"/>
      <c r="AH1" s="117"/>
      <c r="AI1" s="117"/>
      <c r="AJ1" s="117"/>
      <c r="AK1" s="117"/>
      <c r="AL1" s="117"/>
      <c r="AM1" s="117"/>
      <c r="AN1" s="117"/>
      <c r="AO1" s="117"/>
      <c r="AP1" s="117"/>
      <c r="AQ1" s="117"/>
      <c r="AR1" s="117"/>
      <c r="AS1" s="117"/>
      <c r="AT1" s="117"/>
      <c r="AU1" s="117"/>
      <c r="AV1" s="117"/>
      <c r="AW1" s="117"/>
      <c r="AX1" s="117"/>
    </row>
    <row r="2" spans="1:50" ht="13.5" customHeight="1">
      <c r="A2" s="110" t="s">
        <v>8</v>
      </c>
      <c r="B2" s="118"/>
      <c r="C2" s="118"/>
      <c r="D2" s="118"/>
      <c r="E2" s="118"/>
      <c r="F2" s="118"/>
      <c r="G2" s="118"/>
      <c r="H2" s="118"/>
      <c r="I2" s="118"/>
      <c r="J2" s="118"/>
      <c r="K2" s="118"/>
      <c r="L2" s="118"/>
      <c r="M2" s="118"/>
      <c r="N2" s="118"/>
      <c r="O2" s="118"/>
      <c r="P2" s="118"/>
      <c r="Q2" s="118"/>
      <c r="R2" s="118"/>
      <c r="S2" s="118"/>
      <c r="T2" s="118"/>
      <c r="U2" s="118"/>
      <c r="V2" s="118"/>
      <c r="W2" s="118"/>
      <c r="X2" s="118"/>
      <c r="Y2" s="118"/>
      <c r="Z2" s="118"/>
      <c r="AA2" s="118"/>
      <c r="AB2" s="118"/>
      <c r="AC2" s="118"/>
      <c r="AD2" s="118"/>
      <c r="AE2" s="118"/>
      <c r="AF2" s="118"/>
      <c r="AG2" s="118"/>
      <c r="AH2" s="118"/>
      <c r="AI2" s="118"/>
      <c r="AJ2" s="118"/>
      <c r="AK2" s="118"/>
      <c r="AL2" s="118"/>
      <c r="AM2" s="118"/>
      <c r="AN2" s="118"/>
      <c r="AO2" s="118"/>
      <c r="AP2" s="118"/>
      <c r="AQ2" s="118"/>
      <c r="AR2" s="118"/>
      <c r="AS2" s="118"/>
      <c r="AT2" s="118"/>
      <c r="AU2" s="118"/>
      <c r="AV2" s="118"/>
      <c r="AW2" s="118"/>
      <c r="AX2" s="118"/>
    </row>
    <row r="3" spans="1:50" ht="23.25" customHeight="1">
      <c r="A3" s="102" t="s">
        <v>9</v>
      </c>
      <c r="B3" s="102" t="s">
        <v>10</v>
      </c>
      <c r="C3" s="102" t="s">
        <v>11</v>
      </c>
      <c r="D3" s="102" t="s">
        <v>12</v>
      </c>
      <c r="E3" s="102" t="s">
        <v>13</v>
      </c>
      <c r="F3" s="102" t="s">
        <v>14</v>
      </c>
      <c r="G3" s="102" t="s">
        <v>15</v>
      </c>
      <c r="I3" s="102" t="s">
        <v>16</v>
      </c>
      <c r="J3" s="102" t="s">
        <v>17</v>
      </c>
      <c r="K3" s="102" t="s">
        <v>667</v>
      </c>
      <c r="L3" s="102" t="s">
        <v>668</v>
      </c>
      <c r="M3" s="102" t="s">
        <v>23</v>
      </c>
      <c r="N3" s="107" t="s">
        <v>24</v>
      </c>
      <c r="O3" s="107" t="s">
        <v>25</v>
      </c>
      <c r="P3" s="108" t="s">
        <v>26</v>
      </c>
      <c r="Q3" s="119"/>
      <c r="R3" s="119"/>
      <c r="S3" s="119"/>
      <c r="T3" s="119"/>
      <c r="U3" s="119"/>
      <c r="V3" s="119"/>
      <c r="W3" s="119"/>
      <c r="X3" s="119"/>
      <c r="Y3" s="119"/>
      <c r="Z3" s="119"/>
      <c r="AA3" s="119"/>
      <c r="AB3" s="120"/>
      <c r="AC3" s="108" t="s">
        <v>27</v>
      </c>
      <c r="AD3" s="119"/>
      <c r="AE3" s="119"/>
      <c r="AF3" s="119"/>
      <c r="AG3" s="119"/>
      <c r="AH3" s="119"/>
      <c r="AI3" s="119"/>
      <c r="AJ3" s="119"/>
      <c r="AK3" s="119"/>
      <c r="AL3" s="119"/>
      <c r="AM3" s="119"/>
      <c r="AN3" s="119"/>
      <c r="AO3" s="119"/>
      <c r="AP3" s="119"/>
      <c r="AQ3" s="119"/>
      <c r="AR3" s="119"/>
      <c r="AS3" s="119"/>
      <c r="AT3" s="119"/>
      <c r="AU3" s="119"/>
      <c r="AV3" s="119"/>
      <c r="AW3" s="120"/>
      <c r="AX3" s="107" t="s">
        <v>28</v>
      </c>
    </row>
    <row r="4" spans="1:50" ht="23.25" customHeight="1">
      <c r="G4" s="102" t="s">
        <v>29</v>
      </c>
      <c r="H4" s="102" t="s">
        <v>30</v>
      </c>
      <c r="N4" s="121"/>
      <c r="O4" s="121"/>
      <c r="P4" s="101" t="s">
        <v>31</v>
      </c>
      <c r="Q4" s="101" t="s">
        <v>32</v>
      </c>
      <c r="R4" s="101" t="s">
        <v>33</v>
      </c>
      <c r="S4" s="101" t="s">
        <v>34</v>
      </c>
      <c r="T4" s="101" t="s">
        <v>35</v>
      </c>
      <c r="U4" s="101" t="s">
        <v>36</v>
      </c>
      <c r="V4" s="102" t="s">
        <v>37</v>
      </c>
      <c r="W4" s="102" t="s">
        <v>38</v>
      </c>
      <c r="X4" s="101" t="s">
        <v>39</v>
      </c>
      <c r="Y4" s="101" t="s">
        <v>40</v>
      </c>
      <c r="Z4" s="102" t="s">
        <v>41</v>
      </c>
      <c r="AA4" s="101" t="s">
        <v>42</v>
      </c>
      <c r="AB4" s="101" t="s">
        <v>43</v>
      </c>
      <c r="AC4" s="102" t="s">
        <v>44</v>
      </c>
      <c r="AD4" s="102" t="s">
        <v>45</v>
      </c>
      <c r="AE4" s="101" t="s">
        <v>46</v>
      </c>
      <c r="AF4" s="102" t="s">
        <v>47</v>
      </c>
      <c r="AG4" s="102" t="s">
        <v>48</v>
      </c>
      <c r="AH4" s="101" t="s">
        <v>49</v>
      </c>
      <c r="AI4" s="101" t="s">
        <v>50</v>
      </c>
      <c r="AJ4" s="101" t="s">
        <v>51</v>
      </c>
      <c r="AK4" s="101" t="s">
        <v>52</v>
      </c>
      <c r="AL4" s="101" t="s">
        <v>53</v>
      </c>
      <c r="AM4" s="101" t="s">
        <v>54</v>
      </c>
      <c r="AN4" s="101" t="s">
        <v>55</v>
      </c>
      <c r="AO4" s="101" t="s">
        <v>56</v>
      </c>
      <c r="AP4" s="101" t="s">
        <v>57</v>
      </c>
      <c r="AQ4" s="101" t="s">
        <v>58</v>
      </c>
      <c r="AR4" s="101" t="s">
        <v>59</v>
      </c>
      <c r="AS4" s="101" t="s">
        <v>60</v>
      </c>
      <c r="AT4" s="101" t="s">
        <v>61</v>
      </c>
      <c r="AU4" s="101" t="s">
        <v>62</v>
      </c>
      <c r="AV4" s="101" t="s">
        <v>63</v>
      </c>
      <c r="AW4" s="103" t="s">
        <v>64</v>
      </c>
      <c r="AX4" s="121"/>
    </row>
    <row r="5" spans="1:50" ht="23.25" customHeight="1">
      <c r="N5" s="122"/>
      <c r="O5" s="122"/>
      <c r="P5" s="102" t="s">
        <v>65</v>
      </c>
      <c r="Q5" s="102" t="s">
        <v>65</v>
      </c>
      <c r="R5" s="102" t="s">
        <v>66</v>
      </c>
      <c r="S5" s="101" t="s">
        <v>66</v>
      </c>
      <c r="T5" s="101" t="s">
        <v>66</v>
      </c>
      <c r="U5" s="101" t="s">
        <v>66</v>
      </c>
      <c r="V5" s="101" t="s">
        <v>67</v>
      </c>
      <c r="W5" s="102" t="s">
        <v>68</v>
      </c>
      <c r="X5" s="101" t="s">
        <v>69</v>
      </c>
      <c r="Y5" s="101" t="s">
        <v>70</v>
      </c>
      <c r="Z5" s="101" t="s">
        <v>71</v>
      </c>
      <c r="AA5" s="101" t="s">
        <v>72</v>
      </c>
      <c r="AB5" s="101" t="s">
        <v>73</v>
      </c>
      <c r="AC5" s="102" t="s">
        <v>74</v>
      </c>
      <c r="AD5" s="102" t="s">
        <v>75</v>
      </c>
      <c r="AE5" s="101" t="s">
        <v>76</v>
      </c>
      <c r="AF5" s="102" t="s">
        <v>77</v>
      </c>
      <c r="AG5" s="102" t="s">
        <v>78</v>
      </c>
      <c r="AH5" s="101" t="s">
        <v>79</v>
      </c>
      <c r="AI5" s="101" t="s">
        <v>80</v>
      </c>
      <c r="AJ5" s="101" t="s">
        <v>81</v>
      </c>
      <c r="AK5" s="101" t="s">
        <v>82</v>
      </c>
      <c r="AL5" s="101" t="s">
        <v>83</v>
      </c>
      <c r="AM5" s="101" t="s">
        <v>84</v>
      </c>
      <c r="AN5" s="101" t="s">
        <v>72</v>
      </c>
      <c r="AO5" s="101" t="s">
        <v>85</v>
      </c>
      <c r="AP5" s="101" t="s">
        <v>86</v>
      </c>
      <c r="AQ5" s="101" t="s">
        <v>87</v>
      </c>
      <c r="AR5" s="101" t="s">
        <v>86</v>
      </c>
      <c r="AS5" s="101" t="s">
        <v>87</v>
      </c>
      <c r="AT5" s="101" t="s">
        <v>87</v>
      </c>
      <c r="AU5" s="101" t="s">
        <v>86</v>
      </c>
      <c r="AV5" s="101" t="s">
        <v>87</v>
      </c>
      <c r="AW5" s="101" t="s">
        <v>87</v>
      </c>
      <c r="AX5" s="122"/>
    </row>
    <row r="6" spans="1:50">
      <c r="A6" s="4">
        <v>1</v>
      </c>
      <c r="B6" s="5" t="s">
        <v>88</v>
      </c>
      <c r="C6" s="6"/>
      <c r="D6" s="6" t="s">
        <v>669</v>
      </c>
      <c r="E6" s="4"/>
      <c r="F6" s="6" t="s">
        <v>670</v>
      </c>
      <c r="G6" s="7"/>
      <c r="H6" s="9"/>
      <c r="I6" s="7"/>
      <c r="J6" s="4"/>
      <c r="K6" s="4"/>
      <c r="L6" s="4"/>
      <c r="M6" s="4"/>
      <c r="N6" s="4"/>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9"/>
    </row>
    <row r="7" spans="1:50">
      <c r="A7" s="4">
        <v>2</v>
      </c>
      <c r="B7" s="5" t="s">
        <v>88</v>
      </c>
      <c r="C7" s="6"/>
      <c r="D7" s="37" t="s">
        <v>671</v>
      </c>
      <c r="E7" s="50"/>
      <c r="F7" s="37" t="s">
        <v>672</v>
      </c>
      <c r="G7" s="53"/>
      <c r="H7" s="9"/>
      <c r="I7" s="7"/>
      <c r="J7" s="4"/>
      <c r="K7" s="4"/>
      <c r="L7" s="4"/>
      <c r="M7" s="4"/>
      <c r="N7" s="4"/>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9"/>
    </row>
    <row r="8" spans="1:50" ht="26.45" customHeight="1">
      <c r="A8" s="4">
        <v>3</v>
      </c>
      <c r="B8" s="21" t="s">
        <v>88</v>
      </c>
      <c r="C8" s="3"/>
      <c r="D8" s="1"/>
      <c r="E8" s="2"/>
      <c r="F8" s="1"/>
      <c r="G8" s="26" t="s">
        <v>673</v>
      </c>
      <c r="H8" s="1"/>
      <c r="I8" s="22"/>
      <c r="J8" s="2"/>
      <c r="K8" s="2"/>
      <c r="L8" s="2"/>
      <c r="M8" s="2"/>
      <c r="N8" s="2"/>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1"/>
    </row>
    <row r="9" spans="1:50" ht="26.45" customHeight="1">
      <c r="A9" s="4">
        <v>4</v>
      </c>
      <c r="B9" s="21" t="s">
        <v>88</v>
      </c>
      <c r="C9" s="3"/>
      <c r="D9" s="1"/>
      <c r="E9" s="2"/>
      <c r="F9" s="1"/>
      <c r="G9" s="26" t="s">
        <v>674</v>
      </c>
      <c r="H9" s="1"/>
      <c r="I9" s="22"/>
      <c r="J9" s="2"/>
      <c r="K9" s="2"/>
      <c r="L9" s="2"/>
      <c r="M9" s="2"/>
      <c r="N9" s="2"/>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1"/>
    </row>
    <row r="10" spans="1:50" ht="26.45" customHeight="1">
      <c r="A10" s="4">
        <v>5</v>
      </c>
      <c r="B10" s="21" t="s">
        <v>88</v>
      </c>
      <c r="C10" s="3"/>
      <c r="D10" s="1"/>
      <c r="E10" s="2"/>
      <c r="F10" s="1"/>
      <c r="G10" s="26" t="s">
        <v>675</v>
      </c>
      <c r="H10" s="1"/>
      <c r="I10" s="22"/>
      <c r="J10" s="2"/>
      <c r="K10" s="2"/>
      <c r="L10" s="2"/>
      <c r="M10" s="2"/>
      <c r="N10" s="2"/>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1"/>
    </row>
    <row r="11" spans="1:50">
      <c r="A11" s="4">
        <v>6</v>
      </c>
      <c r="B11" s="11" t="s">
        <v>88</v>
      </c>
      <c r="C11" s="12"/>
      <c r="D11" s="12" t="s">
        <v>676</v>
      </c>
      <c r="E11" s="13"/>
      <c r="F11" s="14"/>
      <c r="G11" s="18" t="s">
        <v>677</v>
      </c>
      <c r="H11" s="12" t="s">
        <v>678</v>
      </c>
      <c r="I11" s="18" t="s">
        <v>679</v>
      </c>
      <c r="J11" s="13" t="s">
        <v>680</v>
      </c>
      <c r="K11" s="13" t="s">
        <v>396</v>
      </c>
      <c r="L11" s="13" t="s">
        <v>681</v>
      </c>
      <c r="M11" s="13" t="s">
        <v>682</v>
      </c>
      <c r="N11" s="13" t="s">
        <v>109</v>
      </c>
      <c r="O11" s="17">
        <f>SUM(P11:AW11)</f>
        <v>0</v>
      </c>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2"/>
    </row>
    <row r="12" spans="1:50">
      <c r="A12" s="4">
        <v>7</v>
      </c>
      <c r="B12" s="11" t="s">
        <v>88</v>
      </c>
      <c r="C12" s="12"/>
      <c r="D12" s="12" t="s">
        <v>683</v>
      </c>
      <c r="E12" s="13"/>
      <c r="F12" s="14"/>
      <c r="G12" s="18" t="s">
        <v>677</v>
      </c>
      <c r="H12" s="12" t="s">
        <v>684</v>
      </c>
      <c r="I12" s="18" t="s">
        <v>679</v>
      </c>
      <c r="J12" s="13" t="s">
        <v>680</v>
      </c>
      <c r="K12" s="13" t="s">
        <v>685</v>
      </c>
      <c r="L12" s="13" t="s">
        <v>681</v>
      </c>
      <c r="M12" s="13" t="s">
        <v>686</v>
      </c>
      <c r="N12" s="13" t="s">
        <v>109</v>
      </c>
      <c r="O12" s="17">
        <f>SUM(P12:AW12)</f>
        <v>0</v>
      </c>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2"/>
    </row>
    <row r="13" spans="1:50">
      <c r="A13" s="4">
        <v>8</v>
      </c>
      <c r="B13" s="11" t="s">
        <v>88</v>
      </c>
      <c r="C13" s="12"/>
      <c r="D13" s="12" t="s">
        <v>687</v>
      </c>
      <c r="E13" s="13"/>
      <c r="F13" s="14"/>
      <c r="G13" s="18" t="s">
        <v>677</v>
      </c>
      <c r="H13" s="12" t="s">
        <v>688</v>
      </c>
      <c r="I13" s="18" t="s">
        <v>679</v>
      </c>
      <c r="J13" s="13" t="s">
        <v>680</v>
      </c>
      <c r="K13" s="13" t="s">
        <v>689</v>
      </c>
      <c r="L13" s="13" t="s">
        <v>681</v>
      </c>
      <c r="M13" s="13" t="s">
        <v>690</v>
      </c>
      <c r="N13" s="13" t="s">
        <v>109</v>
      </c>
      <c r="O13" s="17">
        <f>SUM(P13:AW13)</f>
        <v>0</v>
      </c>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2"/>
    </row>
    <row r="14" spans="1:50">
      <c r="A14" s="4">
        <v>9</v>
      </c>
      <c r="B14" s="11" t="s">
        <v>88</v>
      </c>
      <c r="C14" s="12"/>
      <c r="D14" s="12" t="s">
        <v>691</v>
      </c>
      <c r="E14" s="13"/>
      <c r="F14" s="14"/>
      <c r="G14" s="18" t="s">
        <v>677</v>
      </c>
      <c r="H14" s="12" t="s">
        <v>692</v>
      </c>
      <c r="I14" s="18" t="s">
        <v>679</v>
      </c>
      <c r="J14" s="13" t="s">
        <v>680</v>
      </c>
      <c r="K14" s="13" t="s">
        <v>610</v>
      </c>
      <c r="L14" s="13" t="s">
        <v>681</v>
      </c>
      <c r="M14" s="13" t="s">
        <v>693</v>
      </c>
      <c r="N14" s="13" t="s">
        <v>109</v>
      </c>
      <c r="O14" s="17">
        <f>SUM(P14:AW14)</f>
        <v>0</v>
      </c>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2"/>
    </row>
    <row r="15" spans="1:50">
      <c r="A15" s="4">
        <v>10</v>
      </c>
      <c r="B15" s="11" t="s">
        <v>88</v>
      </c>
      <c r="C15" s="12"/>
      <c r="D15" s="12" t="s">
        <v>694</v>
      </c>
      <c r="E15" s="13"/>
      <c r="F15" s="14"/>
      <c r="G15" s="18" t="s">
        <v>677</v>
      </c>
      <c r="H15" s="12" t="s">
        <v>695</v>
      </c>
      <c r="I15" s="18" t="s">
        <v>679</v>
      </c>
      <c r="J15" s="13" t="s">
        <v>680</v>
      </c>
      <c r="K15" s="13" t="s">
        <v>696</v>
      </c>
      <c r="L15" s="13" t="s">
        <v>681</v>
      </c>
      <c r="M15" s="13" t="s">
        <v>697</v>
      </c>
      <c r="N15" s="13" t="s">
        <v>109</v>
      </c>
      <c r="O15" s="17">
        <f>SUM(P15:AW15)</f>
        <v>0</v>
      </c>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2"/>
    </row>
    <row r="16" spans="1:50">
      <c r="A16" s="4">
        <v>11</v>
      </c>
      <c r="B16" s="11" t="s">
        <v>88</v>
      </c>
      <c r="C16" s="12"/>
      <c r="D16" s="12" t="s">
        <v>698</v>
      </c>
      <c r="E16" s="13"/>
      <c r="F16" s="14"/>
      <c r="G16" s="18" t="s">
        <v>677</v>
      </c>
      <c r="H16" s="12" t="s">
        <v>699</v>
      </c>
      <c r="I16" s="18" t="s">
        <v>700</v>
      </c>
      <c r="J16" s="13" t="s">
        <v>680</v>
      </c>
      <c r="K16" s="13" t="s">
        <v>701</v>
      </c>
      <c r="L16" s="13" t="s">
        <v>681</v>
      </c>
      <c r="M16" s="13" t="s">
        <v>702</v>
      </c>
      <c r="N16" s="13" t="s">
        <v>109</v>
      </c>
      <c r="O16" s="17">
        <f>SUM(P16:AW16)</f>
        <v>0</v>
      </c>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4"/>
    </row>
    <row r="17" spans="1:50">
      <c r="A17" s="4">
        <v>12</v>
      </c>
      <c r="B17" s="11" t="s">
        <v>88</v>
      </c>
      <c r="C17" s="12"/>
      <c r="D17" s="12" t="s">
        <v>703</v>
      </c>
      <c r="E17" s="13"/>
      <c r="F17" s="14"/>
      <c r="G17" s="18" t="s">
        <v>677</v>
      </c>
      <c r="H17" s="12" t="s">
        <v>678</v>
      </c>
      <c r="I17" s="18" t="s">
        <v>700</v>
      </c>
      <c r="J17" s="13" t="s">
        <v>680</v>
      </c>
      <c r="K17" s="13" t="s">
        <v>396</v>
      </c>
      <c r="L17" s="13" t="s">
        <v>681</v>
      </c>
      <c r="M17" s="13" t="s">
        <v>704</v>
      </c>
      <c r="N17" s="13" t="s">
        <v>109</v>
      </c>
      <c r="O17" s="17">
        <f>SUM(P17:AW17)</f>
        <v>300</v>
      </c>
      <c r="P17" s="17"/>
      <c r="Q17" s="17"/>
      <c r="R17" s="17">
        <v>300</v>
      </c>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4" t="s">
        <v>705</v>
      </c>
    </row>
    <row r="18" spans="1:50">
      <c r="A18" s="4">
        <v>13</v>
      </c>
      <c r="B18" s="11" t="s">
        <v>88</v>
      </c>
      <c r="C18" s="12"/>
      <c r="D18" s="12" t="s">
        <v>706</v>
      </c>
      <c r="E18" s="13"/>
      <c r="F18" s="14"/>
      <c r="G18" s="18" t="s">
        <v>677</v>
      </c>
      <c r="H18" s="12" t="s">
        <v>688</v>
      </c>
      <c r="I18" s="18" t="s">
        <v>700</v>
      </c>
      <c r="J18" s="13" t="s">
        <v>680</v>
      </c>
      <c r="K18" s="13" t="s">
        <v>689</v>
      </c>
      <c r="L18" s="13" t="s">
        <v>681</v>
      </c>
      <c r="M18" s="13" t="s">
        <v>707</v>
      </c>
      <c r="N18" s="13" t="s">
        <v>109</v>
      </c>
      <c r="O18" s="17">
        <f>SUM(P18:AW18)</f>
        <v>0</v>
      </c>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4"/>
    </row>
    <row r="19" spans="1:50">
      <c r="A19" s="4">
        <v>14</v>
      </c>
      <c r="B19" s="11" t="s">
        <v>88</v>
      </c>
      <c r="C19" s="12"/>
      <c r="D19" s="12" t="s">
        <v>708</v>
      </c>
      <c r="E19" s="13"/>
      <c r="F19" s="14"/>
      <c r="G19" s="18" t="s">
        <v>677</v>
      </c>
      <c r="H19" s="12" t="s">
        <v>709</v>
      </c>
      <c r="I19" s="18" t="s">
        <v>700</v>
      </c>
      <c r="J19" s="13" t="s">
        <v>680</v>
      </c>
      <c r="K19" s="13" t="s">
        <v>710</v>
      </c>
      <c r="L19" s="13" t="s">
        <v>681</v>
      </c>
      <c r="M19" s="13" t="s">
        <v>711</v>
      </c>
      <c r="N19" s="13" t="s">
        <v>109</v>
      </c>
      <c r="O19" s="17">
        <f>SUM(P19:AW19)</f>
        <v>0</v>
      </c>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4"/>
    </row>
    <row r="20" spans="1:50">
      <c r="A20" s="4">
        <v>15</v>
      </c>
      <c r="B20" s="11" t="s">
        <v>88</v>
      </c>
      <c r="C20" s="12"/>
      <c r="D20" s="12" t="s">
        <v>712</v>
      </c>
      <c r="E20" s="13"/>
      <c r="F20" s="14"/>
      <c r="G20" s="18" t="s">
        <v>677</v>
      </c>
      <c r="H20" s="12" t="s">
        <v>684</v>
      </c>
      <c r="I20" s="18" t="s">
        <v>700</v>
      </c>
      <c r="J20" s="13" t="s">
        <v>680</v>
      </c>
      <c r="K20" s="13" t="s">
        <v>685</v>
      </c>
      <c r="L20" s="13" t="s">
        <v>681</v>
      </c>
      <c r="M20" s="13" t="s">
        <v>713</v>
      </c>
      <c r="N20" s="13" t="s">
        <v>109</v>
      </c>
      <c r="O20" s="17">
        <f>SUM(P20:AW20)</f>
        <v>0</v>
      </c>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4"/>
    </row>
    <row r="21" spans="1:50">
      <c r="A21" s="4">
        <v>16</v>
      </c>
      <c r="B21" s="11" t="s">
        <v>88</v>
      </c>
      <c r="C21" s="12"/>
      <c r="D21" s="12" t="s">
        <v>714</v>
      </c>
      <c r="E21" s="13"/>
      <c r="F21" s="14"/>
      <c r="G21" s="18" t="s">
        <v>677</v>
      </c>
      <c r="H21" s="12" t="s">
        <v>695</v>
      </c>
      <c r="I21" s="18" t="s">
        <v>700</v>
      </c>
      <c r="J21" s="13" t="s">
        <v>680</v>
      </c>
      <c r="K21" s="13" t="s">
        <v>696</v>
      </c>
      <c r="L21" s="13" t="s">
        <v>681</v>
      </c>
      <c r="M21" s="13" t="s">
        <v>715</v>
      </c>
      <c r="N21" s="13" t="s">
        <v>109</v>
      </c>
      <c r="O21" s="17">
        <f>SUM(P21:AW21)</f>
        <v>0</v>
      </c>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4"/>
    </row>
    <row r="22" spans="1:50">
      <c r="A22" s="4">
        <v>17</v>
      </c>
      <c r="B22" s="5" t="s">
        <v>88</v>
      </c>
      <c r="C22" s="6"/>
      <c r="D22" s="37" t="s">
        <v>716</v>
      </c>
      <c r="E22" s="50"/>
      <c r="F22" s="37" t="s">
        <v>717</v>
      </c>
      <c r="G22" s="53"/>
      <c r="H22" s="9"/>
      <c r="I22" s="7"/>
      <c r="J22" s="4"/>
      <c r="K22" s="4"/>
      <c r="L22" s="4"/>
      <c r="M22" s="4"/>
      <c r="N22" s="4"/>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9"/>
    </row>
    <row r="23" spans="1:50">
      <c r="A23" s="4">
        <v>18</v>
      </c>
      <c r="B23" s="21" t="s">
        <v>88</v>
      </c>
      <c r="C23" s="3"/>
      <c r="D23" s="1"/>
      <c r="E23" s="2"/>
      <c r="F23" s="1"/>
      <c r="G23" s="26" t="s">
        <v>718</v>
      </c>
      <c r="H23" s="1"/>
      <c r="I23" s="22"/>
      <c r="J23" s="2"/>
      <c r="K23" s="2"/>
      <c r="L23" s="2"/>
      <c r="M23" s="2"/>
      <c r="N23" s="2"/>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1"/>
    </row>
    <row r="24" spans="1:50">
      <c r="A24" s="4">
        <v>19</v>
      </c>
      <c r="B24" s="21" t="s">
        <v>88</v>
      </c>
      <c r="C24" s="3"/>
      <c r="D24" s="1"/>
      <c r="E24" s="2"/>
      <c r="F24" s="1"/>
      <c r="G24" s="26" t="s">
        <v>719</v>
      </c>
      <c r="H24" s="1"/>
      <c r="I24" s="22"/>
      <c r="J24" s="2"/>
      <c r="K24" s="2"/>
      <c r="L24" s="2"/>
      <c r="M24" s="2"/>
      <c r="N24" s="2"/>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1"/>
    </row>
    <row r="25" spans="1:50">
      <c r="A25" s="4">
        <v>20</v>
      </c>
      <c r="B25" s="11" t="s">
        <v>88</v>
      </c>
      <c r="C25" s="12"/>
      <c r="D25" s="12" t="s">
        <v>720</v>
      </c>
      <c r="E25" s="13"/>
      <c r="F25" s="14"/>
      <c r="G25" s="18" t="s">
        <v>721</v>
      </c>
      <c r="H25" s="12" t="s">
        <v>678</v>
      </c>
      <c r="I25" s="18" t="s">
        <v>700</v>
      </c>
      <c r="J25" s="13" t="s">
        <v>722</v>
      </c>
      <c r="K25" s="13" t="s">
        <v>396</v>
      </c>
      <c r="L25" s="13" t="s">
        <v>681</v>
      </c>
      <c r="M25" s="13" t="s">
        <v>723</v>
      </c>
      <c r="N25" s="13" t="s">
        <v>109</v>
      </c>
      <c r="O25" s="17">
        <f>SUM(P25:AW25)</f>
        <v>3000</v>
      </c>
      <c r="P25" s="17"/>
      <c r="Q25" s="17"/>
      <c r="R25" s="17">
        <v>3000</v>
      </c>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2" t="s">
        <v>724</v>
      </c>
    </row>
    <row r="26" spans="1:50">
      <c r="A26" s="4">
        <v>21</v>
      </c>
      <c r="B26" s="11" t="s">
        <v>88</v>
      </c>
      <c r="C26" s="12"/>
      <c r="D26" s="12" t="s">
        <v>725</v>
      </c>
      <c r="E26" s="13"/>
      <c r="F26" s="14"/>
      <c r="G26" s="18" t="s">
        <v>721</v>
      </c>
      <c r="H26" s="12" t="s">
        <v>684</v>
      </c>
      <c r="I26" s="18" t="s">
        <v>700</v>
      </c>
      <c r="J26" s="13" t="s">
        <v>722</v>
      </c>
      <c r="K26" s="13" t="s">
        <v>685</v>
      </c>
      <c r="L26" s="13" t="s">
        <v>681</v>
      </c>
      <c r="M26" s="13" t="s">
        <v>726</v>
      </c>
      <c r="N26" s="13" t="s">
        <v>109</v>
      </c>
      <c r="O26" s="17">
        <f>SUM(P26:AW26)</f>
        <v>0</v>
      </c>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2"/>
    </row>
    <row r="27" spans="1:50">
      <c r="A27" s="4">
        <v>22</v>
      </c>
      <c r="B27" s="11" t="s">
        <v>88</v>
      </c>
      <c r="C27" s="12"/>
      <c r="D27" s="12" t="s">
        <v>727</v>
      </c>
      <c r="E27" s="13"/>
      <c r="F27" s="14"/>
      <c r="G27" s="18" t="s">
        <v>721</v>
      </c>
      <c r="H27" s="12" t="s">
        <v>692</v>
      </c>
      <c r="I27" s="18" t="s">
        <v>700</v>
      </c>
      <c r="J27" s="13" t="s">
        <v>722</v>
      </c>
      <c r="K27" s="13" t="s">
        <v>610</v>
      </c>
      <c r="L27" s="13" t="s">
        <v>681</v>
      </c>
      <c r="M27" s="13" t="s">
        <v>728</v>
      </c>
      <c r="N27" s="13" t="s">
        <v>109</v>
      </c>
      <c r="O27" s="17">
        <f>SUM(P27:AW27)</f>
        <v>0</v>
      </c>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2"/>
    </row>
    <row r="28" spans="1:50">
      <c r="A28" s="4">
        <v>23</v>
      </c>
      <c r="B28" s="11" t="s">
        <v>88</v>
      </c>
      <c r="C28" s="12"/>
      <c r="D28" s="12" t="s">
        <v>729</v>
      </c>
      <c r="E28" s="13"/>
      <c r="F28" s="14"/>
      <c r="G28" s="18" t="s">
        <v>721</v>
      </c>
      <c r="H28" s="12" t="s">
        <v>695</v>
      </c>
      <c r="I28" s="18" t="s">
        <v>700</v>
      </c>
      <c r="J28" s="13" t="s">
        <v>722</v>
      </c>
      <c r="K28" s="13" t="s">
        <v>696</v>
      </c>
      <c r="L28" s="13" t="s">
        <v>681</v>
      </c>
      <c r="M28" s="13" t="s">
        <v>730</v>
      </c>
      <c r="N28" s="13" t="s">
        <v>109</v>
      </c>
      <c r="O28" s="17">
        <f>SUM(P28:AW28)</f>
        <v>0</v>
      </c>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2"/>
    </row>
    <row r="29" spans="1:50">
      <c r="A29" s="4">
        <v>24</v>
      </c>
      <c r="B29" s="11" t="s">
        <v>88</v>
      </c>
      <c r="C29" s="12"/>
      <c r="D29" s="12" t="s">
        <v>731</v>
      </c>
      <c r="E29" s="13"/>
      <c r="F29" s="14"/>
      <c r="G29" s="18" t="s">
        <v>721</v>
      </c>
      <c r="H29" s="12" t="s">
        <v>732</v>
      </c>
      <c r="I29" s="18" t="s">
        <v>679</v>
      </c>
      <c r="J29" s="13" t="s">
        <v>722</v>
      </c>
      <c r="K29" s="13" t="s">
        <v>733</v>
      </c>
      <c r="L29" s="13" t="s">
        <v>681</v>
      </c>
      <c r="M29" s="13" t="s">
        <v>734</v>
      </c>
      <c r="N29" s="13" t="s">
        <v>109</v>
      </c>
      <c r="O29" s="17">
        <f>SUM(P29:AW29)</f>
        <v>0</v>
      </c>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2"/>
    </row>
    <row r="30" spans="1:50">
      <c r="A30" s="4">
        <v>25</v>
      </c>
      <c r="B30" s="11" t="s">
        <v>88</v>
      </c>
      <c r="C30" s="12"/>
      <c r="D30" s="12" t="s">
        <v>735</v>
      </c>
      <c r="E30" s="13"/>
      <c r="F30" s="14"/>
      <c r="G30" s="18" t="s">
        <v>721</v>
      </c>
      <c r="H30" s="12" t="s">
        <v>688</v>
      </c>
      <c r="I30" s="18" t="s">
        <v>700</v>
      </c>
      <c r="J30" s="13" t="s">
        <v>722</v>
      </c>
      <c r="K30" s="13" t="s">
        <v>689</v>
      </c>
      <c r="L30" s="13" t="s">
        <v>681</v>
      </c>
      <c r="M30" s="13" t="s">
        <v>736</v>
      </c>
      <c r="N30" s="13" t="s">
        <v>109</v>
      </c>
      <c r="O30" s="17">
        <f>SUM(P30:AW30)</f>
        <v>0</v>
      </c>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4"/>
    </row>
    <row r="31" spans="1:50">
      <c r="A31" s="4">
        <v>26</v>
      </c>
      <c r="B31" s="11" t="s">
        <v>88</v>
      </c>
      <c r="C31" s="12"/>
      <c r="D31" s="12" t="s">
        <v>737</v>
      </c>
      <c r="E31" s="13"/>
      <c r="F31" s="14"/>
      <c r="G31" s="18" t="s">
        <v>721</v>
      </c>
      <c r="H31" s="12" t="s">
        <v>695</v>
      </c>
      <c r="I31" s="18" t="s">
        <v>679</v>
      </c>
      <c r="J31" s="13" t="s">
        <v>722</v>
      </c>
      <c r="K31" s="13" t="s">
        <v>696</v>
      </c>
      <c r="L31" s="13" t="s">
        <v>681</v>
      </c>
      <c r="M31" s="13" t="s">
        <v>738</v>
      </c>
      <c r="N31" s="13" t="s">
        <v>109</v>
      </c>
      <c r="O31" s="17">
        <f>SUM(P31:AW31)</f>
        <v>0</v>
      </c>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4"/>
    </row>
    <row r="32" spans="1:50">
      <c r="A32" s="4">
        <v>27</v>
      </c>
      <c r="B32" s="21" t="s">
        <v>88</v>
      </c>
      <c r="C32" s="3"/>
      <c r="D32" s="1"/>
      <c r="E32" s="2"/>
      <c r="F32" s="1"/>
      <c r="G32" s="26" t="s">
        <v>739</v>
      </c>
      <c r="H32" s="1"/>
      <c r="I32" s="22"/>
      <c r="J32" s="2"/>
      <c r="K32" s="2"/>
      <c r="L32" s="2"/>
      <c r="M32" s="2"/>
      <c r="N32" s="2"/>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1"/>
    </row>
    <row r="33" spans="1:50">
      <c r="A33" s="4">
        <v>28</v>
      </c>
      <c r="B33" s="21" t="s">
        <v>88</v>
      </c>
      <c r="C33" s="3"/>
      <c r="D33" s="1"/>
      <c r="E33" s="2"/>
      <c r="F33" s="1"/>
      <c r="G33" s="26" t="s">
        <v>740</v>
      </c>
      <c r="H33" s="1"/>
      <c r="I33" s="22"/>
      <c r="J33" s="2"/>
      <c r="K33" s="2"/>
      <c r="L33" s="2"/>
      <c r="M33" s="2"/>
      <c r="N33" s="2"/>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1"/>
    </row>
    <row r="34" spans="1:50">
      <c r="A34" s="4">
        <v>29</v>
      </c>
      <c r="B34" s="11" t="s">
        <v>88</v>
      </c>
      <c r="C34" s="12"/>
      <c r="D34" s="12" t="s">
        <v>741</v>
      </c>
      <c r="E34" s="13"/>
      <c r="F34" s="14"/>
      <c r="G34" s="18" t="s">
        <v>677</v>
      </c>
      <c r="H34" s="12" t="s">
        <v>692</v>
      </c>
      <c r="I34" s="18" t="s">
        <v>742</v>
      </c>
      <c r="J34" s="13" t="s">
        <v>722</v>
      </c>
      <c r="K34" s="13" t="s">
        <v>610</v>
      </c>
      <c r="L34" s="13" t="s">
        <v>681</v>
      </c>
      <c r="M34" s="13" t="s">
        <v>743</v>
      </c>
      <c r="N34" s="13" t="s">
        <v>109</v>
      </c>
      <c r="O34" s="17">
        <f>SUM(P34:AW34)</f>
        <v>0</v>
      </c>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2"/>
    </row>
    <row r="35" spans="1:50">
      <c r="A35" s="4">
        <v>30</v>
      </c>
      <c r="B35" s="11" t="s">
        <v>88</v>
      </c>
      <c r="C35" s="12"/>
      <c r="D35" s="12" t="s">
        <v>744</v>
      </c>
      <c r="E35" s="13"/>
      <c r="F35" s="14"/>
      <c r="G35" s="18" t="s">
        <v>677</v>
      </c>
      <c r="H35" s="12" t="s">
        <v>745</v>
      </c>
      <c r="I35" s="18" t="s">
        <v>742</v>
      </c>
      <c r="J35" s="13" t="s">
        <v>722</v>
      </c>
      <c r="K35" s="13" t="s">
        <v>746</v>
      </c>
      <c r="L35" s="13" t="s">
        <v>681</v>
      </c>
      <c r="M35" s="13" t="s">
        <v>747</v>
      </c>
      <c r="N35" s="13" t="s">
        <v>109</v>
      </c>
      <c r="O35" s="17">
        <f>SUM(P35:AW35)</f>
        <v>0</v>
      </c>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2"/>
    </row>
    <row r="36" spans="1:50">
      <c r="A36" s="4">
        <v>31</v>
      </c>
      <c r="B36" s="11" t="s">
        <v>88</v>
      </c>
      <c r="C36" s="12"/>
      <c r="D36" s="12" t="s">
        <v>748</v>
      </c>
      <c r="E36" s="13"/>
      <c r="F36" s="14"/>
      <c r="G36" s="18" t="s">
        <v>677</v>
      </c>
      <c r="H36" s="12" t="s">
        <v>678</v>
      </c>
      <c r="I36" s="18" t="s">
        <v>742</v>
      </c>
      <c r="J36" s="13" t="s">
        <v>722</v>
      </c>
      <c r="K36" s="13" t="s">
        <v>396</v>
      </c>
      <c r="L36" s="13" t="s">
        <v>681</v>
      </c>
      <c r="M36" s="13" t="s">
        <v>749</v>
      </c>
      <c r="N36" s="13" t="s">
        <v>109</v>
      </c>
      <c r="O36" s="17">
        <f>SUM(P36:AW36)</f>
        <v>0</v>
      </c>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4"/>
    </row>
    <row r="37" spans="1:50">
      <c r="A37" s="4">
        <v>32</v>
      </c>
      <c r="B37" s="5" t="s">
        <v>88</v>
      </c>
      <c r="C37" s="6"/>
      <c r="D37" s="37" t="s">
        <v>750</v>
      </c>
      <c r="E37" s="50"/>
      <c r="F37" s="37" t="s">
        <v>751</v>
      </c>
      <c r="G37" s="53"/>
      <c r="H37" s="9"/>
      <c r="I37" s="7"/>
      <c r="J37" s="4"/>
      <c r="K37" s="4"/>
      <c r="L37" s="4"/>
      <c r="M37" s="4"/>
      <c r="N37" s="4"/>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9"/>
    </row>
    <row r="38" spans="1:50">
      <c r="A38" s="4">
        <v>33</v>
      </c>
      <c r="B38" s="21" t="s">
        <v>88</v>
      </c>
      <c r="C38" s="3"/>
      <c r="D38" s="1"/>
      <c r="E38" s="2"/>
      <c r="F38" s="1"/>
      <c r="G38" s="26" t="s">
        <v>752</v>
      </c>
      <c r="H38" s="1"/>
      <c r="I38" s="22"/>
      <c r="J38" s="2"/>
      <c r="K38" s="2"/>
      <c r="L38" s="2"/>
      <c r="M38" s="2"/>
      <c r="N38" s="2"/>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1"/>
    </row>
    <row r="39" spans="1:50">
      <c r="A39" s="4">
        <v>34</v>
      </c>
      <c r="B39" s="21" t="s">
        <v>88</v>
      </c>
      <c r="C39" s="3"/>
      <c r="D39" s="1"/>
      <c r="E39" s="2"/>
      <c r="F39" s="1"/>
      <c r="G39" s="26" t="s">
        <v>753</v>
      </c>
      <c r="H39" s="1"/>
      <c r="I39" s="22"/>
      <c r="J39" s="2"/>
      <c r="K39" s="2"/>
      <c r="L39" s="2"/>
      <c r="M39" s="2"/>
      <c r="N39" s="2"/>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1"/>
    </row>
    <row r="40" spans="1:50">
      <c r="A40" s="4">
        <v>35</v>
      </c>
      <c r="B40" s="11" t="s">
        <v>88</v>
      </c>
      <c r="C40" s="12"/>
      <c r="D40" s="12" t="s">
        <v>754</v>
      </c>
      <c r="E40" s="13"/>
      <c r="F40" s="14"/>
      <c r="G40" s="18" t="s">
        <v>721</v>
      </c>
      <c r="H40" s="12" t="s">
        <v>678</v>
      </c>
      <c r="I40" s="18" t="s">
        <v>700</v>
      </c>
      <c r="J40" s="13" t="s">
        <v>755</v>
      </c>
      <c r="K40" s="13" t="s">
        <v>396</v>
      </c>
      <c r="L40" s="13" t="s">
        <v>681</v>
      </c>
      <c r="M40" s="13" t="s">
        <v>756</v>
      </c>
      <c r="N40" s="13" t="s">
        <v>109</v>
      </c>
      <c r="O40" s="17">
        <f>SUM(P40:AW40)</f>
        <v>940</v>
      </c>
      <c r="P40" s="17"/>
      <c r="Q40" s="17"/>
      <c r="R40" s="17"/>
      <c r="S40" s="17"/>
      <c r="T40" s="17"/>
      <c r="U40" s="17"/>
      <c r="V40" s="17">
        <v>120</v>
      </c>
      <c r="W40" s="17">
        <v>700</v>
      </c>
      <c r="X40" s="17"/>
      <c r="Y40" s="17"/>
      <c r="Z40" s="17">
        <f>120</f>
        <v>120</v>
      </c>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2"/>
    </row>
    <row r="41" spans="1:50">
      <c r="A41" s="4">
        <v>36</v>
      </c>
      <c r="B41" s="11" t="s">
        <v>88</v>
      </c>
      <c r="C41" s="12"/>
      <c r="D41" s="12" t="s">
        <v>757</v>
      </c>
      <c r="E41" s="13"/>
      <c r="F41" s="14"/>
      <c r="G41" s="18" t="s">
        <v>721</v>
      </c>
      <c r="H41" s="12" t="s">
        <v>684</v>
      </c>
      <c r="I41" s="18" t="s">
        <v>700</v>
      </c>
      <c r="J41" s="13" t="s">
        <v>755</v>
      </c>
      <c r="K41" s="13" t="s">
        <v>685</v>
      </c>
      <c r="L41" s="13" t="s">
        <v>681</v>
      </c>
      <c r="M41" s="13" t="s">
        <v>758</v>
      </c>
      <c r="N41" s="13" t="s">
        <v>109</v>
      </c>
      <c r="O41" s="17">
        <f>SUM(P41:AW41)</f>
        <v>0</v>
      </c>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2"/>
    </row>
    <row r="42" spans="1:50">
      <c r="A42" s="4">
        <v>37</v>
      </c>
      <c r="B42" s="11" t="s">
        <v>88</v>
      </c>
      <c r="C42" s="12"/>
      <c r="D42" s="12" t="s">
        <v>759</v>
      </c>
      <c r="E42" s="13"/>
      <c r="F42" s="14"/>
      <c r="G42" s="18" t="s">
        <v>721</v>
      </c>
      <c r="H42" s="12" t="s">
        <v>688</v>
      </c>
      <c r="I42" s="18" t="s">
        <v>700</v>
      </c>
      <c r="J42" s="13" t="s">
        <v>755</v>
      </c>
      <c r="K42" s="13" t="s">
        <v>689</v>
      </c>
      <c r="L42" s="13" t="s">
        <v>681</v>
      </c>
      <c r="M42" s="13" t="s">
        <v>760</v>
      </c>
      <c r="N42" s="13" t="s">
        <v>109</v>
      </c>
      <c r="O42" s="17">
        <f>SUM(P42:AW42)</f>
        <v>0</v>
      </c>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2"/>
    </row>
    <row r="43" spans="1:50">
      <c r="A43" s="4">
        <v>38</v>
      </c>
      <c r="B43" s="11" t="s">
        <v>88</v>
      </c>
      <c r="C43" s="12"/>
      <c r="D43" s="12" t="s">
        <v>761</v>
      </c>
      <c r="E43" s="13"/>
      <c r="F43" s="14"/>
      <c r="G43" s="18" t="s">
        <v>721</v>
      </c>
      <c r="H43" s="12" t="s">
        <v>692</v>
      </c>
      <c r="I43" s="18" t="s">
        <v>700</v>
      </c>
      <c r="J43" s="13" t="s">
        <v>755</v>
      </c>
      <c r="K43" s="13" t="s">
        <v>610</v>
      </c>
      <c r="L43" s="13" t="s">
        <v>681</v>
      </c>
      <c r="M43" s="13" t="s">
        <v>762</v>
      </c>
      <c r="N43" s="13" t="s">
        <v>109</v>
      </c>
      <c r="O43" s="17">
        <f>SUM(P43:AW43)</f>
        <v>40</v>
      </c>
      <c r="P43" s="17"/>
      <c r="Q43" s="17"/>
      <c r="R43" s="17"/>
      <c r="S43" s="17"/>
      <c r="T43" s="17"/>
      <c r="U43" s="17"/>
      <c r="V43" s="17">
        <v>20</v>
      </c>
      <c r="W43" s="17"/>
      <c r="X43" s="17"/>
      <c r="Y43" s="17"/>
      <c r="Z43" s="17">
        <v>20</v>
      </c>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2"/>
    </row>
    <row r="44" spans="1:50">
      <c r="A44" s="4">
        <v>39</v>
      </c>
      <c r="B44" s="11" t="s">
        <v>88</v>
      </c>
      <c r="C44" s="12"/>
      <c r="D44" s="12" t="s">
        <v>763</v>
      </c>
      <c r="E44" s="13"/>
      <c r="F44" s="14"/>
      <c r="G44" s="18" t="s">
        <v>721</v>
      </c>
      <c r="H44" s="12" t="s">
        <v>709</v>
      </c>
      <c r="I44" s="18" t="s">
        <v>700</v>
      </c>
      <c r="J44" s="13" t="s">
        <v>755</v>
      </c>
      <c r="K44" s="13" t="s">
        <v>710</v>
      </c>
      <c r="L44" s="13" t="s">
        <v>681</v>
      </c>
      <c r="M44" s="13" t="s">
        <v>764</v>
      </c>
      <c r="N44" s="13" t="s">
        <v>109</v>
      </c>
      <c r="O44" s="17">
        <f>SUM(P44:AW44)</f>
        <v>0</v>
      </c>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4"/>
    </row>
    <row r="45" spans="1:50">
      <c r="A45" s="4">
        <v>40</v>
      </c>
      <c r="B45" s="11" t="s">
        <v>88</v>
      </c>
      <c r="C45" s="12"/>
      <c r="D45" s="12" t="s">
        <v>765</v>
      </c>
      <c r="E45" s="13"/>
      <c r="F45" s="14"/>
      <c r="G45" s="18" t="s">
        <v>721</v>
      </c>
      <c r="H45" s="12" t="s">
        <v>766</v>
      </c>
      <c r="I45" s="18" t="s">
        <v>700</v>
      </c>
      <c r="J45" s="13" t="s">
        <v>755</v>
      </c>
      <c r="K45" s="13" t="s">
        <v>767</v>
      </c>
      <c r="L45" s="13" t="s">
        <v>681</v>
      </c>
      <c r="M45" s="13" t="s">
        <v>768</v>
      </c>
      <c r="N45" s="13" t="s">
        <v>109</v>
      </c>
      <c r="O45" s="17">
        <f>SUM(P45:AW45)</f>
        <v>0</v>
      </c>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4"/>
    </row>
    <row r="46" spans="1:50">
      <c r="A46" s="4">
        <v>41</v>
      </c>
      <c r="B46" s="11" t="s">
        <v>88</v>
      </c>
      <c r="C46" s="12"/>
      <c r="D46" s="12" t="s">
        <v>769</v>
      </c>
      <c r="E46" s="13"/>
      <c r="F46" s="14"/>
      <c r="G46" s="18" t="s">
        <v>721</v>
      </c>
      <c r="H46" s="12" t="s">
        <v>699</v>
      </c>
      <c r="I46" s="18" t="s">
        <v>700</v>
      </c>
      <c r="J46" s="13" t="s">
        <v>755</v>
      </c>
      <c r="K46" s="13" t="s">
        <v>701</v>
      </c>
      <c r="L46" s="13" t="s">
        <v>681</v>
      </c>
      <c r="M46" s="13" t="s">
        <v>770</v>
      </c>
      <c r="N46" s="13" t="s">
        <v>109</v>
      </c>
      <c r="O46" s="17">
        <f>SUM(P46:AW46)</f>
        <v>0</v>
      </c>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4"/>
    </row>
    <row r="47" spans="1:50">
      <c r="A47" s="4">
        <v>42</v>
      </c>
      <c r="B47" s="5" t="s">
        <v>88</v>
      </c>
      <c r="C47" s="6"/>
      <c r="D47" s="37" t="s">
        <v>771</v>
      </c>
      <c r="E47" s="50"/>
      <c r="F47" s="37" t="s">
        <v>772</v>
      </c>
      <c r="G47" s="53"/>
      <c r="H47" s="9"/>
      <c r="I47" s="7"/>
      <c r="J47" s="4"/>
      <c r="K47" s="4"/>
      <c r="L47" s="4"/>
      <c r="M47" s="4"/>
      <c r="N47" s="4"/>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9"/>
    </row>
    <row r="48" spans="1:50" ht="26.45" customHeight="1">
      <c r="A48" s="4">
        <v>43</v>
      </c>
      <c r="B48" s="21" t="s">
        <v>88</v>
      </c>
      <c r="C48" s="3"/>
      <c r="D48" s="1"/>
      <c r="E48" s="2"/>
      <c r="F48" s="1"/>
      <c r="G48" s="26" t="s">
        <v>773</v>
      </c>
      <c r="H48" s="1"/>
      <c r="I48" s="22"/>
      <c r="J48" s="2"/>
      <c r="K48" s="2"/>
      <c r="L48" s="2"/>
      <c r="M48" s="2"/>
      <c r="N48" s="2"/>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1"/>
    </row>
    <row r="49" spans="1:50" ht="39.6" customHeight="1">
      <c r="A49" s="4">
        <v>44</v>
      </c>
      <c r="B49" s="11" t="s">
        <v>88</v>
      </c>
      <c r="C49" s="12"/>
      <c r="D49" s="12" t="s">
        <v>774</v>
      </c>
      <c r="E49" s="13"/>
      <c r="F49" s="14"/>
      <c r="G49" s="18" t="s">
        <v>775</v>
      </c>
      <c r="H49" s="12" t="s">
        <v>695</v>
      </c>
      <c r="I49" s="18" t="s">
        <v>776</v>
      </c>
      <c r="J49" s="13" t="s">
        <v>777</v>
      </c>
      <c r="K49" s="13" t="s">
        <v>696</v>
      </c>
      <c r="L49" s="13" t="s">
        <v>681</v>
      </c>
      <c r="M49" s="13" t="s">
        <v>778</v>
      </c>
      <c r="N49" s="13" t="s">
        <v>109</v>
      </c>
      <c r="O49" s="17">
        <f>SUM(P49:AW49)</f>
        <v>12364.8</v>
      </c>
      <c r="P49" s="17"/>
      <c r="Q49" s="17"/>
      <c r="R49" s="17">
        <f>1.2*10304</f>
        <v>12364.8</v>
      </c>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6" t="s">
        <v>779</v>
      </c>
    </row>
    <row r="50" spans="1:50" ht="39.6" customHeight="1">
      <c r="A50" s="4">
        <v>45</v>
      </c>
      <c r="B50" s="11" t="s">
        <v>88</v>
      </c>
      <c r="C50" s="12"/>
      <c r="D50" s="12" t="s">
        <v>780</v>
      </c>
      <c r="E50" s="13"/>
      <c r="F50" s="14"/>
      <c r="G50" s="18" t="s">
        <v>781</v>
      </c>
      <c r="H50" s="12" t="s">
        <v>695</v>
      </c>
      <c r="I50" s="18" t="s">
        <v>782</v>
      </c>
      <c r="J50" s="13" t="s">
        <v>777</v>
      </c>
      <c r="K50" s="13" t="s">
        <v>696</v>
      </c>
      <c r="L50" s="13" t="s">
        <v>681</v>
      </c>
      <c r="M50" s="13" t="s">
        <v>783</v>
      </c>
      <c r="N50" s="13" t="s">
        <v>109</v>
      </c>
      <c r="O50" s="17">
        <f>SUM(P50:AW50)</f>
        <v>0</v>
      </c>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2"/>
    </row>
    <row r="51" spans="1:50" ht="39.6" customHeight="1">
      <c r="A51" s="4">
        <v>46</v>
      </c>
      <c r="B51" s="11" t="s">
        <v>88</v>
      </c>
      <c r="C51" s="12"/>
      <c r="D51" s="12" t="s">
        <v>784</v>
      </c>
      <c r="E51" s="13"/>
      <c r="F51" s="14"/>
      <c r="G51" s="18" t="s">
        <v>785</v>
      </c>
      <c r="H51" s="12" t="s">
        <v>695</v>
      </c>
      <c r="I51" s="18" t="s">
        <v>786</v>
      </c>
      <c r="J51" s="13" t="s">
        <v>777</v>
      </c>
      <c r="K51" s="13" t="s">
        <v>696</v>
      </c>
      <c r="L51" s="13" t="s">
        <v>681</v>
      </c>
      <c r="M51" s="13" t="s">
        <v>787</v>
      </c>
      <c r="N51" s="13" t="s">
        <v>109</v>
      </c>
      <c r="O51" s="17">
        <f>SUM(P51:AW51)</f>
        <v>0</v>
      </c>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2"/>
    </row>
    <row r="52" spans="1:50">
      <c r="A52" s="4">
        <v>47</v>
      </c>
      <c r="B52" s="11" t="s">
        <v>88</v>
      </c>
      <c r="C52" s="12"/>
      <c r="D52" s="12" t="s">
        <v>788</v>
      </c>
      <c r="E52" s="13"/>
      <c r="F52" s="14"/>
      <c r="G52" s="18" t="s">
        <v>789</v>
      </c>
      <c r="H52" s="12" t="s">
        <v>695</v>
      </c>
      <c r="I52" s="18" t="s">
        <v>789</v>
      </c>
      <c r="J52" s="13" t="s">
        <v>777</v>
      </c>
      <c r="K52" s="13" t="s">
        <v>696</v>
      </c>
      <c r="L52" s="13" t="s">
        <v>681</v>
      </c>
      <c r="M52" s="13" t="s">
        <v>790</v>
      </c>
      <c r="N52" s="13" t="s">
        <v>109</v>
      </c>
      <c r="O52" s="17">
        <f>SUM(P52:AW52)</f>
        <v>0</v>
      </c>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2"/>
    </row>
    <row r="53" spans="1:50">
      <c r="A53" s="4">
        <v>48</v>
      </c>
      <c r="B53" s="11" t="s">
        <v>88</v>
      </c>
      <c r="C53" s="12"/>
      <c r="D53" s="12" t="s">
        <v>791</v>
      </c>
      <c r="E53" s="13"/>
      <c r="F53" s="14"/>
      <c r="G53" s="18" t="s">
        <v>789</v>
      </c>
      <c r="H53" s="12" t="s">
        <v>792</v>
      </c>
      <c r="I53" s="18" t="s">
        <v>789</v>
      </c>
      <c r="J53" s="13" t="s">
        <v>777</v>
      </c>
      <c r="K53" s="13" t="s">
        <v>793</v>
      </c>
      <c r="L53" s="13" t="s">
        <v>794</v>
      </c>
      <c r="M53" s="13" t="s">
        <v>795</v>
      </c>
      <c r="N53" s="13" t="s">
        <v>109</v>
      </c>
      <c r="O53" s="17">
        <f>SUM(P53:AW53)</f>
        <v>0</v>
      </c>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4"/>
    </row>
    <row r="54" spans="1:50">
      <c r="A54" s="4">
        <v>49</v>
      </c>
      <c r="B54" s="5" t="s">
        <v>88</v>
      </c>
      <c r="C54" s="6"/>
      <c r="D54" s="37" t="s">
        <v>796</v>
      </c>
      <c r="E54" s="50"/>
      <c r="F54" s="37" t="s">
        <v>797</v>
      </c>
      <c r="G54" s="53"/>
      <c r="H54" s="9"/>
      <c r="I54" s="7"/>
      <c r="J54" s="4"/>
      <c r="K54" s="4"/>
      <c r="L54" s="4"/>
      <c r="M54" s="4"/>
      <c r="N54" s="4"/>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9"/>
    </row>
    <row r="55" spans="1:50" ht="39.6" customHeight="1">
      <c r="A55" s="4">
        <v>50</v>
      </c>
      <c r="B55" s="21" t="s">
        <v>88</v>
      </c>
      <c r="C55" s="3"/>
      <c r="D55" s="1"/>
      <c r="E55" s="2"/>
      <c r="F55" s="1"/>
      <c r="G55" s="26" t="s">
        <v>798</v>
      </c>
      <c r="H55" s="1"/>
      <c r="I55" s="22"/>
      <c r="J55" s="2"/>
      <c r="K55" s="2"/>
      <c r="L55" s="2"/>
      <c r="M55" s="2"/>
      <c r="N55" s="2"/>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1"/>
    </row>
    <row r="56" spans="1:50">
      <c r="A56" s="4">
        <v>51</v>
      </c>
      <c r="B56" s="21" t="s">
        <v>88</v>
      </c>
      <c r="C56" s="3"/>
      <c r="D56" s="1"/>
      <c r="E56" s="2"/>
      <c r="F56" s="1"/>
      <c r="G56" s="26" t="s">
        <v>799</v>
      </c>
      <c r="H56" s="1"/>
      <c r="I56" s="22"/>
      <c r="J56" s="2"/>
      <c r="K56" s="2"/>
      <c r="L56" s="2"/>
      <c r="M56" s="2"/>
      <c r="N56" s="2"/>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1"/>
    </row>
    <row r="57" spans="1:50">
      <c r="A57" s="4">
        <v>52</v>
      </c>
      <c r="B57" s="11" t="s">
        <v>88</v>
      </c>
      <c r="C57" s="12"/>
      <c r="D57" s="12" t="s">
        <v>800</v>
      </c>
      <c r="E57" s="13"/>
      <c r="F57" s="14"/>
      <c r="G57" s="15"/>
      <c r="H57" s="12" t="s">
        <v>678</v>
      </c>
      <c r="I57" s="18" t="s">
        <v>801</v>
      </c>
      <c r="J57" s="13" t="s">
        <v>802</v>
      </c>
      <c r="K57" s="13" t="s">
        <v>396</v>
      </c>
      <c r="L57" s="13" t="s">
        <v>681</v>
      </c>
      <c r="M57" s="13" t="s">
        <v>803</v>
      </c>
      <c r="N57" s="13" t="s">
        <v>109</v>
      </c>
      <c r="O57" s="17">
        <f>SUM(P57:AW57)</f>
        <v>0</v>
      </c>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2"/>
    </row>
    <row r="58" spans="1:50">
      <c r="A58" s="4">
        <v>53</v>
      </c>
      <c r="B58" s="11" t="s">
        <v>88</v>
      </c>
      <c r="C58" s="12"/>
      <c r="D58" s="12" t="s">
        <v>804</v>
      </c>
      <c r="E58" s="13"/>
      <c r="F58" s="14"/>
      <c r="G58" s="15"/>
      <c r="H58" s="12" t="s">
        <v>688</v>
      </c>
      <c r="I58" s="18" t="s">
        <v>801</v>
      </c>
      <c r="J58" s="13" t="s">
        <v>802</v>
      </c>
      <c r="K58" s="13" t="s">
        <v>689</v>
      </c>
      <c r="L58" s="13" t="s">
        <v>681</v>
      </c>
      <c r="M58" s="13" t="s">
        <v>805</v>
      </c>
      <c r="N58" s="13" t="s">
        <v>109</v>
      </c>
      <c r="O58" s="17">
        <f>SUM(P58:AW58)</f>
        <v>0</v>
      </c>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2"/>
    </row>
    <row r="59" spans="1:50">
      <c r="A59" s="4">
        <v>54</v>
      </c>
      <c r="B59" s="11" t="s">
        <v>88</v>
      </c>
      <c r="C59" s="12"/>
      <c r="D59" s="12" t="s">
        <v>806</v>
      </c>
      <c r="E59" s="13"/>
      <c r="F59" s="14"/>
      <c r="G59" s="15"/>
      <c r="H59" s="12" t="s">
        <v>692</v>
      </c>
      <c r="I59" s="18" t="s">
        <v>801</v>
      </c>
      <c r="J59" s="13" t="s">
        <v>802</v>
      </c>
      <c r="K59" s="13" t="s">
        <v>610</v>
      </c>
      <c r="L59" s="13" t="s">
        <v>681</v>
      </c>
      <c r="M59" s="13" t="s">
        <v>807</v>
      </c>
      <c r="N59" s="13" t="s">
        <v>109</v>
      </c>
      <c r="O59" s="17">
        <f>SUM(P59:AW59)</f>
        <v>0</v>
      </c>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2"/>
    </row>
    <row r="60" spans="1:50">
      <c r="A60" s="4">
        <v>55</v>
      </c>
      <c r="B60" s="11" t="s">
        <v>88</v>
      </c>
      <c r="C60" s="12"/>
      <c r="D60" s="12" t="s">
        <v>808</v>
      </c>
      <c r="E60" s="13"/>
      <c r="F60" s="14"/>
      <c r="G60" s="15"/>
      <c r="H60" s="12" t="s">
        <v>709</v>
      </c>
      <c r="I60" s="18" t="s">
        <v>801</v>
      </c>
      <c r="J60" s="13" t="s">
        <v>802</v>
      </c>
      <c r="K60" s="13" t="s">
        <v>710</v>
      </c>
      <c r="L60" s="13" t="s">
        <v>681</v>
      </c>
      <c r="M60" s="13" t="s">
        <v>809</v>
      </c>
      <c r="N60" s="13" t="s">
        <v>109</v>
      </c>
      <c r="O60" s="17">
        <f>SUM(P60:AW60)</f>
        <v>0</v>
      </c>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2"/>
    </row>
    <row r="61" spans="1:50">
      <c r="A61" s="4">
        <v>56</v>
      </c>
      <c r="B61" s="11" t="s">
        <v>88</v>
      </c>
      <c r="C61" s="12"/>
      <c r="D61" s="12" t="s">
        <v>810</v>
      </c>
      <c r="E61" s="13"/>
      <c r="F61" s="14"/>
      <c r="G61" s="15"/>
      <c r="H61" s="12" t="s">
        <v>678</v>
      </c>
      <c r="I61" s="18" t="s">
        <v>811</v>
      </c>
      <c r="J61" s="13" t="s">
        <v>802</v>
      </c>
      <c r="K61" s="13" t="s">
        <v>396</v>
      </c>
      <c r="L61" s="13" t="s">
        <v>681</v>
      </c>
      <c r="M61" s="13" t="s">
        <v>812</v>
      </c>
      <c r="N61" s="13" t="s">
        <v>109</v>
      </c>
      <c r="O61" s="17">
        <f>SUM(P61:AW61)</f>
        <v>0</v>
      </c>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2"/>
    </row>
    <row r="62" spans="1:50">
      <c r="A62" s="4">
        <v>57</v>
      </c>
      <c r="B62" s="11" t="s">
        <v>88</v>
      </c>
      <c r="C62" s="12"/>
      <c r="D62" s="12" t="s">
        <v>813</v>
      </c>
      <c r="E62" s="13"/>
      <c r="F62" s="14"/>
      <c r="G62" s="15"/>
      <c r="H62" s="12" t="s">
        <v>699</v>
      </c>
      <c r="I62" s="18" t="s">
        <v>811</v>
      </c>
      <c r="J62" s="13" t="s">
        <v>802</v>
      </c>
      <c r="K62" s="13" t="s">
        <v>814</v>
      </c>
      <c r="L62" s="13" t="s">
        <v>681</v>
      </c>
      <c r="M62" s="13" t="s">
        <v>815</v>
      </c>
      <c r="N62" s="13" t="s">
        <v>417</v>
      </c>
      <c r="O62" s="17">
        <f>SUM(P62:AW62)</f>
        <v>0</v>
      </c>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2"/>
    </row>
    <row r="63" spans="1:50">
      <c r="A63" s="4">
        <v>58</v>
      </c>
      <c r="B63" s="11" t="s">
        <v>88</v>
      </c>
      <c r="C63" s="12"/>
      <c r="D63" s="12" t="s">
        <v>816</v>
      </c>
      <c r="E63" s="13"/>
      <c r="F63" s="14"/>
      <c r="G63" s="15"/>
      <c r="H63" s="12" t="s">
        <v>766</v>
      </c>
      <c r="I63" s="18" t="s">
        <v>811</v>
      </c>
      <c r="J63" s="13" t="s">
        <v>802</v>
      </c>
      <c r="K63" s="13" t="s">
        <v>767</v>
      </c>
      <c r="L63" s="13" t="s">
        <v>681</v>
      </c>
      <c r="M63" s="13" t="s">
        <v>817</v>
      </c>
      <c r="N63" s="13" t="s">
        <v>109</v>
      </c>
      <c r="O63" s="17">
        <f>SUM(P63:AW63)</f>
        <v>0</v>
      </c>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4"/>
    </row>
    <row r="64" spans="1:50">
      <c r="A64" s="4">
        <v>59</v>
      </c>
      <c r="B64" s="11" t="s">
        <v>88</v>
      </c>
      <c r="C64" s="12"/>
      <c r="D64" s="12" t="s">
        <v>818</v>
      </c>
      <c r="E64" s="13"/>
      <c r="F64" s="14"/>
      <c r="G64" s="15"/>
      <c r="H64" s="12" t="s">
        <v>684</v>
      </c>
      <c r="I64" s="18" t="s">
        <v>811</v>
      </c>
      <c r="J64" s="13" t="s">
        <v>802</v>
      </c>
      <c r="K64" s="13" t="s">
        <v>685</v>
      </c>
      <c r="L64" s="13" t="s">
        <v>681</v>
      </c>
      <c r="M64" s="13" t="s">
        <v>819</v>
      </c>
      <c r="N64" s="13" t="s">
        <v>109</v>
      </c>
      <c r="O64" s="17">
        <f>SUM(P64:AW64)</f>
        <v>0</v>
      </c>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4"/>
    </row>
    <row r="65" spans="1:50">
      <c r="A65" s="4">
        <v>60</v>
      </c>
      <c r="B65" s="11" t="s">
        <v>88</v>
      </c>
      <c r="C65" s="12"/>
      <c r="D65" s="12" t="s">
        <v>820</v>
      </c>
      <c r="E65" s="13"/>
      <c r="F65" s="14"/>
      <c r="G65" s="15"/>
      <c r="H65" s="12" t="s">
        <v>688</v>
      </c>
      <c r="I65" s="18" t="s">
        <v>811</v>
      </c>
      <c r="J65" s="13" t="s">
        <v>802</v>
      </c>
      <c r="K65" s="13" t="s">
        <v>689</v>
      </c>
      <c r="L65" s="13" t="s">
        <v>681</v>
      </c>
      <c r="M65" s="13" t="s">
        <v>821</v>
      </c>
      <c r="N65" s="13" t="s">
        <v>109</v>
      </c>
      <c r="O65" s="17">
        <f>SUM(P65:AW65)</f>
        <v>0</v>
      </c>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4"/>
    </row>
    <row r="66" spans="1:50">
      <c r="A66" s="4">
        <v>61</v>
      </c>
      <c r="B66" s="5" t="s">
        <v>88</v>
      </c>
      <c r="C66" s="6"/>
      <c r="D66" s="37" t="s">
        <v>822</v>
      </c>
      <c r="E66" s="50"/>
      <c r="F66" s="37" t="s">
        <v>823</v>
      </c>
      <c r="G66" s="53"/>
      <c r="H66" s="9"/>
      <c r="I66" s="7"/>
      <c r="J66" s="4"/>
      <c r="K66" s="4"/>
      <c r="L66" s="4"/>
      <c r="M66" s="4"/>
      <c r="N66" s="4"/>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9"/>
    </row>
    <row r="67" spans="1:50">
      <c r="A67" s="4">
        <v>62</v>
      </c>
      <c r="B67" s="21" t="s">
        <v>88</v>
      </c>
      <c r="C67" s="3"/>
      <c r="D67" s="1"/>
      <c r="E67" s="2"/>
      <c r="F67" s="1"/>
      <c r="G67" s="26" t="s">
        <v>824</v>
      </c>
      <c r="H67" s="1"/>
      <c r="I67" s="22"/>
      <c r="J67" s="2"/>
      <c r="K67" s="2"/>
      <c r="L67" s="2"/>
      <c r="M67" s="2"/>
      <c r="N67" s="2"/>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1"/>
    </row>
    <row r="68" spans="1:50">
      <c r="A68" s="4">
        <v>63</v>
      </c>
      <c r="B68" s="11" t="s">
        <v>88</v>
      </c>
      <c r="C68" s="12"/>
      <c r="D68" s="12" t="s">
        <v>825</v>
      </c>
      <c r="E68" s="13"/>
      <c r="F68" s="14"/>
      <c r="G68" s="15"/>
      <c r="H68" s="12" t="s">
        <v>699</v>
      </c>
      <c r="I68" s="18" t="s">
        <v>826</v>
      </c>
      <c r="J68" s="13" t="s">
        <v>802</v>
      </c>
      <c r="K68" s="13" t="s">
        <v>701</v>
      </c>
      <c r="L68" s="13" t="s">
        <v>681</v>
      </c>
      <c r="M68" s="13" t="s">
        <v>827</v>
      </c>
      <c r="N68" s="13" t="s">
        <v>109</v>
      </c>
      <c r="O68" s="17">
        <f>SUM(P68:AW68)</f>
        <v>0</v>
      </c>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4"/>
    </row>
    <row r="69" spans="1:50">
      <c r="A69" s="4">
        <v>64</v>
      </c>
      <c r="B69" s="11" t="s">
        <v>88</v>
      </c>
      <c r="C69" s="12"/>
      <c r="D69" s="12" t="s">
        <v>828</v>
      </c>
      <c r="E69" s="13"/>
      <c r="F69" s="14"/>
      <c r="G69" s="15"/>
      <c r="H69" s="12" t="s">
        <v>678</v>
      </c>
      <c r="I69" s="18" t="s">
        <v>829</v>
      </c>
      <c r="J69" s="13" t="s">
        <v>802</v>
      </c>
      <c r="K69" s="13" t="s">
        <v>396</v>
      </c>
      <c r="L69" s="13" t="s">
        <v>681</v>
      </c>
      <c r="M69" s="13" t="s">
        <v>830</v>
      </c>
      <c r="N69" s="13" t="s">
        <v>109</v>
      </c>
      <c r="O69" s="17">
        <f>SUM(P69:AW69)</f>
        <v>0</v>
      </c>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4"/>
    </row>
    <row r="70" spans="1:50">
      <c r="A70" s="4">
        <v>65</v>
      </c>
      <c r="B70" s="11" t="s">
        <v>88</v>
      </c>
      <c r="C70" s="12"/>
      <c r="D70" s="12" t="s">
        <v>831</v>
      </c>
      <c r="E70" s="13"/>
      <c r="F70" s="14"/>
      <c r="G70" s="15"/>
      <c r="H70" s="12" t="s">
        <v>688</v>
      </c>
      <c r="I70" s="18" t="s">
        <v>832</v>
      </c>
      <c r="J70" s="13" t="s">
        <v>802</v>
      </c>
      <c r="K70" s="13" t="s">
        <v>689</v>
      </c>
      <c r="L70" s="13" t="s">
        <v>681</v>
      </c>
      <c r="M70" s="13" t="s">
        <v>833</v>
      </c>
      <c r="N70" s="13" t="s">
        <v>109</v>
      </c>
      <c r="O70" s="17">
        <f>SUM(P70:AW70)</f>
        <v>0</v>
      </c>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4"/>
    </row>
    <row r="71" spans="1:50">
      <c r="A71" s="4">
        <v>66</v>
      </c>
      <c r="B71" s="5" t="s">
        <v>88</v>
      </c>
      <c r="C71" s="6"/>
      <c r="D71" s="37" t="s">
        <v>834</v>
      </c>
      <c r="E71" s="50"/>
      <c r="F71" s="37" t="s">
        <v>835</v>
      </c>
      <c r="G71" s="53"/>
      <c r="H71" s="9"/>
      <c r="I71" s="7"/>
      <c r="J71" s="4"/>
      <c r="K71" s="4"/>
      <c r="L71" s="4"/>
      <c r="M71" s="4"/>
      <c r="N71" s="4"/>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9"/>
    </row>
    <row r="72" spans="1:50">
      <c r="A72" s="4">
        <v>67</v>
      </c>
      <c r="B72" s="21" t="s">
        <v>88</v>
      </c>
      <c r="C72" s="3"/>
      <c r="D72" s="1"/>
      <c r="E72" s="2"/>
      <c r="F72" s="1"/>
      <c r="G72" s="26" t="s">
        <v>824</v>
      </c>
      <c r="H72" s="1"/>
      <c r="I72" s="22"/>
      <c r="J72" s="2"/>
      <c r="K72" s="2"/>
      <c r="L72" s="2"/>
      <c r="M72" s="2"/>
      <c r="N72" s="2"/>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25"/>
      <c r="AW72" s="25"/>
      <c r="AX72" s="1"/>
    </row>
    <row r="73" spans="1:50">
      <c r="A73" s="4">
        <v>68</v>
      </c>
      <c r="B73" s="11" t="s">
        <v>88</v>
      </c>
      <c r="C73" s="12"/>
      <c r="D73" s="12" t="s">
        <v>836</v>
      </c>
      <c r="E73" s="13"/>
      <c r="F73" s="12" t="s">
        <v>835</v>
      </c>
      <c r="G73" s="15"/>
      <c r="H73" s="12" t="s">
        <v>678</v>
      </c>
      <c r="I73" s="18" t="s">
        <v>837</v>
      </c>
      <c r="J73" s="13" t="s">
        <v>838</v>
      </c>
      <c r="K73" s="13" t="s">
        <v>396</v>
      </c>
      <c r="L73" s="13" t="s">
        <v>681</v>
      </c>
      <c r="M73" s="13" t="s">
        <v>839</v>
      </c>
      <c r="N73" s="13" t="s">
        <v>109</v>
      </c>
      <c r="O73" s="17">
        <f>SUM(P73:AW73)</f>
        <v>180</v>
      </c>
      <c r="P73" s="17"/>
      <c r="Q73" s="17"/>
      <c r="R73" s="17">
        <f>(200*1.2*3)/4</f>
        <v>180</v>
      </c>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4"/>
    </row>
    <row r="74" spans="1:50">
      <c r="A74" s="4">
        <v>69</v>
      </c>
      <c r="B74" s="11" t="s">
        <v>88</v>
      </c>
      <c r="C74" s="12"/>
      <c r="D74" s="12" t="s">
        <v>840</v>
      </c>
      <c r="E74" s="13"/>
      <c r="F74" s="12" t="s">
        <v>835</v>
      </c>
      <c r="G74" s="15"/>
      <c r="H74" s="12" t="s">
        <v>678</v>
      </c>
      <c r="I74" s="18" t="s">
        <v>841</v>
      </c>
      <c r="J74" s="13" t="s">
        <v>838</v>
      </c>
      <c r="K74" s="13" t="s">
        <v>396</v>
      </c>
      <c r="L74" s="13" t="s">
        <v>681</v>
      </c>
      <c r="M74" s="13" t="s">
        <v>842</v>
      </c>
      <c r="N74" s="13" t="s">
        <v>109</v>
      </c>
      <c r="O74" s="17">
        <f>SUM(P74:AW74)</f>
        <v>180</v>
      </c>
      <c r="P74" s="17"/>
      <c r="Q74" s="17"/>
      <c r="R74" s="17">
        <f>(200*1.2*3)/4</f>
        <v>180</v>
      </c>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4"/>
    </row>
    <row r="75" spans="1:50">
      <c r="A75" s="4">
        <v>70</v>
      </c>
      <c r="B75" s="11" t="s">
        <v>88</v>
      </c>
      <c r="C75" s="12"/>
      <c r="D75" s="12" t="s">
        <v>843</v>
      </c>
      <c r="E75" s="13"/>
      <c r="F75" s="12" t="s">
        <v>835</v>
      </c>
      <c r="G75" s="15"/>
      <c r="H75" s="12" t="s">
        <v>678</v>
      </c>
      <c r="I75" s="18" t="s">
        <v>844</v>
      </c>
      <c r="J75" s="13" t="s">
        <v>838</v>
      </c>
      <c r="K75" s="13" t="s">
        <v>396</v>
      </c>
      <c r="L75" s="13" t="s">
        <v>681</v>
      </c>
      <c r="M75" s="13" t="s">
        <v>845</v>
      </c>
      <c r="N75" s="13" t="s">
        <v>109</v>
      </c>
      <c r="O75" s="17">
        <f>SUM(P75:AW75)</f>
        <v>180</v>
      </c>
      <c r="P75" s="17"/>
      <c r="Q75" s="17"/>
      <c r="R75" s="17">
        <f>(200*1.2*3)/4</f>
        <v>180</v>
      </c>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4"/>
    </row>
    <row r="76" spans="1:50">
      <c r="A76" s="4">
        <v>71</v>
      </c>
      <c r="B76" s="11" t="s">
        <v>88</v>
      </c>
      <c r="C76" s="12"/>
      <c r="D76" s="12" t="s">
        <v>846</v>
      </c>
      <c r="E76" s="13"/>
      <c r="F76" s="12" t="s">
        <v>835</v>
      </c>
      <c r="G76" s="15"/>
      <c r="H76" s="12" t="s">
        <v>678</v>
      </c>
      <c r="I76" s="18" t="s">
        <v>847</v>
      </c>
      <c r="J76" s="13" t="s">
        <v>838</v>
      </c>
      <c r="K76" s="13" t="s">
        <v>396</v>
      </c>
      <c r="L76" s="13" t="s">
        <v>681</v>
      </c>
      <c r="M76" s="13" t="s">
        <v>848</v>
      </c>
      <c r="N76" s="13" t="s">
        <v>109</v>
      </c>
      <c r="O76" s="17">
        <f>SUM(P76:AW76)</f>
        <v>180</v>
      </c>
      <c r="P76" s="17"/>
      <c r="Q76" s="17"/>
      <c r="R76" s="17">
        <f>(200*1.2*3)/4</f>
        <v>180</v>
      </c>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4"/>
    </row>
    <row r="77" spans="1:50">
      <c r="AD77" s="43"/>
    </row>
  </sheetData>
  <autoFilter ref="A5:AW76" xr:uid="{00000000-0009-0000-0000-000003000000}"/>
  <mergeCells count="7">
    <mergeCell ref="A1:AX1"/>
    <mergeCell ref="P3:AB3"/>
    <mergeCell ref="AC3:AW3"/>
    <mergeCell ref="A2:AX2"/>
    <mergeCell ref="O3:O5"/>
    <mergeCell ref="AX3:AX5"/>
    <mergeCell ref="N3:N5"/>
  </mergeCells>
  <pageMargins left="1" right="1" top="1" bottom="1" header="0.3" footer="0.3"/>
  <pageSetup paperSize="0" orientation="portrait"/>
  <headerFooter>
    <oddHeader>&amp;L&amp;"Aptos"&amp;8&amp;K000000 대외비(Restricted)&amp;1#_x000D_&amp;"Calibri"&amp;11&amp;K000000&amp;"Calibri"&amp;1 &amp;K000000 대외비(Restricted)#_x000D_</oddHeader>
  </headerFooter>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AW80"/>
  <sheetViews>
    <sheetView zoomScale="55" zoomScaleNormal="55" workbookViewId="0">
      <pane xSplit="12" ySplit="5" topLeftCell="M6" activePane="bottomRight" state="frozen"/>
      <selection pane="bottomRight" activeCell="O4" sqref="O4"/>
      <selection pane="bottomLeft" activeCell="A6" sqref="A6"/>
      <selection pane="topRight" activeCell="M1" sqref="M1"/>
    </sheetView>
  </sheetViews>
  <sheetFormatPr defaultRowHeight="14.45" outlineLevelCol="1"/>
  <cols>
    <col min="1" max="1" width="5.7109375" customWidth="1"/>
    <col min="2" max="2" width="11.28515625" customWidth="1"/>
    <col min="3" max="3" width="21.28515625" customWidth="1"/>
    <col min="4" max="4" width="8.7109375" customWidth="1"/>
    <col min="5" max="5" width="14.28515625" customWidth="1" outlineLevel="1"/>
    <col min="6" max="6" width="14.28515625" customWidth="1"/>
    <col min="7" max="7" width="35.7109375" customWidth="1"/>
    <col min="8" max="8" width="14.28515625" customWidth="1"/>
    <col min="9" max="9" width="28.7109375" customWidth="1"/>
    <col min="10" max="12" width="14.28515625" customWidth="1" outlineLevel="1"/>
    <col min="13" max="13" width="8.7109375" customWidth="1"/>
    <col min="14" max="14" width="11.28515625" customWidth="1"/>
    <col min="15" max="31" width="13" customWidth="1"/>
    <col min="32" max="32" width="13" style="80" customWidth="1"/>
    <col min="33" max="33" width="13" customWidth="1" collapsed="1"/>
    <col min="34" max="48" width="13" customWidth="1"/>
    <col min="49" max="49" width="21.28515625" customWidth="1"/>
  </cols>
  <sheetData>
    <row r="1" spans="1:49" ht="18.75" customHeight="1">
      <c r="A1" s="109" t="s">
        <v>7</v>
      </c>
      <c r="B1" s="117"/>
      <c r="C1" s="117"/>
      <c r="D1" s="117"/>
      <c r="E1" s="117"/>
      <c r="F1" s="117"/>
      <c r="G1" s="117"/>
      <c r="H1" s="117"/>
      <c r="I1" s="117"/>
      <c r="J1" s="117"/>
      <c r="K1" s="117"/>
      <c r="L1" s="117"/>
      <c r="M1" s="117"/>
      <c r="N1" s="117"/>
      <c r="O1" s="117"/>
      <c r="P1" s="117"/>
      <c r="Q1" s="117"/>
      <c r="R1" s="117"/>
      <c r="S1" s="117"/>
      <c r="T1" s="117"/>
      <c r="U1" s="117"/>
      <c r="V1" s="117"/>
      <c r="W1" s="117"/>
      <c r="X1" s="117"/>
      <c r="Y1" s="117"/>
      <c r="Z1" s="117"/>
      <c r="AA1" s="117"/>
      <c r="AB1" s="117"/>
      <c r="AC1" s="117"/>
      <c r="AD1" s="117"/>
      <c r="AE1" s="117"/>
      <c r="AF1" s="114"/>
      <c r="AG1" s="117"/>
      <c r="AH1" s="117"/>
      <c r="AI1" s="117"/>
      <c r="AJ1" s="117"/>
      <c r="AK1" s="117"/>
      <c r="AL1" s="117"/>
      <c r="AM1" s="117"/>
      <c r="AN1" s="117"/>
      <c r="AO1" s="117"/>
      <c r="AP1" s="117"/>
      <c r="AQ1" s="117"/>
      <c r="AR1" s="117"/>
      <c r="AS1" s="117"/>
      <c r="AT1" s="117"/>
      <c r="AU1" s="117"/>
      <c r="AV1" s="117"/>
      <c r="AW1" s="117"/>
    </row>
    <row r="2" spans="1:49" ht="13.5" customHeight="1">
      <c r="A2" s="110" t="s">
        <v>8</v>
      </c>
      <c r="B2" s="118"/>
      <c r="C2" s="118"/>
      <c r="D2" s="118"/>
      <c r="E2" s="118"/>
      <c r="F2" s="118"/>
      <c r="G2" s="118"/>
      <c r="H2" s="118"/>
      <c r="I2" s="118"/>
      <c r="J2" s="118"/>
      <c r="K2" s="118"/>
      <c r="L2" s="118"/>
      <c r="M2" s="118"/>
      <c r="N2" s="118"/>
      <c r="O2" s="118"/>
      <c r="P2" s="118"/>
      <c r="Q2" s="118"/>
      <c r="R2" s="118"/>
      <c r="S2" s="118"/>
      <c r="T2" s="118"/>
      <c r="U2" s="118"/>
      <c r="V2" s="118"/>
      <c r="W2" s="118"/>
      <c r="X2" s="118"/>
      <c r="Y2" s="118"/>
      <c r="Z2" s="118"/>
      <c r="AA2" s="118"/>
      <c r="AB2" s="118"/>
      <c r="AC2" s="118"/>
      <c r="AD2" s="118"/>
      <c r="AE2" s="118"/>
      <c r="AF2" s="118"/>
      <c r="AG2" s="118"/>
      <c r="AH2" s="118"/>
      <c r="AI2" s="118"/>
      <c r="AJ2" s="118"/>
      <c r="AK2" s="118"/>
      <c r="AL2" s="118"/>
      <c r="AM2" s="118"/>
      <c r="AN2" s="118"/>
      <c r="AO2" s="118"/>
      <c r="AP2" s="118"/>
      <c r="AQ2" s="118"/>
      <c r="AR2" s="118"/>
      <c r="AS2" s="118"/>
      <c r="AT2" s="118"/>
      <c r="AU2" s="118"/>
      <c r="AV2" s="118"/>
      <c r="AW2" s="118"/>
    </row>
    <row r="3" spans="1:49" ht="23.25" customHeight="1">
      <c r="A3" s="102" t="s">
        <v>9</v>
      </c>
      <c r="B3" s="102" t="s">
        <v>10</v>
      </c>
      <c r="C3" s="102" t="s">
        <v>11</v>
      </c>
      <c r="D3" s="102" t="s">
        <v>12</v>
      </c>
      <c r="E3" s="102" t="s">
        <v>13</v>
      </c>
      <c r="F3" s="102" t="s">
        <v>14</v>
      </c>
      <c r="G3" s="102" t="s">
        <v>15</v>
      </c>
      <c r="I3" s="102" t="s">
        <v>16</v>
      </c>
      <c r="J3" s="102" t="s">
        <v>17</v>
      </c>
      <c r="K3" s="102" t="s">
        <v>849</v>
      </c>
      <c r="L3" s="102" t="s">
        <v>23</v>
      </c>
      <c r="M3" s="107" t="s">
        <v>24</v>
      </c>
      <c r="N3" s="107" t="s">
        <v>25</v>
      </c>
      <c r="O3" s="108" t="s">
        <v>26</v>
      </c>
      <c r="P3" s="119"/>
      <c r="Q3" s="119"/>
      <c r="R3" s="119"/>
      <c r="S3" s="119"/>
      <c r="T3" s="119"/>
      <c r="U3" s="119"/>
      <c r="V3" s="119"/>
      <c r="W3" s="119"/>
      <c r="X3" s="119"/>
      <c r="Y3" s="119"/>
      <c r="Z3" s="119"/>
      <c r="AA3" s="120"/>
      <c r="AB3" s="108" t="s">
        <v>27</v>
      </c>
      <c r="AC3" s="119"/>
      <c r="AD3" s="119"/>
      <c r="AE3" s="119"/>
      <c r="AF3" s="119"/>
      <c r="AG3" s="119"/>
      <c r="AH3" s="119"/>
      <c r="AI3" s="119"/>
      <c r="AJ3" s="119"/>
      <c r="AK3" s="119"/>
      <c r="AL3" s="119"/>
      <c r="AM3" s="119"/>
      <c r="AN3" s="119"/>
      <c r="AO3" s="119"/>
      <c r="AP3" s="119"/>
      <c r="AQ3" s="119"/>
      <c r="AR3" s="119"/>
      <c r="AS3" s="119"/>
      <c r="AT3" s="119"/>
      <c r="AU3" s="119"/>
      <c r="AV3" s="120"/>
      <c r="AW3" s="107" t="s">
        <v>28</v>
      </c>
    </row>
    <row r="4" spans="1:49" ht="23.25" customHeight="1">
      <c r="G4" s="102" t="s">
        <v>29</v>
      </c>
      <c r="H4" s="102" t="s">
        <v>30</v>
      </c>
      <c r="M4" s="121"/>
      <c r="N4" s="121"/>
      <c r="O4" s="101" t="s">
        <v>31</v>
      </c>
      <c r="P4" s="101" t="s">
        <v>32</v>
      </c>
      <c r="Q4" s="101" t="s">
        <v>33</v>
      </c>
      <c r="R4" s="101" t="s">
        <v>34</v>
      </c>
      <c r="S4" s="101" t="s">
        <v>35</v>
      </c>
      <c r="T4" s="101" t="s">
        <v>36</v>
      </c>
      <c r="U4" s="102" t="s">
        <v>37</v>
      </c>
      <c r="V4" s="102" t="s">
        <v>38</v>
      </c>
      <c r="W4" s="101" t="s">
        <v>39</v>
      </c>
      <c r="X4" s="101" t="s">
        <v>40</v>
      </c>
      <c r="Y4" s="102" t="s">
        <v>41</v>
      </c>
      <c r="Z4" s="101" t="s">
        <v>42</v>
      </c>
      <c r="AA4" s="101" t="s">
        <v>43</v>
      </c>
      <c r="AB4" s="102" t="s">
        <v>44</v>
      </c>
      <c r="AC4" s="102" t="s">
        <v>45</v>
      </c>
      <c r="AD4" s="101" t="s">
        <v>46</v>
      </c>
      <c r="AE4" s="102" t="s">
        <v>47</v>
      </c>
      <c r="AF4" s="102" t="s">
        <v>48</v>
      </c>
      <c r="AG4" s="101" t="s">
        <v>49</v>
      </c>
      <c r="AH4" s="101" t="s">
        <v>50</v>
      </c>
      <c r="AI4" s="101" t="s">
        <v>51</v>
      </c>
      <c r="AJ4" s="101" t="s">
        <v>52</v>
      </c>
      <c r="AK4" s="101" t="s">
        <v>53</v>
      </c>
      <c r="AL4" s="101" t="s">
        <v>54</v>
      </c>
      <c r="AM4" s="101" t="s">
        <v>55</v>
      </c>
      <c r="AN4" s="101" t="s">
        <v>56</v>
      </c>
      <c r="AO4" s="101" t="s">
        <v>57</v>
      </c>
      <c r="AP4" s="101" t="s">
        <v>58</v>
      </c>
      <c r="AQ4" s="101" t="s">
        <v>59</v>
      </c>
      <c r="AR4" s="101" t="s">
        <v>60</v>
      </c>
      <c r="AS4" s="101" t="s">
        <v>61</v>
      </c>
      <c r="AT4" s="101" t="s">
        <v>62</v>
      </c>
      <c r="AU4" s="101" t="s">
        <v>63</v>
      </c>
      <c r="AV4" s="103" t="s">
        <v>64</v>
      </c>
      <c r="AW4" s="121"/>
    </row>
    <row r="5" spans="1:49" ht="23.25" customHeight="1">
      <c r="M5" s="122"/>
      <c r="N5" s="122"/>
      <c r="O5" s="102" t="s">
        <v>65</v>
      </c>
      <c r="P5" s="102" t="s">
        <v>65</v>
      </c>
      <c r="Q5" s="102" t="s">
        <v>66</v>
      </c>
      <c r="R5" s="101" t="s">
        <v>66</v>
      </c>
      <c r="S5" s="101" t="s">
        <v>66</v>
      </c>
      <c r="T5" s="101" t="s">
        <v>66</v>
      </c>
      <c r="U5" s="101" t="s">
        <v>67</v>
      </c>
      <c r="V5" s="102" t="s">
        <v>68</v>
      </c>
      <c r="W5" s="101" t="s">
        <v>69</v>
      </c>
      <c r="X5" s="101" t="s">
        <v>70</v>
      </c>
      <c r="Y5" s="101" t="s">
        <v>71</v>
      </c>
      <c r="Z5" s="101" t="s">
        <v>72</v>
      </c>
      <c r="AA5" s="101" t="s">
        <v>73</v>
      </c>
      <c r="AB5" s="102" t="s">
        <v>74</v>
      </c>
      <c r="AC5" s="102" t="s">
        <v>75</v>
      </c>
      <c r="AD5" s="101" t="s">
        <v>76</v>
      </c>
      <c r="AE5" s="102" t="s">
        <v>77</v>
      </c>
      <c r="AF5" s="102" t="s">
        <v>78</v>
      </c>
      <c r="AG5" s="101" t="s">
        <v>79</v>
      </c>
      <c r="AH5" s="101" t="s">
        <v>80</v>
      </c>
      <c r="AI5" s="101" t="s">
        <v>81</v>
      </c>
      <c r="AJ5" s="101" t="s">
        <v>82</v>
      </c>
      <c r="AK5" s="101" t="s">
        <v>83</v>
      </c>
      <c r="AL5" s="101" t="s">
        <v>84</v>
      </c>
      <c r="AM5" s="101" t="s">
        <v>72</v>
      </c>
      <c r="AN5" s="101" t="s">
        <v>85</v>
      </c>
      <c r="AO5" s="101" t="s">
        <v>86</v>
      </c>
      <c r="AP5" s="101" t="s">
        <v>87</v>
      </c>
      <c r="AQ5" s="101" t="s">
        <v>86</v>
      </c>
      <c r="AR5" s="101" t="s">
        <v>87</v>
      </c>
      <c r="AS5" s="101" t="s">
        <v>87</v>
      </c>
      <c r="AT5" s="101" t="s">
        <v>86</v>
      </c>
      <c r="AU5" s="101" t="s">
        <v>87</v>
      </c>
      <c r="AV5" s="101" t="s">
        <v>87</v>
      </c>
      <c r="AW5" s="122"/>
    </row>
    <row r="6" spans="1:49">
      <c r="A6" s="4">
        <v>1</v>
      </c>
      <c r="B6" s="5" t="s">
        <v>88</v>
      </c>
      <c r="C6" s="6"/>
      <c r="D6" s="6" t="s">
        <v>850</v>
      </c>
      <c r="E6" s="4"/>
      <c r="F6" s="6" t="s">
        <v>851</v>
      </c>
      <c r="G6" s="7"/>
      <c r="H6" s="9"/>
      <c r="I6" s="7"/>
      <c r="J6" s="4"/>
      <c r="K6" s="4"/>
      <c r="L6" s="4"/>
      <c r="M6" s="4"/>
      <c r="N6" s="4"/>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9"/>
    </row>
    <row r="7" spans="1:49">
      <c r="A7" s="4">
        <v>2</v>
      </c>
      <c r="B7" s="5" t="s">
        <v>88</v>
      </c>
      <c r="C7" s="6"/>
      <c r="D7" s="37" t="s">
        <v>852</v>
      </c>
      <c r="E7" s="50"/>
      <c r="F7" s="37" t="s">
        <v>853</v>
      </c>
      <c r="G7" s="53"/>
      <c r="H7" s="9"/>
      <c r="I7" s="7"/>
      <c r="J7" s="4"/>
      <c r="K7" s="4"/>
      <c r="L7" s="4"/>
      <c r="M7" s="4"/>
      <c r="N7" s="4"/>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9"/>
    </row>
    <row r="8" spans="1:49">
      <c r="A8" s="4">
        <v>3</v>
      </c>
      <c r="B8" s="21" t="s">
        <v>88</v>
      </c>
      <c r="C8" s="3"/>
      <c r="D8" s="1"/>
      <c r="E8" s="2"/>
      <c r="F8" s="1"/>
      <c r="G8" s="26" t="s">
        <v>854</v>
      </c>
      <c r="H8" s="1"/>
      <c r="I8" s="22"/>
      <c r="J8" s="2"/>
      <c r="K8" s="2"/>
      <c r="L8" s="2"/>
      <c r="M8" s="2"/>
      <c r="N8" s="2"/>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1"/>
    </row>
    <row r="9" spans="1:49">
      <c r="A9" s="4">
        <v>4</v>
      </c>
      <c r="B9" s="21" t="s">
        <v>88</v>
      </c>
      <c r="C9" s="3"/>
      <c r="D9" s="1"/>
      <c r="E9" s="2"/>
      <c r="F9" s="1"/>
      <c r="G9" s="26" t="s">
        <v>855</v>
      </c>
      <c r="H9" s="1"/>
      <c r="I9" s="22"/>
      <c r="J9" s="2"/>
      <c r="K9" s="2"/>
      <c r="L9" s="2"/>
      <c r="M9" s="2"/>
      <c r="N9" s="2"/>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1"/>
    </row>
    <row r="10" spans="1:49" ht="26.45" customHeight="1">
      <c r="A10" s="4">
        <v>5</v>
      </c>
      <c r="B10" s="21" t="s">
        <v>88</v>
      </c>
      <c r="C10" s="3"/>
      <c r="D10" s="1"/>
      <c r="E10" s="2"/>
      <c r="F10" s="1"/>
      <c r="G10" s="26" t="s">
        <v>856</v>
      </c>
      <c r="H10" s="1"/>
      <c r="I10" s="22"/>
      <c r="J10" s="2"/>
      <c r="K10" s="2"/>
      <c r="L10" s="2"/>
      <c r="M10" s="2"/>
      <c r="N10" s="2"/>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1"/>
    </row>
    <row r="11" spans="1:49">
      <c r="A11" s="4">
        <v>6</v>
      </c>
      <c r="B11" s="21" t="s">
        <v>88</v>
      </c>
      <c r="C11" s="3"/>
      <c r="D11" s="1"/>
      <c r="E11" s="2"/>
      <c r="F11" s="1"/>
      <c r="G11" s="26" t="s">
        <v>857</v>
      </c>
      <c r="H11" s="1"/>
      <c r="I11" s="22"/>
      <c r="J11" s="2"/>
      <c r="K11" s="2"/>
      <c r="L11" s="2"/>
      <c r="M11" s="2"/>
      <c r="N11" s="2"/>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1"/>
    </row>
    <row r="12" spans="1:49" ht="26.45" customHeight="1">
      <c r="A12" s="4">
        <v>7</v>
      </c>
      <c r="B12" s="21" t="s">
        <v>88</v>
      </c>
      <c r="C12" s="3"/>
      <c r="D12" s="1"/>
      <c r="E12" s="2"/>
      <c r="F12" s="1"/>
      <c r="G12" s="26" t="s">
        <v>858</v>
      </c>
      <c r="H12" s="1"/>
      <c r="I12" s="22"/>
      <c r="J12" s="2"/>
      <c r="K12" s="2"/>
      <c r="L12" s="2"/>
      <c r="M12" s="2"/>
      <c r="N12" s="2"/>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1"/>
    </row>
    <row r="13" spans="1:49">
      <c r="A13" s="4">
        <v>8</v>
      </c>
      <c r="B13" s="21" t="s">
        <v>88</v>
      </c>
      <c r="C13" s="3"/>
      <c r="D13" s="1"/>
      <c r="E13" s="2"/>
      <c r="F13" s="1"/>
      <c r="G13" s="26" t="s">
        <v>859</v>
      </c>
      <c r="H13" s="1"/>
      <c r="I13" s="22"/>
      <c r="J13" s="2"/>
      <c r="K13" s="2"/>
      <c r="L13" s="2"/>
      <c r="M13" s="2"/>
      <c r="N13" s="2"/>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1"/>
    </row>
    <row r="14" spans="1:49">
      <c r="A14" s="4">
        <v>9</v>
      </c>
      <c r="B14" s="11" t="s">
        <v>88</v>
      </c>
      <c r="C14" s="12"/>
      <c r="D14" s="12" t="s">
        <v>860</v>
      </c>
      <c r="E14" s="13"/>
      <c r="F14" s="14"/>
      <c r="G14" s="15"/>
      <c r="H14" s="12" t="s">
        <v>861</v>
      </c>
      <c r="I14" s="18" t="s">
        <v>862</v>
      </c>
      <c r="J14" s="13" t="s">
        <v>863</v>
      </c>
      <c r="K14" s="13" t="s">
        <v>864</v>
      </c>
      <c r="L14" s="13" t="s">
        <v>865</v>
      </c>
      <c r="M14" s="13" t="s">
        <v>417</v>
      </c>
      <c r="N14" s="33">
        <f>SUM(O14:AV14)</f>
        <v>0</v>
      </c>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2"/>
    </row>
    <row r="15" spans="1:49">
      <c r="A15" s="4">
        <v>10</v>
      </c>
      <c r="B15" s="11" t="s">
        <v>88</v>
      </c>
      <c r="C15" s="12"/>
      <c r="D15" s="12" t="s">
        <v>866</v>
      </c>
      <c r="E15" s="13"/>
      <c r="F15" s="14"/>
      <c r="G15" s="15"/>
      <c r="H15" s="12" t="s">
        <v>867</v>
      </c>
      <c r="I15" s="18" t="s">
        <v>868</v>
      </c>
      <c r="J15" s="13" t="s">
        <v>863</v>
      </c>
      <c r="K15" s="13" t="s">
        <v>869</v>
      </c>
      <c r="L15" s="13" t="s">
        <v>870</v>
      </c>
      <c r="M15" s="13" t="s">
        <v>417</v>
      </c>
      <c r="N15" s="33">
        <f>SUM(O15:AV15)</f>
        <v>0</v>
      </c>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2"/>
    </row>
    <row r="16" spans="1:49">
      <c r="A16" s="4">
        <v>11</v>
      </c>
      <c r="B16" s="11" t="s">
        <v>88</v>
      </c>
      <c r="C16" s="12"/>
      <c r="D16" s="12" t="s">
        <v>871</v>
      </c>
      <c r="E16" s="13"/>
      <c r="F16" s="14"/>
      <c r="G16" s="15"/>
      <c r="H16" s="12" t="s">
        <v>872</v>
      </c>
      <c r="I16" s="18" t="s">
        <v>873</v>
      </c>
      <c r="J16" s="13" t="s">
        <v>863</v>
      </c>
      <c r="K16" s="13" t="s">
        <v>874</v>
      </c>
      <c r="L16" s="13" t="s">
        <v>875</v>
      </c>
      <c r="M16" s="13" t="s">
        <v>417</v>
      </c>
      <c r="N16" s="33">
        <f>SUM(O16:AV16)</f>
        <v>0</v>
      </c>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2"/>
    </row>
    <row r="17" spans="1:49">
      <c r="A17" s="4">
        <v>12</v>
      </c>
      <c r="B17" s="11" t="s">
        <v>88</v>
      </c>
      <c r="C17" s="12"/>
      <c r="D17" s="12" t="s">
        <v>876</v>
      </c>
      <c r="E17" s="13"/>
      <c r="F17" s="14"/>
      <c r="G17" s="15"/>
      <c r="H17" s="12" t="s">
        <v>877</v>
      </c>
      <c r="I17" s="18" t="s">
        <v>878</v>
      </c>
      <c r="J17" s="13" t="s">
        <v>863</v>
      </c>
      <c r="K17" s="13" t="s">
        <v>879</v>
      </c>
      <c r="L17" s="13" t="s">
        <v>880</v>
      </c>
      <c r="M17" s="13" t="s">
        <v>417</v>
      </c>
      <c r="N17" s="33">
        <f>SUM(O17:AV17)</f>
        <v>0</v>
      </c>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2"/>
    </row>
    <row r="18" spans="1:49">
      <c r="A18" s="4">
        <v>13</v>
      </c>
      <c r="B18" s="11" t="s">
        <v>88</v>
      </c>
      <c r="C18" s="12"/>
      <c r="D18" s="12" t="s">
        <v>881</v>
      </c>
      <c r="E18" s="13"/>
      <c r="F18" s="14"/>
      <c r="G18" s="15"/>
      <c r="H18" s="12" t="s">
        <v>861</v>
      </c>
      <c r="I18" s="18" t="s">
        <v>882</v>
      </c>
      <c r="J18" s="13" t="s">
        <v>863</v>
      </c>
      <c r="K18" s="13" t="s">
        <v>864</v>
      </c>
      <c r="L18" s="13" t="s">
        <v>883</v>
      </c>
      <c r="M18" s="13" t="s">
        <v>417</v>
      </c>
      <c r="N18" s="33">
        <f>SUM(O18:AV18)</f>
        <v>0</v>
      </c>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2"/>
    </row>
    <row r="19" spans="1:49">
      <c r="A19" s="4">
        <v>14</v>
      </c>
      <c r="B19" s="11" t="s">
        <v>88</v>
      </c>
      <c r="C19" s="12"/>
      <c r="D19" s="12" t="s">
        <v>884</v>
      </c>
      <c r="E19" s="13"/>
      <c r="F19" s="14"/>
      <c r="G19" s="15"/>
      <c r="H19" s="12" t="s">
        <v>867</v>
      </c>
      <c r="I19" s="18" t="s">
        <v>885</v>
      </c>
      <c r="J19" s="13" t="s">
        <v>863</v>
      </c>
      <c r="K19" s="13" t="s">
        <v>869</v>
      </c>
      <c r="L19" s="13" t="s">
        <v>886</v>
      </c>
      <c r="M19" s="13" t="s">
        <v>417</v>
      </c>
      <c r="N19" s="33">
        <f>SUM(O19:AV19)</f>
        <v>0</v>
      </c>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4"/>
    </row>
    <row r="20" spans="1:49">
      <c r="A20" s="4">
        <v>15</v>
      </c>
      <c r="B20" s="11" t="s">
        <v>88</v>
      </c>
      <c r="C20" s="12"/>
      <c r="D20" s="12" t="s">
        <v>887</v>
      </c>
      <c r="E20" s="13"/>
      <c r="F20" s="14"/>
      <c r="G20" s="15"/>
      <c r="H20" s="12" t="s">
        <v>872</v>
      </c>
      <c r="I20" s="18" t="s">
        <v>888</v>
      </c>
      <c r="J20" s="13" t="s">
        <v>863</v>
      </c>
      <c r="K20" s="13" t="s">
        <v>874</v>
      </c>
      <c r="L20" s="13" t="s">
        <v>889</v>
      </c>
      <c r="M20" s="13" t="s">
        <v>417</v>
      </c>
      <c r="N20" s="33">
        <f>SUM(O20:AV20)</f>
        <v>0</v>
      </c>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4"/>
    </row>
    <row r="21" spans="1:49">
      <c r="A21" s="4">
        <v>16</v>
      </c>
      <c r="B21" s="11" t="s">
        <v>88</v>
      </c>
      <c r="C21" s="12"/>
      <c r="D21" s="12" t="s">
        <v>890</v>
      </c>
      <c r="E21" s="13"/>
      <c r="F21" s="14"/>
      <c r="G21" s="15"/>
      <c r="H21" s="12" t="s">
        <v>877</v>
      </c>
      <c r="I21" s="18" t="s">
        <v>891</v>
      </c>
      <c r="J21" s="13" t="s">
        <v>863</v>
      </c>
      <c r="K21" s="13" t="s">
        <v>879</v>
      </c>
      <c r="L21" s="13" t="s">
        <v>892</v>
      </c>
      <c r="M21" s="13" t="s">
        <v>417</v>
      </c>
      <c r="N21" s="33">
        <f>SUM(O21:AV21)</f>
        <v>0</v>
      </c>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4"/>
    </row>
    <row r="22" spans="1:49">
      <c r="A22" s="4">
        <v>17</v>
      </c>
      <c r="B22" s="11" t="s">
        <v>88</v>
      </c>
      <c r="C22" s="12"/>
      <c r="D22" s="12" t="s">
        <v>893</v>
      </c>
      <c r="E22" s="13"/>
      <c r="F22" s="14"/>
      <c r="G22" s="15"/>
      <c r="H22" s="12" t="s">
        <v>894</v>
      </c>
      <c r="I22" s="18" t="s">
        <v>895</v>
      </c>
      <c r="J22" s="13" t="s">
        <v>863</v>
      </c>
      <c r="K22" s="13" t="s">
        <v>896</v>
      </c>
      <c r="L22" s="13" t="s">
        <v>897</v>
      </c>
      <c r="M22" s="13" t="s">
        <v>417</v>
      </c>
      <c r="N22" s="33">
        <f>SUM(O22:AV22)</f>
        <v>0</v>
      </c>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4"/>
    </row>
    <row r="23" spans="1:49">
      <c r="A23" s="4">
        <v>18</v>
      </c>
      <c r="B23" s="11" t="s">
        <v>88</v>
      </c>
      <c r="C23" s="12"/>
      <c r="D23" s="12" t="s">
        <v>898</v>
      </c>
      <c r="E23" s="13"/>
      <c r="F23" s="14"/>
      <c r="G23" s="15"/>
      <c r="H23" s="12" t="s">
        <v>861</v>
      </c>
      <c r="I23" s="18" t="s">
        <v>899</v>
      </c>
      <c r="J23" s="13" t="s">
        <v>863</v>
      </c>
      <c r="K23" s="13" t="s">
        <v>864</v>
      </c>
      <c r="L23" s="13" t="s">
        <v>900</v>
      </c>
      <c r="M23" s="13" t="s">
        <v>417</v>
      </c>
      <c r="N23" s="33">
        <f>SUM(O23:AV23)</f>
        <v>0</v>
      </c>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4"/>
    </row>
    <row r="24" spans="1:49">
      <c r="A24" s="4">
        <v>19</v>
      </c>
      <c r="B24" s="5" t="s">
        <v>88</v>
      </c>
      <c r="C24" s="6"/>
      <c r="D24" s="37" t="s">
        <v>901</v>
      </c>
      <c r="E24" s="50"/>
      <c r="F24" s="37" t="s">
        <v>902</v>
      </c>
      <c r="G24" s="53"/>
      <c r="H24" s="9"/>
      <c r="I24" s="7"/>
      <c r="J24" s="4"/>
      <c r="K24" s="4"/>
      <c r="L24" s="4"/>
      <c r="M24" s="4"/>
      <c r="N24" s="4"/>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9"/>
    </row>
    <row r="25" spans="1:49">
      <c r="A25" s="4">
        <v>20</v>
      </c>
      <c r="B25" s="21" t="s">
        <v>88</v>
      </c>
      <c r="C25" s="3"/>
      <c r="D25" s="1"/>
      <c r="E25" s="2"/>
      <c r="F25" s="1"/>
      <c r="G25" s="26" t="s">
        <v>854</v>
      </c>
      <c r="H25" s="1"/>
      <c r="I25" s="22"/>
      <c r="J25" s="2"/>
      <c r="K25" s="2"/>
      <c r="L25" s="2"/>
      <c r="M25" s="2"/>
      <c r="N25" s="2"/>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1"/>
    </row>
    <row r="26" spans="1:49">
      <c r="A26" s="4">
        <v>21</v>
      </c>
      <c r="B26" s="21" t="s">
        <v>88</v>
      </c>
      <c r="C26" s="3"/>
      <c r="D26" s="1"/>
      <c r="E26" s="2"/>
      <c r="F26" s="1"/>
      <c r="G26" s="26" t="s">
        <v>855</v>
      </c>
      <c r="H26" s="1"/>
      <c r="I26" s="22"/>
      <c r="J26" s="2"/>
      <c r="K26" s="2"/>
      <c r="L26" s="2"/>
      <c r="M26" s="2"/>
      <c r="N26" s="2"/>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1"/>
    </row>
    <row r="27" spans="1:49" ht="26.45" customHeight="1">
      <c r="A27" s="4">
        <v>22</v>
      </c>
      <c r="B27" s="21" t="s">
        <v>88</v>
      </c>
      <c r="C27" s="3"/>
      <c r="D27" s="1"/>
      <c r="E27" s="2"/>
      <c r="F27" s="1"/>
      <c r="G27" s="26" t="s">
        <v>856</v>
      </c>
      <c r="H27" s="1"/>
      <c r="I27" s="22"/>
      <c r="J27" s="2"/>
      <c r="K27" s="2"/>
      <c r="L27" s="2"/>
      <c r="M27" s="2"/>
      <c r="N27" s="2"/>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1"/>
    </row>
    <row r="28" spans="1:49">
      <c r="A28" s="4">
        <v>23</v>
      </c>
      <c r="B28" s="21" t="s">
        <v>88</v>
      </c>
      <c r="C28" s="3"/>
      <c r="D28" s="1"/>
      <c r="E28" s="2"/>
      <c r="F28" s="1"/>
      <c r="G28" s="26" t="s">
        <v>857</v>
      </c>
      <c r="H28" s="1"/>
      <c r="I28" s="22"/>
      <c r="J28" s="2"/>
      <c r="K28" s="2"/>
      <c r="L28" s="2"/>
      <c r="M28" s="2"/>
      <c r="N28" s="2"/>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1"/>
    </row>
    <row r="29" spans="1:49" ht="26.45" customHeight="1">
      <c r="A29" s="4">
        <v>24</v>
      </c>
      <c r="B29" s="21" t="s">
        <v>88</v>
      </c>
      <c r="C29" s="3"/>
      <c r="D29" s="1"/>
      <c r="E29" s="2"/>
      <c r="F29" s="1"/>
      <c r="G29" s="26" t="s">
        <v>903</v>
      </c>
      <c r="H29" s="1"/>
      <c r="I29" s="22"/>
      <c r="J29" s="2"/>
      <c r="K29" s="2"/>
      <c r="L29" s="2"/>
      <c r="M29" s="2"/>
      <c r="N29" s="2"/>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1"/>
    </row>
    <row r="30" spans="1:49" ht="26.45" customHeight="1">
      <c r="A30" s="4">
        <v>25</v>
      </c>
      <c r="B30" s="11" t="s">
        <v>88</v>
      </c>
      <c r="C30" s="12"/>
      <c r="D30" s="12" t="s">
        <v>904</v>
      </c>
      <c r="E30" s="13"/>
      <c r="F30" s="14"/>
      <c r="G30" s="15"/>
      <c r="H30" s="12" t="s">
        <v>861</v>
      </c>
      <c r="I30" s="18" t="s">
        <v>905</v>
      </c>
      <c r="J30" s="13" t="s">
        <v>906</v>
      </c>
      <c r="K30" s="13" t="s">
        <v>864</v>
      </c>
      <c r="L30" s="13" t="s">
        <v>907</v>
      </c>
      <c r="M30" s="13" t="s">
        <v>417</v>
      </c>
      <c r="N30" s="33">
        <f>SUM(O30:AV30)</f>
        <v>0</v>
      </c>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2"/>
    </row>
    <row r="31" spans="1:49" ht="26.45" customHeight="1">
      <c r="A31" s="4">
        <v>26</v>
      </c>
      <c r="B31" s="11" t="s">
        <v>88</v>
      </c>
      <c r="C31" s="12"/>
      <c r="D31" s="12" t="s">
        <v>908</v>
      </c>
      <c r="E31" s="13"/>
      <c r="F31" s="14"/>
      <c r="G31" s="15"/>
      <c r="H31" s="12" t="s">
        <v>867</v>
      </c>
      <c r="I31" s="18" t="s">
        <v>909</v>
      </c>
      <c r="J31" s="13" t="s">
        <v>906</v>
      </c>
      <c r="K31" s="13" t="s">
        <v>869</v>
      </c>
      <c r="L31" s="13" t="s">
        <v>910</v>
      </c>
      <c r="M31" s="13" t="s">
        <v>417</v>
      </c>
      <c r="N31" s="33">
        <f>SUM(O31:AV31)</f>
        <v>0</v>
      </c>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2"/>
    </row>
    <row r="32" spans="1:49" ht="26.45" customHeight="1">
      <c r="A32" s="4">
        <v>27</v>
      </c>
      <c r="B32" s="11" t="s">
        <v>88</v>
      </c>
      <c r="C32" s="12"/>
      <c r="D32" s="12" t="s">
        <v>911</v>
      </c>
      <c r="E32" s="13"/>
      <c r="F32" s="14"/>
      <c r="G32" s="15"/>
      <c r="H32" s="12" t="s">
        <v>872</v>
      </c>
      <c r="I32" s="18" t="s">
        <v>912</v>
      </c>
      <c r="J32" s="13" t="s">
        <v>906</v>
      </c>
      <c r="K32" s="13" t="s">
        <v>874</v>
      </c>
      <c r="L32" s="13" t="s">
        <v>913</v>
      </c>
      <c r="M32" s="13" t="s">
        <v>417</v>
      </c>
      <c r="N32" s="33">
        <f>SUM(O32:AV32)</f>
        <v>0</v>
      </c>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2"/>
    </row>
    <row r="33" spans="1:49" ht="26.45" customHeight="1">
      <c r="A33" s="4">
        <v>28</v>
      </c>
      <c r="B33" s="11" t="s">
        <v>88</v>
      </c>
      <c r="C33" s="12"/>
      <c r="D33" s="12" t="s">
        <v>914</v>
      </c>
      <c r="E33" s="13"/>
      <c r="F33" s="14"/>
      <c r="G33" s="15"/>
      <c r="H33" s="12" t="s">
        <v>877</v>
      </c>
      <c r="I33" s="18" t="s">
        <v>915</v>
      </c>
      <c r="J33" s="13" t="s">
        <v>906</v>
      </c>
      <c r="K33" s="13" t="s">
        <v>879</v>
      </c>
      <c r="L33" s="13" t="s">
        <v>916</v>
      </c>
      <c r="M33" s="13" t="s">
        <v>417</v>
      </c>
      <c r="N33" s="33">
        <f>SUM(O33:AV33)</f>
        <v>0</v>
      </c>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2"/>
    </row>
    <row r="34" spans="1:49" ht="26.45" customHeight="1">
      <c r="A34" s="4">
        <v>29</v>
      </c>
      <c r="B34" s="11" t="s">
        <v>88</v>
      </c>
      <c r="C34" s="12"/>
      <c r="D34" s="12" t="s">
        <v>917</v>
      </c>
      <c r="E34" s="13"/>
      <c r="F34" s="14"/>
      <c r="G34" s="15"/>
      <c r="H34" s="12" t="s">
        <v>894</v>
      </c>
      <c r="I34" s="18" t="s">
        <v>918</v>
      </c>
      <c r="J34" s="13" t="s">
        <v>906</v>
      </c>
      <c r="K34" s="13" t="s">
        <v>896</v>
      </c>
      <c r="L34" s="13" t="s">
        <v>919</v>
      </c>
      <c r="M34" s="13" t="s">
        <v>417</v>
      </c>
      <c r="N34" s="33">
        <f>SUM(O34:AV34)</f>
        <v>0</v>
      </c>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2"/>
    </row>
    <row r="35" spans="1:49" ht="26.45" customHeight="1">
      <c r="A35" s="4">
        <v>30</v>
      </c>
      <c r="B35" s="11" t="s">
        <v>88</v>
      </c>
      <c r="C35" s="12"/>
      <c r="D35" s="12" t="s">
        <v>920</v>
      </c>
      <c r="E35" s="13"/>
      <c r="F35" s="14"/>
      <c r="G35" s="15"/>
      <c r="H35" s="12" t="s">
        <v>921</v>
      </c>
      <c r="I35" s="18" t="s">
        <v>922</v>
      </c>
      <c r="J35" s="13" t="s">
        <v>906</v>
      </c>
      <c r="K35" s="13" t="s">
        <v>923</v>
      </c>
      <c r="L35" s="13" t="s">
        <v>924</v>
      </c>
      <c r="M35" s="13" t="s">
        <v>417</v>
      </c>
      <c r="N35" s="33">
        <f>SUM(O35:AV35)</f>
        <v>0</v>
      </c>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2"/>
    </row>
    <row r="36" spans="1:49" ht="26.45" customHeight="1">
      <c r="A36" s="4">
        <v>31</v>
      </c>
      <c r="B36" s="11" t="s">
        <v>88</v>
      </c>
      <c r="C36" s="12"/>
      <c r="D36" s="12" t="s">
        <v>925</v>
      </c>
      <c r="E36" s="13"/>
      <c r="F36" s="14"/>
      <c r="G36" s="15"/>
      <c r="H36" s="12" t="s">
        <v>877</v>
      </c>
      <c r="I36" s="18" t="s">
        <v>926</v>
      </c>
      <c r="J36" s="13" t="s">
        <v>906</v>
      </c>
      <c r="K36" s="13" t="s">
        <v>879</v>
      </c>
      <c r="L36" s="13" t="s">
        <v>927</v>
      </c>
      <c r="M36" s="13" t="s">
        <v>417</v>
      </c>
      <c r="N36" s="33">
        <f>SUM(O36:AV36)</f>
        <v>0</v>
      </c>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4"/>
    </row>
    <row r="37" spans="1:49" ht="26.45" customHeight="1">
      <c r="A37" s="4">
        <v>32</v>
      </c>
      <c r="B37" s="11" t="s">
        <v>88</v>
      </c>
      <c r="C37" s="12"/>
      <c r="D37" s="12" t="s">
        <v>928</v>
      </c>
      <c r="E37" s="13"/>
      <c r="F37" s="14"/>
      <c r="G37" s="15"/>
      <c r="H37" s="12" t="s">
        <v>894</v>
      </c>
      <c r="I37" s="18" t="s">
        <v>929</v>
      </c>
      <c r="J37" s="13" t="s">
        <v>906</v>
      </c>
      <c r="K37" s="13" t="s">
        <v>896</v>
      </c>
      <c r="L37" s="13" t="s">
        <v>930</v>
      </c>
      <c r="M37" s="13" t="s">
        <v>417</v>
      </c>
      <c r="N37" s="33">
        <f>SUM(O37:AV37)</f>
        <v>0</v>
      </c>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4"/>
    </row>
    <row r="38" spans="1:49" ht="26.45" customHeight="1">
      <c r="A38" s="4">
        <v>33</v>
      </c>
      <c r="B38" s="11" t="s">
        <v>88</v>
      </c>
      <c r="C38" s="12"/>
      <c r="D38" s="12" t="s">
        <v>931</v>
      </c>
      <c r="E38" s="13"/>
      <c r="F38" s="14"/>
      <c r="G38" s="15"/>
      <c r="H38" s="12" t="s">
        <v>921</v>
      </c>
      <c r="I38" s="18" t="s">
        <v>932</v>
      </c>
      <c r="J38" s="13" t="s">
        <v>906</v>
      </c>
      <c r="K38" s="13" t="s">
        <v>923</v>
      </c>
      <c r="L38" s="13" t="s">
        <v>933</v>
      </c>
      <c r="M38" s="13" t="s">
        <v>417</v>
      </c>
      <c r="N38" s="33">
        <f>SUM(O38:AV38)</f>
        <v>0</v>
      </c>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4"/>
    </row>
    <row r="39" spans="1:49" ht="26.45" customHeight="1">
      <c r="A39" s="4">
        <v>34</v>
      </c>
      <c r="B39" s="11" t="s">
        <v>88</v>
      </c>
      <c r="C39" s="12"/>
      <c r="D39" s="12" t="s">
        <v>934</v>
      </c>
      <c r="E39" s="13"/>
      <c r="F39" s="14"/>
      <c r="G39" s="15"/>
      <c r="H39" s="12" t="s">
        <v>766</v>
      </c>
      <c r="I39" s="18" t="s">
        <v>935</v>
      </c>
      <c r="J39" s="13" t="s">
        <v>906</v>
      </c>
      <c r="K39" s="13" t="s">
        <v>936</v>
      </c>
      <c r="L39" s="13" t="s">
        <v>937</v>
      </c>
      <c r="M39" s="13" t="s">
        <v>417</v>
      </c>
      <c r="N39" s="33">
        <f>SUM(O39:AV39)</f>
        <v>0</v>
      </c>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4"/>
    </row>
    <row r="40" spans="1:49" ht="26.45" customHeight="1">
      <c r="A40" s="4">
        <v>35</v>
      </c>
      <c r="B40" s="11" t="s">
        <v>88</v>
      </c>
      <c r="C40" s="12"/>
      <c r="D40" s="12" t="s">
        <v>938</v>
      </c>
      <c r="E40" s="13"/>
      <c r="F40" s="14"/>
      <c r="G40" s="15"/>
      <c r="H40" s="12" t="s">
        <v>699</v>
      </c>
      <c r="I40" s="18" t="s">
        <v>939</v>
      </c>
      <c r="J40" s="13" t="s">
        <v>906</v>
      </c>
      <c r="K40" s="13" t="s">
        <v>701</v>
      </c>
      <c r="L40" s="13" t="s">
        <v>940</v>
      </c>
      <c r="M40" s="13" t="s">
        <v>417</v>
      </c>
      <c r="N40" s="33">
        <f>SUM(O40:AV40)</f>
        <v>0</v>
      </c>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4"/>
    </row>
    <row r="41" spans="1:49" ht="26.45" customHeight="1">
      <c r="A41" s="4">
        <v>36</v>
      </c>
      <c r="B41" s="11" t="s">
        <v>88</v>
      </c>
      <c r="C41" s="12"/>
      <c r="D41" s="12" t="s">
        <v>941</v>
      </c>
      <c r="E41" s="13"/>
      <c r="F41" s="14"/>
      <c r="G41" s="15"/>
      <c r="H41" s="12" t="s">
        <v>861</v>
      </c>
      <c r="I41" s="18" t="s">
        <v>942</v>
      </c>
      <c r="J41" s="13" t="s">
        <v>906</v>
      </c>
      <c r="K41" s="13" t="s">
        <v>864</v>
      </c>
      <c r="L41" s="13" t="s">
        <v>943</v>
      </c>
      <c r="M41" s="13" t="s">
        <v>417</v>
      </c>
      <c r="N41" s="33">
        <f>SUM(O41:AV41)</f>
        <v>0</v>
      </c>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4"/>
    </row>
    <row r="42" spans="1:49" ht="26.45" customHeight="1">
      <c r="A42" s="4">
        <v>37</v>
      </c>
      <c r="B42" s="11" t="s">
        <v>88</v>
      </c>
      <c r="C42" s="12"/>
      <c r="D42" s="12" t="s">
        <v>944</v>
      </c>
      <c r="E42" s="13"/>
      <c r="F42" s="14"/>
      <c r="G42" s="15"/>
      <c r="H42" s="12" t="s">
        <v>867</v>
      </c>
      <c r="I42" s="18" t="s">
        <v>945</v>
      </c>
      <c r="J42" s="13" t="s">
        <v>906</v>
      </c>
      <c r="K42" s="13" t="s">
        <v>869</v>
      </c>
      <c r="L42" s="13" t="s">
        <v>946</v>
      </c>
      <c r="M42" s="13" t="s">
        <v>417</v>
      </c>
      <c r="N42" s="33">
        <f>SUM(O42:AV42)</f>
        <v>0</v>
      </c>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4"/>
    </row>
    <row r="43" spans="1:49">
      <c r="A43" s="4">
        <v>38</v>
      </c>
      <c r="B43" s="5" t="s">
        <v>88</v>
      </c>
      <c r="C43" s="6"/>
      <c r="D43" s="37" t="s">
        <v>947</v>
      </c>
      <c r="E43" s="50"/>
      <c r="F43" s="37" t="s">
        <v>948</v>
      </c>
      <c r="G43" s="53"/>
      <c r="H43" s="9"/>
      <c r="I43" s="7"/>
      <c r="J43" s="4"/>
      <c r="K43" s="4"/>
      <c r="L43" s="4"/>
      <c r="M43" s="4"/>
      <c r="N43" s="4"/>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9"/>
    </row>
    <row r="44" spans="1:49">
      <c r="A44" s="4">
        <v>39</v>
      </c>
      <c r="B44" s="21" t="s">
        <v>88</v>
      </c>
      <c r="C44" s="3"/>
      <c r="D44" s="1"/>
      <c r="E44" s="2"/>
      <c r="F44" s="1"/>
      <c r="G44" s="26" t="s">
        <v>854</v>
      </c>
      <c r="H44" s="1"/>
      <c r="I44" s="22"/>
      <c r="J44" s="2"/>
      <c r="K44" s="2"/>
      <c r="L44" s="2"/>
      <c r="M44" s="2"/>
      <c r="N44" s="2"/>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1"/>
    </row>
    <row r="45" spans="1:49" ht="26.45" customHeight="1">
      <c r="A45" s="4">
        <v>40</v>
      </c>
      <c r="B45" s="21" t="s">
        <v>88</v>
      </c>
      <c r="C45" s="3"/>
      <c r="D45" s="1"/>
      <c r="E45" s="2"/>
      <c r="F45" s="1"/>
      <c r="G45" s="26" t="s">
        <v>949</v>
      </c>
      <c r="H45" s="1"/>
      <c r="I45" s="22"/>
      <c r="J45" s="2"/>
      <c r="K45" s="2"/>
      <c r="L45" s="2"/>
      <c r="M45" s="2"/>
      <c r="N45" s="2"/>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1"/>
    </row>
    <row r="46" spans="1:49">
      <c r="A46" s="4">
        <v>41</v>
      </c>
      <c r="B46" s="11" t="s">
        <v>88</v>
      </c>
      <c r="C46" s="12"/>
      <c r="D46" s="12" t="s">
        <v>950</v>
      </c>
      <c r="E46" s="13"/>
      <c r="F46" s="14"/>
      <c r="G46" s="15"/>
      <c r="H46" s="12" t="s">
        <v>867</v>
      </c>
      <c r="I46" s="18" t="s">
        <v>951</v>
      </c>
      <c r="J46" s="13" t="s">
        <v>906</v>
      </c>
      <c r="K46" s="13" t="s">
        <v>869</v>
      </c>
      <c r="L46" s="13" t="s">
        <v>952</v>
      </c>
      <c r="M46" s="13" t="s">
        <v>417</v>
      </c>
      <c r="N46" s="33">
        <f>SUM(O46:AV46)</f>
        <v>0</v>
      </c>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2"/>
    </row>
    <row r="47" spans="1:49">
      <c r="A47" s="4">
        <v>42</v>
      </c>
      <c r="B47" s="11" t="s">
        <v>88</v>
      </c>
      <c r="C47" s="12"/>
      <c r="D47" s="12" t="s">
        <v>953</v>
      </c>
      <c r="E47" s="13"/>
      <c r="F47" s="14"/>
      <c r="G47" s="15"/>
      <c r="H47" s="12" t="s">
        <v>872</v>
      </c>
      <c r="I47" s="18" t="s">
        <v>954</v>
      </c>
      <c r="J47" s="13" t="s">
        <v>906</v>
      </c>
      <c r="K47" s="13" t="s">
        <v>874</v>
      </c>
      <c r="L47" s="13" t="s">
        <v>955</v>
      </c>
      <c r="M47" s="13" t="s">
        <v>417</v>
      </c>
      <c r="N47" s="33">
        <f>SUM(O47:AV47)</f>
        <v>0</v>
      </c>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2"/>
    </row>
    <row r="48" spans="1:49">
      <c r="A48" s="4">
        <v>43</v>
      </c>
      <c r="B48" s="11" t="s">
        <v>88</v>
      </c>
      <c r="C48" s="12"/>
      <c r="D48" s="12" t="s">
        <v>956</v>
      </c>
      <c r="E48" s="13"/>
      <c r="F48" s="14"/>
      <c r="G48" s="15"/>
      <c r="H48" s="12" t="s">
        <v>872</v>
      </c>
      <c r="I48" s="18" t="s">
        <v>957</v>
      </c>
      <c r="J48" s="13" t="s">
        <v>906</v>
      </c>
      <c r="K48" s="13" t="s">
        <v>874</v>
      </c>
      <c r="L48" s="13" t="s">
        <v>958</v>
      </c>
      <c r="M48" s="13" t="s">
        <v>417</v>
      </c>
      <c r="N48" s="33">
        <f>SUM(O48:AV48)</f>
        <v>0</v>
      </c>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2"/>
    </row>
    <row r="49" spans="1:49">
      <c r="A49" s="4">
        <v>44</v>
      </c>
      <c r="B49" s="11" t="s">
        <v>88</v>
      </c>
      <c r="C49" s="12"/>
      <c r="D49" s="12" t="s">
        <v>959</v>
      </c>
      <c r="E49" s="13"/>
      <c r="F49" s="14"/>
      <c r="G49" s="15"/>
      <c r="H49" s="12" t="s">
        <v>877</v>
      </c>
      <c r="I49" s="18" t="s">
        <v>960</v>
      </c>
      <c r="J49" s="13" t="s">
        <v>906</v>
      </c>
      <c r="K49" s="13" t="s">
        <v>879</v>
      </c>
      <c r="L49" s="13" t="s">
        <v>961</v>
      </c>
      <c r="M49" s="13" t="s">
        <v>417</v>
      </c>
      <c r="N49" s="33">
        <f>SUM(O49:AV49)</f>
        <v>0</v>
      </c>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2"/>
    </row>
    <row r="50" spans="1:49">
      <c r="A50" s="4">
        <v>45</v>
      </c>
      <c r="B50" s="11" t="s">
        <v>88</v>
      </c>
      <c r="C50" s="12"/>
      <c r="D50" s="12" t="s">
        <v>962</v>
      </c>
      <c r="E50" s="13"/>
      <c r="F50" s="14"/>
      <c r="G50" s="15"/>
      <c r="H50" s="12" t="s">
        <v>877</v>
      </c>
      <c r="I50" s="18" t="s">
        <v>963</v>
      </c>
      <c r="J50" s="13" t="s">
        <v>906</v>
      </c>
      <c r="K50" s="13" t="s">
        <v>879</v>
      </c>
      <c r="L50" s="13" t="s">
        <v>964</v>
      </c>
      <c r="M50" s="13" t="s">
        <v>417</v>
      </c>
      <c r="N50" s="33">
        <f>SUM(O50:AV50)</f>
        <v>0</v>
      </c>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2"/>
    </row>
    <row r="51" spans="1:49">
      <c r="A51" s="4">
        <v>46</v>
      </c>
      <c r="B51" s="11" t="s">
        <v>88</v>
      </c>
      <c r="C51" s="12"/>
      <c r="D51" s="12" t="s">
        <v>965</v>
      </c>
      <c r="E51" s="13"/>
      <c r="F51" s="14"/>
      <c r="G51" s="15"/>
      <c r="H51" s="12" t="s">
        <v>894</v>
      </c>
      <c r="I51" s="18" t="s">
        <v>966</v>
      </c>
      <c r="J51" s="13" t="s">
        <v>906</v>
      </c>
      <c r="K51" s="13" t="s">
        <v>896</v>
      </c>
      <c r="L51" s="13" t="s">
        <v>967</v>
      </c>
      <c r="M51" s="13" t="s">
        <v>417</v>
      </c>
      <c r="N51" s="33">
        <f>SUM(O51:AV51)</f>
        <v>0</v>
      </c>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2"/>
    </row>
    <row r="52" spans="1:49">
      <c r="A52" s="4">
        <v>47</v>
      </c>
      <c r="B52" s="11" t="s">
        <v>88</v>
      </c>
      <c r="C52" s="12"/>
      <c r="D52" s="12" t="s">
        <v>968</v>
      </c>
      <c r="E52" s="13"/>
      <c r="F52" s="14"/>
      <c r="G52" s="15"/>
      <c r="H52" s="12" t="s">
        <v>894</v>
      </c>
      <c r="I52" s="18" t="s">
        <v>969</v>
      </c>
      <c r="J52" s="13" t="s">
        <v>906</v>
      </c>
      <c r="K52" s="13" t="s">
        <v>896</v>
      </c>
      <c r="L52" s="13" t="s">
        <v>970</v>
      </c>
      <c r="M52" s="13" t="s">
        <v>417</v>
      </c>
      <c r="N52" s="33">
        <f>SUM(O52:AV52)</f>
        <v>0</v>
      </c>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2"/>
    </row>
    <row r="53" spans="1:49">
      <c r="A53" s="4">
        <v>48</v>
      </c>
      <c r="B53" s="11" t="s">
        <v>88</v>
      </c>
      <c r="C53" s="12"/>
      <c r="D53" s="12" t="s">
        <v>971</v>
      </c>
      <c r="E53" s="13"/>
      <c r="F53" s="14"/>
      <c r="G53" s="15"/>
      <c r="H53" s="12" t="s">
        <v>921</v>
      </c>
      <c r="I53" s="18" t="s">
        <v>972</v>
      </c>
      <c r="J53" s="13" t="s">
        <v>906</v>
      </c>
      <c r="K53" s="13" t="s">
        <v>923</v>
      </c>
      <c r="L53" s="13" t="s">
        <v>973</v>
      </c>
      <c r="M53" s="13" t="s">
        <v>417</v>
      </c>
      <c r="N53" s="33">
        <f>SUM(O53:AV53)</f>
        <v>0</v>
      </c>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2"/>
    </row>
    <row r="54" spans="1:49">
      <c r="A54" s="4">
        <v>49</v>
      </c>
      <c r="B54" s="11" t="s">
        <v>88</v>
      </c>
      <c r="C54" s="12"/>
      <c r="D54" s="12" t="s">
        <v>974</v>
      </c>
      <c r="E54" s="13"/>
      <c r="F54" s="14"/>
      <c r="G54" s="15"/>
      <c r="H54" s="12" t="s">
        <v>921</v>
      </c>
      <c r="I54" s="18" t="s">
        <v>975</v>
      </c>
      <c r="J54" s="13" t="s">
        <v>906</v>
      </c>
      <c r="K54" s="13" t="s">
        <v>923</v>
      </c>
      <c r="L54" s="13" t="s">
        <v>976</v>
      </c>
      <c r="M54" s="13" t="s">
        <v>417</v>
      </c>
      <c r="N54" s="33">
        <f>SUM(O54:AV54)</f>
        <v>0</v>
      </c>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2"/>
    </row>
    <row r="55" spans="1:49">
      <c r="A55" s="4">
        <v>50</v>
      </c>
      <c r="B55" s="11" t="s">
        <v>88</v>
      </c>
      <c r="C55" s="12"/>
      <c r="D55" s="12" t="s">
        <v>977</v>
      </c>
      <c r="E55" s="13"/>
      <c r="F55" s="14"/>
      <c r="G55" s="15"/>
      <c r="H55" s="12" t="s">
        <v>766</v>
      </c>
      <c r="I55" s="18" t="s">
        <v>978</v>
      </c>
      <c r="J55" s="13" t="s">
        <v>906</v>
      </c>
      <c r="K55" s="13" t="s">
        <v>936</v>
      </c>
      <c r="L55" s="13" t="s">
        <v>979</v>
      </c>
      <c r="M55" s="13" t="s">
        <v>417</v>
      </c>
      <c r="N55" s="33">
        <f>SUM(O55:AV55)</f>
        <v>0</v>
      </c>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4"/>
    </row>
    <row r="56" spans="1:49">
      <c r="A56" s="4">
        <v>51</v>
      </c>
      <c r="B56" s="11" t="s">
        <v>88</v>
      </c>
      <c r="C56" s="12"/>
      <c r="D56" s="12" t="s">
        <v>980</v>
      </c>
      <c r="E56" s="13"/>
      <c r="F56" s="14"/>
      <c r="G56" s="15"/>
      <c r="H56" s="12" t="s">
        <v>699</v>
      </c>
      <c r="I56" s="18" t="s">
        <v>981</v>
      </c>
      <c r="J56" s="13" t="s">
        <v>906</v>
      </c>
      <c r="K56" s="13" t="s">
        <v>814</v>
      </c>
      <c r="L56" s="13" t="s">
        <v>982</v>
      </c>
      <c r="M56" s="13" t="s">
        <v>417</v>
      </c>
      <c r="N56" s="33">
        <f>SUM(O56:AV56)</f>
        <v>0</v>
      </c>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4"/>
    </row>
    <row r="57" spans="1:49">
      <c r="A57" s="4">
        <v>52</v>
      </c>
      <c r="B57" s="11" t="s">
        <v>88</v>
      </c>
      <c r="C57" s="12"/>
      <c r="D57" s="12" t="s">
        <v>983</v>
      </c>
      <c r="E57" s="13"/>
      <c r="F57" s="14"/>
      <c r="G57" s="15"/>
      <c r="H57" s="12" t="s">
        <v>678</v>
      </c>
      <c r="I57" s="18" t="s">
        <v>984</v>
      </c>
      <c r="J57" s="13" t="s">
        <v>906</v>
      </c>
      <c r="K57" s="13" t="s">
        <v>396</v>
      </c>
      <c r="L57" s="13" t="s">
        <v>985</v>
      </c>
      <c r="M57" s="13" t="s">
        <v>417</v>
      </c>
      <c r="N57" s="33">
        <f>SUM(O57:AV57)</f>
        <v>0</v>
      </c>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4"/>
    </row>
    <row r="58" spans="1:49">
      <c r="A58" s="4">
        <v>53</v>
      </c>
      <c r="B58" s="11" t="s">
        <v>88</v>
      </c>
      <c r="C58" s="12"/>
      <c r="D58" s="12" t="s">
        <v>986</v>
      </c>
      <c r="E58" s="13"/>
      <c r="F58" s="14"/>
      <c r="G58" s="15"/>
      <c r="H58" s="12" t="s">
        <v>688</v>
      </c>
      <c r="I58" s="18" t="s">
        <v>987</v>
      </c>
      <c r="J58" s="13" t="s">
        <v>906</v>
      </c>
      <c r="K58" s="13" t="s">
        <v>689</v>
      </c>
      <c r="L58" s="13" t="s">
        <v>988</v>
      </c>
      <c r="M58" s="13" t="s">
        <v>417</v>
      </c>
      <c r="N58" s="33">
        <f>SUM(O58:AV58)</f>
        <v>0</v>
      </c>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4"/>
    </row>
    <row r="59" spans="1:49">
      <c r="A59" s="4">
        <v>54</v>
      </c>
      <c r="B59" s="11" t="s">
        <v>88</v>
      </c>
      <c r="C59" s="12"/>
      <c r="D59" s="12" t="s">
        <v>989</v>
      </c>
      <c r="E59" s="13"/>
      <c r="F59" s="14"/>
      <c r="G59" s="15"/>
      <c r="H59" s="12" t="s">
        <v>861</v>
      </c>
      <c r="I59" s="18" t="s">
        <v>951</v>
      </c>
      <c r="J59" s="13" t="s">
        <v>906</v>
      </c>
      <c r="K59" s="13" t="s">
        <v>864</v>
      </c>
      <c r="L59" s="13" t="s">
        <v>990</v>
      </c>
      <c r="M59" s="13" t="s">
        <v>417</v>
      </c>
      <c r="N59" s="33">
        <f>SUM(O59:AV59)</f>
        <v>0</v>
      </c>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4"/>
    </row>
    <row r="60" spans="1:49">
      <c r="A60" s="4">
        <v>55</v>
      </c>
      <c r="B60" s="11" t="s">
        <v>88</v>
      </c>
      <c r="C60" s="12"/>
      <c r="D60" s="12" t="s">
        <v>991</v>
      </c>
      <c r="E60" s="13"/>
      <c r="F60" s="14"/>
      <c r="G60" s="15"/>
      <c r="H60" s="12" t="s">
        <v>921</v>
      </c>
      <c r="I60" s="18" t="s">
        <v>992</v>
      </c>
      <c r="J60" s="13" t="s">
        <v>906</v>
      </c>
      <c r="K60" s="13" t="s">
        <v>923</v>
      </c>
      <c r="L60" s="13" t="s">
        <v>993</v>
      </c>
      <c r="M60" s="13" t="s">
        <v>417</v>
      </c>
      <c r="N60" s="33">
        <f>SUM(O60:AV60)</f>
        <v>0</v>
      </c>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4"/>
    </row>
    <row r="61" spans="1:49">
      <c r="A61" s="4">
        <v>56</v>
      </c>
      <c r="B61" s="5" t="s">
        <v>88</v>
      </c>
      <c r="C61" s="6"/>
      <c r="D61" s="37" t="s">
        <v>994</v>
      </c>
      <c r="E61" s="50"/>
      <c r="F61" s="37" t="s">
        <v>995</v>
      </c>
      <c r="G61" s="53"/>
      <c r="H61" s="9"/>
      <c r="I61" s="7"/>
      <c r="J61" s="4"/>
      <c r="K61" s="4"/>
      <c r="L61" s="4"/>
      <c r="M61" s="4"/>
      <c r="N61" s="4"/>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9"/>
    </row>
    <row r="62" spans="1:49">
      <c r="A62" s="4">
        <v>57</v>
      </c>
      <c r="B62" s="21" t="s">
        <v>88</v>
      </c>
      <c r="C62" s="3"/>
      <c r="D62" s="1"/>
      <c r="E62" s="2"/>
      <c r="F62" s="1"/>
      <c r="G62" s="26" t="s">
        <v>854</v>
      </c>
      <c r="H62" s="1"/>
      <c r="I62" s="22"/>
      <c r="J62" s="2"/>
      <c r="K62" s="2"/>
      <c r="L62" s="2"/>
      <c r="M62" s="2"/>
      <c r="N62" s="2"/>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1"/>
    </row>
    <row r="63" spans="1:49" ht="26.45" customHeight="1">
      <c r="A63" s="4">
        <v>58</v>
      </c>
      <c r="B63" s="21" t="s">
        <v>88</v>
      </c>
      <c r="C63" s="3"/>
      <c r="D63" s="1"/>
      <c r="E63" s="2"/>
      <c r="F63" s="1"/>
      <c r="G63" s="26" t="s">
        <v>949</v>
      </c>
      <c r="H63" s="1"/>
      <c r="I63" s="22"/>
      <c r="J63" s="2"/>
      <c r="K63" s="2"/>
      <c r="L63" s="2"/>
      <c r="M63" s="2"/>
      <c r="N63" s="2"/>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1"/>
    </row>
    <row r="64" spans="1:49">
      <c r="A64" s="4">
        <v>59</v>
      </c>
      <c r="B64" s="11" t="s">
        <v>88</v>
      </c>
      <c r="C64" s="12"/>
      <c r="D64" s="12" t="s">
        <v>996</v>
      </c>
      <c r="E64" s="13"/>
      <c r="F64" s="14"/>
      <c r="G64" s="15"/>
      <c r="H64" s="12" t="s">
        <v>861</v>
      </c>
      <c r="I64" s="18" t="s">
        <v>997</v>
      </c>
      <c r="J64" s="13" t="s">
        <v>906</v>
      </c>
      <c r="K64" s="13" t="s">
        <v>864</v>
      </c>
      <c r="L64" s="13" t="s">
        <v>998</v>
      </c>
      <c r="M64" s="13" t="s">
        <v>417</v>
      </c>
      <c r="N64" s="33">
        <f>SUM(O64:AV64)</f>
        <v>0</v>
      </c>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2"/>
    </row>
    <row r="65" spans="1:49">
      <c r="A65" s="4">
        <v>60</v>
      </c>
      <c r="B65" s="11" t="s">
        <v>88</v>
      </c>
      <c r="C65" s="12"/>
      <c r="D65" s="12" t="s">
        <v>999</v>
      </c>
      <c r="E65" s="13"/>
      <c r="F65" s="14"/>
      <c r="G65" s="15"/>
      <c r="H65" s="12" t="s">
        <v>861</v>
      </c>
      <c r="I65" s="18" t="s">
        <v>1000</v>
      </c>
      <c r="J65" s="13" t="s">
        <v>906</v>
      </c>
      <c r="K65" s="13" t="s">
        <v>864</v>
      </c>
      <c r="L65" s="13" t="s">
        <v>1001</v>
      </c>
      <c r="M65" s="13" t="s">
        <v>417</v>
      </c>
      <c r="N65" s="33">
        <f>SUM(O65:AV65)</f>
        <v>0</v>
      </c>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2"/>
    </row>
    <row r="66" spans="1:49">
      <c r="A66" s="4">
        <v>61</v>
      </c>
      <c r="B66" s="11" t="s">
        <v>88</v>
      </c>
      <c r="C66" s="12"/>
      <c r="D66" s="12" t="s">
        <v>1002</v>
      </c>
      <c r="E66" s="13"/>
      <c r="F66" s="14"/>
      <c r="G66" s="15"/>
      <c r="H66" s="12" t="s">
        <v>867</v>
      </c>
      <c r="I66" s="18" t="s">
        <v>1003</v>
      </c>
      <c r="J66" s="13" t="s">
        <v>906</v>
      </c>
      <c r="K66" s="13" t="s">
        <v>869</v>
      </c>
      <c r="L66" s="13" t="s">
        <v>1004</v>
      </c>
      <c r="M66" s="13" t="s">
        <v>417</v>
      </c>
      <c r="N66" s="33">
        <f>SUM(O66:AV66)</f>
        <v>0</v>
      </c>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2"/>
    </row>
    <row r="67" spans="1:49">
      <c r="A67" s="4">
        <v>62</v>
      </c>
      <c r="B67" s="11" t="s">
        <v>88</v>
      </c>
      <c r="C67" s="12"/>
      <c r="D67" s="12" t="s">
        <v>1005</v>
      </c>
      <c r="E67" s="13"/>
      <c r="F67" s="14"/>
      <c r="G67" s="15"/>
      <c r="H67" s="12" t="s">
        <v>867</v>
      </c>
      <c r="I67" s="18" t="s">
        <v>1006</v>
      </c>
      <c r="J67" s="13" t="s">
        <v>906</v>
      </c>
      <c r="K67" s="13" t="s">
        <v>869</v>
      </c>
      <c r="L67" s="13" t="s">
        <v>1007</v>
      </c>
      <c r="M67" s="13" t="s">
        <v>417</v>
      </c>
      <c r="N67" s="33">
        <f>SUM(O67:AV67)</f>
        <v>0</v>
      </c>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2"/>
    </row>
    <row r="68" spans="1:49">
      <c r="A68" s="4">
        <v>63</v>
      </c>
      <c r="B68" s="11" t="s">
        <v>88</v>
      </c>
      <c r="C68" s="12"/>
      <c r="D68" s="12" t="s">
        <v>1008</v>
      </c>
      <c r="E68" s="13"/>
      <c r="F68" s="14"/>
      <c r="G68" s="15"/>
      <c r="H68" s="12" t="s">
        <v>872</v>
      </c>
      <c r="I68" s="18" t="s">
        <v>1009</v>
      </c>
      <c r="J68" s="13" t="s">
        <v>906</v>
      </c>
      <c r="K68" s="13" t="s">
        <v>874</v>
      </c>
      <c r="L68" s="13" t="s">
        <v>1010</v>
      </c>
      <c r="M68" s="13" t="s">
        <v>417</v>
      </c>
      <c r="N68" s="33">
        <f>SUM(O68:AV68)</f>
        <v>0</v>
      </c>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2"/>
    </row>
    <row r="69" spans="1:49">
      <c r="A69" s="4">
        <v>64</v>
      </c>
      <c r="B69" s="11" t="s">
        <v>88</v>
      </c>
      <c r="C69" s="12"/>
      <c r="D69" s="12" t="s">
        <v>1011</v>
      </c>
      <c r="E69" s="13"/>
      <c r="F69" s="14"/>
      <c r="G69" s="15"/>
      <c r="H69" s="12" t="s">
        <v>872</v>
      </c>
      <c r="I69" s="18" t="s">
        <v>1012</v>
      </c>
      <c r="J69" s="13" t="s">
        <v>906</v>
      </c>
      <c r="K69" s="13" t="s">
        <v>874</v>
      </c>
      <c r="L69" s="13" t="s">
        <v>1013</v>
      </c>
      <c r="M69" s="13" t="s">
        <v>417</v>
      </c>
      <c r="N69" s="33">
        <f>SUM(O69:AV69)</f>
        <v>0</v>
      </c>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2"/>
    </row>
    <row r="70" spans="1:49">
      <c r="A70" s="4">
        <v>65</v>
      </c>
      <c r="B70" s="11" t="s">
        <v>88</v>
      </c>
      <c r="C70" s="12"/>
      <c r="D70" s="12" t="s">
        <v>1014</v>
      </c>
      <c r="E70" s="13"/>
      <c r="F70" s="14"/>
      <c r="G70" s="15"/>
      <c r="H70" s="12" t="s">
        <v>877</v>
      </c>
      <c r="I70" s="18" t="s">
        <v>1015</v>
      </c>
      <c r="J70" s="13" t="s">
        <v>906</v>
      </c>
      <c r="K70" s="13" t="s">
        <v>879</v>
      </c>
      <c r="L70" s="13" t="s">
        <v>1016</v>
      </c>
      <c r="M70" s="13" t="s">
        <v>417</v>
      </c>
      <c r="N70" s="33">
        <f>SUM(O70:AV70)</f>
        <v>0</v>
      </c>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2"/>
    </row>
    <row r="71" spans="1:49">
      <c r="A71" s="4">
        <v>66</v>
      </c>
      <c r="B71" s="11" t="s">
        <v>88</v>
      </c>
      <c r="C71" s="12"/>
      <c r="D71" s="12" t="s">
        <v>1017</v>
      </c>
      <c r="E71" s="13"/>
      <c r="F71" s="14"/>
      <c r="G71" s="15"/>
      <c r="H71" s="12" t="s">
        <v>877</v>
      </c>
      <c r="I71" s="18" t="s">
        <v>1018</v>
      </c>
      <c r="J71" s="13" t="s">
        <v>906</v>
      </c>
      <c r="K71" s="13" t="s">
        <v>879</v>
      </c>
      <c r="L71" s="13" t="s">
        <v>1019</v>
      </c>
      <c r="M71" s="13" t="s">
        <v>417</v>
      </c>
      <c r="N71" s="33">
        <f>SUM(O71:AV71)</f>
        <v>0</v>
      </c>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2"/>
    </row>
    <row r="72" spans="1:49">
      <c r="A72" s="4">
        <v>67</v>
      </c>
      <c r="B72" s="11" t="s">
        <v>88</v>
      </c>
      <c r="C72" s="12"/>
      <c r="D72" s="12" t="s">
        <v>1020</v>
      </c>
      <c r="E72" s="13"/>
      <c r="F72" s="14"/>
      <c r="G72" s="15"/>
      <c r="H72" s="12" t="s">
        <v>894</v>
      </c>
      <c r="I72" s="18" t="s">
        <v>992</v>
      </c>
      <c r="J72" s="13" t="s">
        <v>906</v>
      </c>
      <c r="K72" s="13" t="s">
        <v>896</v>
      </c>
      <c r="L72" s="13" t="s">
        <v>1021</v>
      </c>
      <c r="M72" s="13" t="s">
        <v>417</v>
      </c>
      <c r="N72" s="33">
        <f>SUM(O72:AV72)</f>
        <v>0</v>
      </c>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2"/>
    </row>
    <row r="73" spans="1:49">
      <c r="A73" s="4">
        <v>68</v>
      </c>
      <c r="B73" s="5" t="s">
        <v>88</v>
      </c>
      <c r="C73" s="6"/>
      <c r="D73" s="37" t="s">
        <v>1022</v>
      </c>
      <c r="E73" s="50"/>
      <c r="F73" s="37" t="s">
        <v>1023</v>
      </c>
      <c r="G73" s="53"/>
      <c r="H73" s="9"/>
      <c r="I73" s="7"/>
      <c r="J73" s="4"/>
      <c r="K73" s="4"/>
      <c r="L73" s="4"/>
      <c r="M73" s="4"/>
      <c r="N73" s="4"/>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9"/>
    </row>
    <row r="74" spans="1:49">
      <c r="A74" s="4">
        <v>69</v>
      </c>
      <c r="B74" s="21" t="s">
        <v>88</v>
      </c>
      <c r="C74" s="3"/>
      <c r="D74" s="1"/>
      <c r="E74" s="2"/>
      <c r="F74" s="1"/>
      <c r="G74" s="26" t="s">
        <v>854</v>
      </c>
      <c r="H74" s="1"/>
      <c r="I74" s="22"/>
      <c r="J74" s="2"/>
      <c r="K74" s="2"/>
      <c r="L74" s="2"/>
      <c r="M74" s="2"/>
      <c r="N74" s="2"/>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1"/>
    </row>
    <row r="75" spans="1:49">
      <c r="A75" s="4">
        <v>70</v>
      </c>
      <c r="B75" s="21" t="s">
        <v>88</v>
      </c>
      <c r="C75" s="3"/>
      <c r="D75" s="1"/>
      <c r="E75" s="2"/>
      <c r="F75" s="1"/>
      <c r="G75" s="26" t="s">
        <v>1024</v>
      </c>
      <c r="H75" s="1"/>
      <c r="I75" s="22"/>
      <c r="J75" s="2"/>
      <c r="K75" s="2"/>
      <c r="L75" s="2"/>
      <c r="M75" s="2"/>
      <c r="N75" s="2"/>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1"/>
    </row>
    <row r="76" spans="1:49">
      <c r="A76" s="4">
        <v>71</v>
      </c>
      <c r="B76" s="11" t="s">
        <v>88</v>
      </c>
      <c r="C76" s="12"/>
      <c r="D76" s="12" t="s">
        <v>1025</v>
      </c>
      <c r="E76" s="13"/>
      <c r="F76" s="14"/>
      <c r="G76" s="15"/>
      <c r="H76" s="12" t="s">
        <v>861</v>
      </c>
      <c r="I76" s="18" t="s">
        <v>1026</v>
      </c>
      <c r="J76" s="13" t="s">
        <v>906</v>
      </c>
      <c r="K76" s="13" t="s">
        <v>864</v>
      </c>
      <c r="L76" s="13" t="s">
        <v>1027</v>
      </c>
      <c r="M76" s="13" t="s">
        <v>417</v>
      </c>
      <c r="N76" s="33">
        <f>SUM(O76:AV76)</f>
        <v>0</v>
      </c>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2"/>
    </row>
    <row r="77" spans="1:49">
      <c r="A77" s="4">
        <v>72</v>
      </c>
      <c r="B77" s="11" t="s">
        <v>88</v>
      </c>
      <c r="C77" s="12"/>
      <c r="D77" s="12" t="s">
        <v>1028</v>
      </c>
      <c r="E77" s="13"/>
      <c r="F77" s="14"/>
      <c r="G77" s="15"/>
      <c r="H77" s="12" t="s">
        <v>867</v>
      </c>
      <c r="I77" s="18" t="s">
        <v>1029</v>
      </c>
      <c r="J77" s="13" t="s">
        <v>906</v>
      </c>
      <c r="K77" s="13" t="s">
        <v>869</v>
      </c>
      <c r="L77" s="13" t="s">
        <v>1030</v>
      </c>
      <c r="M77" s="13" t="s">
        <v>417</v>
      </c>
      <c r="N77" s="33">
        <f>SUM(O77:AV77)</f>
        <v>0</v>
      </c>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2"/>
    </row>
    <row r="78" spans="1:49">
      <c r="A78" s="4">
        <v>73</v>
      </c>
      <c r="B78" s="11" t="s">
        <v>88</v>
      </c>
      <c r="C78" s="12"/>
      <c r="D78" s="12" t="s">
        <v>1031</v>
      </c>
      <c r="E78" s="13"/>
      <c r="F78" s="14"/>
      <c r="G78" s="15"/>
      <c r="H78" s="12" t="s">
        <v>872</v>
      </c>
      <c r="I78" s="18" t="s">
        <v>1032</v>
      </c>
      <c r="J78" s="13" t="s">
        <v>906</v>
      </c>
      <c r="K78" s="13" t="s">
        <v>874</v>
      </c>
      <c r="L78" s="13" t="s">
        <v>1033</v>
      </c>
      <c r="M78" s="13" t="s">
        <v>417</v>
      </c>
      <c r="N78" s="33">
        <f>SUM(O78:AV78)</f>
        <v>0</v>
      </c>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2"/>
    </row>
    <row r="79" spans="1:49">
      <c r="A79" s="4">
        <v>74</v>
      </c>
      <c r="B79" s="11" t="s">
        <v>88</v>
      </c>
      <c r="C79" s="12"/>
      <c r="D79" s="12" t="s">
        <v>1034</v>
      </c>
      <c r="E79" s="13"/>
      <c r="F79" s="14"/>
      <c r="G79" s="15"/>
      <c r="H79" s="12" t="s">
        <v>877</v>
      </c>
      <c r="I79" s="18" t="s">
        <v>1035</v>
      </c>
      <c r="J79" s="13" t="s">
        <v>906</v>
      </c>
      <c r="K79" s="13" t="s">
        <v>879</v>
      </c>
      <c r="L79" s="13" t="s">
        <v>1036</v>
      </c>
      <c r="M79" s="13" t="s">
        <v>417</v>
      </c>
      <c r="N79" s="33">
        <f>SUM(O79:AV79)</f>
        <v>0</v>
      </c>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2"/>
    </row>
    <row r="80" spans="1:49">
      <c r="A80" s="4">
        <v>75</v>
      </c>
      <c r="B80" s="11" t="s">
        <v>88</v>
      </c>
      <c r="C80" s="12"/>
      <c r="D80" s="12" t="s">
        <v>1037</v>
      </c>
      <c r="E80" s="13"/>
      <c r="F80" s="14"/>
      <c r="G80" s="15"/>
      <c r="H80" s="12" t="s">
        <v>894</v>
      </c>
      <c r="I80" s="18" t="s">
        <v>1038</v>
      </c>
      <c r="J80" s="13" t="s">
        <v>906</v>
      </c>
      <c r="K80" s="13" t="s">
        <v>896</v>
      </c>
      <c r="L80" s="13" t="s">
        <v>1039</v>
      </c>
      <c r="M80" s="13" t="s">
        <v>417</v>
      </c>
      <c r="N80" s="33">
        <f>SUM(O80:AV80)</f>
        <v>0</v>
      </c>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2"/>
    </row>
  </sheetData>
  <autoFilter ref="A5:AV80" xr:uid="{00000000-0009-0000-0000-000004000000}"/>
  <mergeCells count="7">
    <mergeCell ref="A1:AW1"/>
    <mergeCell ref="AB3:AV3"/>
    <mergeCell ref="M3:M5"/>
    <mergeCell ref="AW3:AW5"/>
    <mergeCell ref="N3:N5"/>
    <mergeCell ref="O3:AA3"/>
    <mergeCell ref="A2:AW2"/>
  </mergeCells>
  <pageMargins left="1" right="1" top="1" bottom="1" header="0.3" footer="0.3"/>
  <pageSetup paperSize="0" orientation="portrait"/>
  <headerFooter>
    <oddHeader>&amp;L&amp;"Aptos"&amp;8&amp;K000000 대외비(Restricted)&amp;1#_x000D_&amp;"Calibri"&amp;11&amp;K000000&amp;"Calibri"&amp;1 &amp;K000000 대외비(Restricted)#_x000D_</oddHead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AY151"/>
  <sheetViews>
    <sheetView zoomScale="55" zoomScaleNormal="55" workbookViewId="0">
      <pane xSplit="14" ySplit="5" topLeftCell="O104" activePane="bottomRight" state="frozen"/>
      <selection pane="bottomRight" activeCell="H39" sqref="H39"/>
      <selection pane="bottomLeft" activeCell="A6" sqref="A6"/>
      <selection pane="topRight" activeCell="O1" sqref="O1"/>
    </sheetView>
  </sheetViews>
  <sheetFormatPr defaultRowHeight="14.45" outlineLevelCol="1"/>
  <cols>
    <col min="1" max="1" width="5.7109375" customWidth="1"/>
    <col min="2" max="2" width="11.28515625" customWidth="1"/>
    <col min="3" max="3" width="21.28515625" customWidth="1"/>
    <col min="4" max="4" width="8.7109375" customWidth="1"/>
    <col min="5" max="6" width="14.28515625" customWidth="1"/>
    <col min="7" max="7" width="35.7109375" customWidth="1"/>
    <col min="8" max="8" width="14.28515625" customWidth="1"/>
    <col min="9" max="9" width="28.7109375" customWidth="1"/>
    <col min="10" max="14" width="14.28515625" customWidth="1" outlineLevel="1"/>
    <col min="15" max="15" width="8.7109375" customWidth="1"/>
    <col min="16" max="16" width="11.28515625" customWidth="1"/>
    <col min="17" max="33" width="13" customWidth="1"/>
    <col min="34" max="34" width="13" style="80" customWidth="1"/>
    <col min="35" max="35" width="13" customWidth="1" collapsed="1"/>
    <col min="36" max="50" width="13" customWidth="1"/>
    <col min="51" max="51" width="21.28515625" customWidth="1"/>
  </cols>
  <sheetData>
    <row r="1" spans="1:51" ht="18.75" customHeight="1">
      <c r="A1" s="109" t="s">
        <v>7</v>
      </c>
      <c r="B1" s="117"/>
      <c r="C1" s="117"/>
      <c r="D1" s="117"/>
      <c r="E1" s="117"/>
      <c r="F1" s="117"/>
      <c r="G1" s="117"/>
      <c r="H1" s="117"/>
      <c r="I1" s="117"/>
      <c r="J1" s="117"/>
      <c r="K1" s="117"/>
      <c r="L1" s="117"/>
      <c r="M1" s="117"/>
      <c r="N1" s="117"/>
      <c r="O1" s="117"/>
      <c r="P1" s="117"/>
      <c r="Q1" s="117"/>
      <c r="R1" s="117"/>
      <c r="S1" s="117"/>
      <c r="T1" s="117"/>
      <c r="U1" s="117"/>
      <c r="V1" s="117"/>
      <c r="W1" s="117"/>
      <c r="X1" s="117"/>
      <c r="Y1" s="117"/>
      <c r="Z1" s="117"/>
      <c r="AA1" s="117"/>
      <c r="AB1" s="117"/>
      <c r="AC1" s="117"/>
      <c r="AD1" s="117"/>
      <c r="AE1" s="117"/>
      <c r="AF1" s="117"/>
      <c r="AG1" s="117"/>
      <c r="AH1" s="114"/>
      <c r="AI1" s="117"/>
      <c r="AJ1" s="117"/>
      <c r="AK1" s="117"/>
      <c r="AL1" s="117"/>
      <c r="AM1" s="117"/>
      <c r="AN1" s="117"/>
      <c r="AO1" s="117"/>
      <c r="AP1" s="117"/>
      <c r="AQ1" s="117"/>
      <c r="AR1" s="117"/>
      <c r="AS1" s="117"/>
      <c r="AT1" s="117"/>
      <c r="AU1" s="117"/>
      <c r="AV1" s="117"/>
      <c r="AW1" s="117"/>
      <c r="AX1" s="117"/>
      <c r="AY1" s="117"/>
    </row>
    <row r="2" spans="1:51" ht="13.5" customHeight="1">
      <c r="A2" s="110" t="s">
        <v>8</v>
      </c>
      <c r="B2" s="118"/>
      <c r="C2" s="118"/>
      <c r="D2" s="118"/>
      <c r="E2" s="118"/>
      <c r="F2" s="118"/>
      <c r="G2" s="118"/>
      <c r="H2" s="118"/>
      <c r="I2" s="118"/>
      <c r="J2" s="118"/>
      <c r="K2" s="118"/>
      <c r="L2" s="118"/>
      <c r="M2" s="118"/>
      <c r="N2" s="118"/>
      <c r="O2" s="118"/>
      <c r="P2" s="118"/>
      <c r="Q2" s="118"/>
      <c r="R2" s="118"/>
      <c r="S2" s="118"/>
      <c r="T2" s="118"/>
      <c r="U2" s="118"/>
      <c r="V2" s="118"/>
      <c r="W2" s="118"/>
      <c r="X2" s="118"/>
      <c r="Y2" s="118"/>
      <c r="Z2" s="118"/>
      <c r="AA2" s="118"/>
      <c r="AB2" s="118"/>
      <c r="AC2" s="118"/>
      <c r="AD2" s="118"/>
      <c r="AE2" s="118"/>
      <c r="AF2" s="118"/>
      <c r="AG2" s="118"/>
      <c r="AH2" s="118"/>
      <c r="AI2" s="118"/>
      <c r="AJ2" s="118"/>
      <c r="AK2" s="118"/>
      <c r="AL2" s="118"/>
      <c r="AM2" s="118"/>
      <c r="AN2" s="118"/>
      <c r="AO2" s="118"/>
      <c r="AP2" s="118"/>
      <c r="AQ2" s="118"/>
      <c r="AR2" s="118"/>
      <c r="AS2" s="118"/>
      <c r="AT2" s="118"/>
      <c r="AU2" s="118"/>
      <c r="AV2" s="118"/>
      <c r="AW2" s="118"/>
      <c r="AX2" s="118"/>
      <c r="AY2" s="118"/>
    </row>
    <row r="3" spans="1:51" ht="23.25" customHeight="1">
      <c r="A3" s="102" t="s">
        <v>9</v>
      </c>
      <c r="B3" s="102" t="s">
        <v>10</v>
      </c>
      <c r="C3" s="102" t="s">
        <v>11</v>
      </c>
      <c r="D3" s="102" t="s">
        <v>12</v>
      </c>
      <c r="E3" s="102" t="s">
        <v>13</v>
      </c>
      <c r="F3" s="102" t="s">
        <v>14</v>
      </c>
      <c r="G3" s="102" t="s">
        <v>15</v>
      </c>
      <c r="I3" s="102" t="s">
        <v>16</v>
      </c>
      <c r="J3" s="102" t="s">
        <v>17</v>
      </c>
      <c r="K3" s="102" t="s">
        <v>1040</v>
      </c>
      <c r="L3" s="102" t="s">
        <v>1041</v>
      </c>
      <c r="M3" s="102" t="s">
        <v>1042</v>
      </c>
      <c r="N3" s="102" t="s">
        <v>23</v>
      </c>
      <c r="O3" s="107" t="s">
        <v>24</v>
      </c>
      <c r="P3" s="107" t="s">
        <v>25</v>
      </c>
      <c r="Q3" s="108" t="s">
        <v>26</v>
      </c>
      <c r="R3" s="119"/>
      <c r="S3" s="119"/>
      <c r="T3" s="119"/>
      <c r="U3" s="119"/>
      <c r="V3" s="119"/>
      <c r="W3" s="119"/>
      <c r="X3" s="119"/>
      <c r="Y3" s="119"/>
      <c r="Z3" s="119"/>
      <c r="AA3" s="119"/>
      <c r="AB3" s="119"/>
      <c r="AC3" s="120"/>
      <c r="AD3" s="108" t="s">
        <v>27</v>
      </c>
      <c r="AE3" s="119"/>
      <c r="AF3" s="119"/>
      <c r="AG3" s="119"/>
      <c r="AH3" s="119"/>
      <c r="AI3" s="119"/>
      <c r="AJ3" s="119"/>
      <c r="AK3" s="119"/>
      <c r="AL3" s="119"/>
      <c r="AM3" s="119"/>
      <c r="AN3" s="119"/>
      <c r="AO3" s="119"/>
      <c r="AP3" s="119"/>
      <c r="AQ3" s="119"/>
      <c r="AR3" s="119"/>
      <c r="AS3" s="119"/>
      <c r="AT3" s="119"/>
      <c r="AU3" s="119"/>
      <c r="AV3" s="119"/>
      <c r="AW3" s="119"/>
      <c r="AX3" s="120"/>
      <c r="AY3" s="107" t="s">
        <v>28</v>
      </c>
    </row>
    <row r="4" spans="1:51" ht="23.25" customHeight="1">
      <c r="G4" s="102" t="s">
        <v>29</v>
      </c>
      <c r="H4" s="102" t="s">
        <v>30</v>
      </c>
      <c r="O4" s="121"/>
      <c r="P4" s="121"/>
      <c r="Q4" s="101" t="s">
        <v>31</v>
      </c>
      <c r="R4" s="101" t="s">
        <v>32</v>
      </c>
      <c r="S4" s="101" t="s">
        <v>33</v>
      </c>
      <c r="T4" s="101" t="s">
        <v>34</v>
      </c>
      <c r="U4" s="101" t="s">
        <v>35</v>
      </c>
      <c r="V4" s="101" t="s">
        <v>36</v>
      </c>
      <c r="W4" s="102" t="s">
        <v>37</v>
      </c>
      <c r="X4" s="102" t="s">
        <v>38</v>
      </c>
      <c r="Y4" s="101" t="s">
        <v>39</v>
      </c>
      <c r="Z4" s="101" t="s">
        <v>40</v>
      </c>
      <c r="AA4" s="102" t="s">
        <v>41</v>
      </c>
      <c r="AB4" s="101" t="s">
        <v>42</v>
      </c>
      <c r="AC4" s="101" t="s">
        <v>43</v>
      </c>
      <c r="AD4" s="102" t="s">
        <v>44</v>
      </c>
      <c r="AE4" s="102" t="s">
        <v>45</v>
      </c>
      <c r="AF4" s="101" t="s">
        <v>46</v>
      </c>
      <c r="AG4" s="102" t="s">
        <v>47</v>
      </c>
      <c r="AH4" s="102" t="s">
        <v>48</v>
      </c>
      <c r="AI4" s="101" t="s">
        <v>49</v>
      </c>
      <c r="AJ4" s="101" t="s">
        <v>50</v>
      </c>
      <c r="AK4" s="101" t="s">
        <v>51</v>
      </c>
      <c r="AL4" s="101" t="s">
        <v>52</v>
      </c>
      <c r="AM4" s="101" t="s">
        <v>53</v>
      </c>
      <c r="AN4" s="101" t="s">
        <v>54</v>
      </c>
      <c r="AO4" s="101" t="s">
        <v>55</v>
      </c>
      <c r="AP4" s="101" t="s">
        <v>56</v>
      </c>
      <c r="AQ4" s="101" t="s">
        <v>57</v>
      </c>
      <c r="AR4" s="101" t="s">
        <v>58</v>
      </c>
      <c r="AS4" s="101" t="s">
        <v>59</v>
      </c>
      <c r="AT4" s="101" t="s">
        <v>60</v>
      </c>
      <c r="AU4" s="101" t="s">
        <v>61</v>
      </c>
      <c r="AV4" s="101" t="s">
        <v>62</v>
      </c>
      <c r="AW4" s="101" t="s">
        <v>63</v>
      </c>
      <c r="AX4" s="103" t="s">
        <v>64</v>
      </c>
      <c r="AY4" s="121"/>
    </row>
    <row r="5" spans="1:51" ht="23.25" customHeight="1">
      <c r="O5" s="122"/>
      <c r="P5" s="122"/>
      <c r="Q5" s="102" t="s">
        <v>65</v>
      </c>
      <c r="R5" s="102" t="s">
        <v>65</v>
      </c>
      <c r="S5" s="102" t="s">
        <v>66</v>
      </c>
      <c r="T5" s="101" t="s">
        <v>66</v>
      </c>
      <c r="U5" s="101" t="s">
        <v>66</v>
      </c>
      <c r="V5" s="101" t="s">
        <v>66</v>
      </c>
      <c r="W5" s="101" t="s">
        <v>67</v>
      </c>
      <c r="X5" s="102" t="s">
        <v>68</v>
      </c>
      <c r="Y5" s="101" t="s">
        <v>69</v>
      </c>
      <c r="Z5" s="101" t="s">
        <v>70</v>
      </c>
      <c r="AA5" s="101" t="s">
        <v>71</v>
      </c>
      <c r="AB5" s="101" t="s">
        <v>72</v>
      </c>
      <c r="AC5" s="101" t="s">
        <v>73</v>
      </c>
      <c r="AD5" s="102" t="s">
        <v>74</v>
      </c>
      <c r="AE5" s="102" t="s">
        <v>75</v>
      </c>
      <c r="AF5" s="101" t="s">
        <v>76</v>
      </c>
      <c r="AG5" s="102" t="s">
        <v>77</v>
      </c>
      <c r="AH5" s="102" t="s">
        <v>78</v>
      </c>
      <c r="AI5" s="101" t="s">
        <v>79</v>
      </c>
      <c r="AJ5" s="101" t="s">
        <v>80</v>
      </c>
      <c r="AK5" s="101" t="s">
        <v>81</v>
      </c>
      <c r="AL5" s="101" t="s">
        <v>82</v>
      </c>
      <c r="AM5" s="101" t="s">
        <v>83</v>
      </c>
      <c r="AN5" s="101" t="s">
        <v>84</v>
      </c>
      <c r="AO5" s="101" t="s">
        <v>72</v>
      </c>
      <c r="AP5" s="101" t="s">
        <v>85</v>
      </c>
      <c r="AQ5" s="101" t="s">
        <v>86</v>
      </c>
      <c r="AR5" s="101" t="s">
        <v>87</v>
      </c>
      <c r="AS5" s="101" t="s">
        <v>86</v>
      </c>
      <c r="AT5" s="101" t="s">
        <v>87</v>
      </c>
      <c r="AU5" s="101" t="s">
        <v>87</v>
      </c>
      <c r="AV5" s="101" t="s">
        <v>86</v>
      </c>
      <c r="AW5" s="101" t="s">
        <v>87</v>
      </c>
      <c r="AX5" s="101" t="s">
        <v>87</v>
      </c>
      <c r="AY5" s="122"/>
    </row>
    <row r="6" spans="1:51">
      <c r="A6" s="4">
        <v>1</v>
      </c>
      <c r="B6" s="5" t="s">
        <v>88</v>
      </c>
      <c r="C6" s="6"/>
      <c r="D6" s="6" t="s">
        <v>1043</v>
      </c>
      <c r="E6" s="4"/>
      <c r="F6" s="6" t="s">
        <v>1044</v>
      </c>
      <c r="G6" s="7"/>
      <c r="H6" s="9"/>
      <c r="I6" s="7"/>
      <c r="J6" s="4"/>
      <c r="K6" s="31"/>
      <c r="L6" s="31"/>
      <c r="M6" s="31"/>
      <c r="N6" s="4"/>
      <c r="O6" s="4"/>
      <c r="P6" s="31"/>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9"/>
    </row>
    <row r="7" spans="1:51">
      <c r="A7" s="4">
        <v>2</v>
      </c>
      <c r="B7" s="5" t="s">
        <v>88</v>
      </c>
      <c r="C7" s="6"/>
      <c r="D7" s="37" t="s">
        <v>1045</v>
      </c>
      <c r="E7" s="50"/>
      <c r="F7" s="37" t="s">
        <v>1046</v>
      </c>
      <c r="G7" s="53"/>
      <c r="H7" s="9"/>
      <c r="I7" s="7"/>
      <c r="J7" s="4"/>
      <c r="K7" s="31"/>
      <c r="L7" s="31"/>
      <c r="M7" s="31"/>
      <c r="N7" s="4"/>
      <c r="O7" s="4"/>
      <c r="P7" s="31"/>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9"/>
    </row>
    <row r="8" spans="1:51" ht="26.45" customHeight="1">
      <c r="A8" s="4">
        <v>3</v>
      </c>
      <c r="B8" s="11" t="s">
        <v>88</v>
      </c>
      <c r="C8" s="12"/>
      <c r="D8" s="12" t="s">
        <v>1047</v>
      </c>
      <c r="E8" s="13"/>
      <c r="F8" s="14"/>
      <c r="G8" s="18" t="s">
        <v>1048</v>
      </c>
      <c r="H8" s="12" t="s">
        <v>1049</v>
      </c>
      <c r="I8" s="18" t="s">
        <v>1050</v>
      </c>
      <c r="J8" s="13" t="s">
        <v>1051</v>
      </c>
      <c r="K8" s="33">
        <v>41</v>
      </c>
      <c r="L8" s="33">
        <v>41</v>
      </c>
      <c r="M8" s="33">
        <v>2.5</v>
      </c>
      <c r="N8" s="13" t="s">
        <v>1052</v>
      </c>
      <c r="O8" s="13" t="s">
        <v>109</v>
      </c>
      <c r="P8" s="33">
        <f>SUM(Q8:AX8)</f>
        <v>0</v>
      </c>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2"/>
    </row>
    <row r="9" spans="1:51">
      <c r="A9" s="4">
        <v>4</v>
      </c>
      <c r="B9" s="11" t="s">
        <v>88</v>
      </c>
      <c r="C9" s="12"/>
      <c r="D9" s="12" t="s">
        <v>1053</v>
      </c>
      <c r="E9" s="13"/>
      <c r="F9" s="14"/>
      <c r="G9" s="18" t="s">
        <v>1054</v>
      </c>
      <c r="H9" s="12" t="s">
        <v>1049</v>
      </c>
      <c r="I9" s="15"/>
      <c r="J9" s="13" t="s">
        <v>1051</v>
      </c>
      <c r="K9" s="33">
        <v>41</v>
      </c>
      <c r="L9" s="33">
        <v>41</v>
      </c>
      <c r="M9" s="33">
        <v>2.5</v>
      </c>
      <c r="N9" s="13" t="s">
        <v>1055</v>
      </c>
      <c r="O9" s="13" t="s">
        <v>109</v>
      </c>
      <c r="P9" s="33">
        <f>SUM(Q9:AX9)</f>
        <v>0</v>
      </c>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2"/>
    </row>
    <row r="10" spans="1:51" ht="26.45" customHeight="1">
      <c r="A10" s="4">
        <v>5</v>
      </c>
      <c r="B10" s="11" t="s">
        <v>88</v>
      </c>
      <c r="C10" s="12"/>
      <c r="D10" s="12" t="s">
        <v>1056</v>
      </c>
      <c r="E10" s="13"/>
      <c r="F10" s="14"/>
      <c r="G10" s="18" t="s">
        <v>1057</v>
      </c>
      <c r="H10" s="12" t="s">
        <v>1049</v>
      </c>
      <c r="I10" s="18" t="s">
        <v>1058</v>
      </c>
      <c r="J10" s="13" t="s">
        <v>1051</v>
      </c>
      <c r="K10" s="33">
        <v>41</v>
      </c>
      <c r="L10" s="33">
        <v>41</v>
      </c>
      <c r="M10" s="33">
        <v>2.5</v>
      </c>
      <c r="N10" s="13" t="s">
        <v>1059</v>
      </c>
      <c r="O10" s="13" t="s">
        <v>109</v>
      </c>
      <c r="P10" s="33">
        <f>SUM(Q10:AX10)</f>
        <v>0</v>
      </c>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2"/>
    </row>
    <row r="11" spans="1:51" ht="26.45" customHeight="1">
      <c r="A11" s="4">
        <v>6</v>
      </c>
      <c r="B11" s="11" t="s">
        <v>88</v>
      </c>
      <c r="C11" s="12"/>
      <c r="D11" s="12" t="s">
        <v>1060</v>
      </c>
      <c r="E11" s="13"/>
      <c r="F11" s="14"/>
      <c r="G11" s="18" t="s">
        <v>1048</v>
      </c>
      <c r="H11" s="12" t="s">
        <v>1049</v>
      </c>
      <c r="I11" s="18" t="s">
        <v>1061</v>
      </c>
      <c r="J11" s="13" t="s">
        <v>1051</v>
      </c>
      <c r="K11" s="33">
        <v>41</v>
      </c>
      <c r="L11" s="33">
        <v>41</v>
      </c>
      <c r="M11" s="33">
        <v>2.5</v>
      </c>
      <c r="N11" s="13" t="s">
        <v>1062</v>
      </c>
      <c r="O11" s="13" t="s">
        <v>109</v>
      </c>
      <c r="P11" s="33">
        <f>SUM(Q11:AX11)</f>
        <v>0</v>
      </c>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2"/>
    </row>
    <row r="12" spans="1:51">
      <c r="A12" s="4">
        <v>7</v>
      </c>
      <c r="B12" s="11" t="s">
        <v>88</v>
      </c>
      <c r="C12" s="12"/>
      <c r="D12" s="12" t="s">
        <v>1063</v>
      </c>
      <c r="E12" s="13"/>
      <c r="F12" s="14"/>
      <c r="G12" s="18" t="s">
        <v>1054</v>
      </c>
      <c r="H12" s="12" t="s">
        <v>1049</v>
      </c>
      <c r="I12" s="18" t="s">
        <v>700</v>
      </c>
      <c r="J12" s="13" t="s">
        <v>1051</v>
      </c>
      <c r="K12" s="33">
        <v>41</v>
      </c>
      <c r="L12" s="33">
        <v>41</v>
      </c>
      <c r="M12" s="33">
        <v>2.5</v>
      </c>
      <c r="N12" s="13" t="s">
        <v>1064</v>
      </c>
      <c r="O12" s="13" t="s">
        <v>109</v>
      </c>
      <c r="P12" s="33">
        <f>SUM(Q12:AX12)</f>
        <v>0</v>
      </c>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2"/>
    </row>
    <row r="13" spans="1:51" ht="26.45" customHeight="1">
      <c r="A13" s="4">
        <v>8</v>
      </c>
      <c r="B13" s="11" t="s">
        <v>88</v>
      </c>
      <c r="C13" s="12"/>
      <c r="D13" s="12" t="s">
        <v>1065</v>
      </c>
      <c r="E13" s="13"/>
      <c r="F13" s="14"/>
      <c r="G13" s="18" t="s">
        <v>1057</v>
      </c>
      <c r="H13" s="12" t="s">
        <v>1066</v>
      </c>
      <c r="I13" s="18" t="s">
        <v>700</v>
      </c>
      <c r="J13" s="13" t="s">
        <v>1051</v>
      </c>
      <c r="K13" s="33">
        <v>84</v>
      </c>
      <c r="L13" s="33">
        <v>41</v>
      </c>
      <c r="M13" s="33">
        <v>2.6</v>
      </c>
      <c r="N13" s="13" t="s">
        <v>1067</v>
      </c>
      <c r="O13" s="13" t="s">
        <v>109</v>
      </c>
      <c r="P13" s="33">
        <f>SUM(Q13:AX13)</f>
        <v>0</v>
      </c>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4"/>
    </row>
    <row r="14" spans="1:51" ht="26.45" customHeight="1">
      <c r="A14" s="4">
        <v>9</v>
      </c>
      <c r="B14" s="11" t="s">
        <v>88</v>
      </c>
      <c r="C14" s="12"/>
      <c r="D14" s="12" t="s">
        <v>1068</v>
      </c>
      <c r="E14" s="13"/>
      <c r="F14" s="14"/>
      <c r="G14" s="18" t="s">
        <v>1069</v>
      </c>
      <c r="H14" s="12" t="s">
        <v>1049</v>
      </c>
      <c r="I14" s="18" t="s">
        <v>1070</v>
      </c>
      <c r="J14" s="13" t="s">
        <v>1051</v>
      </c>
      <c r="K14" s="33">
        <v>41</v>
      </c>
      <c r="L14" s="33">
        <v>41</v>
      </c>
      <c r="M14" s="33">
        <v>2.5</v>
      </c>
      <c r="N14" s="13" t="s">
        <v>1071</v>
      </c>
      <c r="O14" s="13" t="s">
        <v>417</v>
      </c>
      <c r="P14" s="33">
        <f>SUM(Q14:AX14)</f>
        <v>2000</v>
      </c>
      <c r="Q14" s="17"/>
      <c r="R14" s="17"/>
      <c r="S14" s="17">
        <v>2000</v>
      </c>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4"/>
    </row>
    <row r="15" spans="1:51">
      <c r="A15" s="4">
        <v>10</v>
      </c>
      <c r="B15" s="5" t="s">
        <v>88</v>
      </c>
      <c r="C15" s="6"/>
      <c r="D15" s="37" t="s">
        <v>1072</v>
      </c>
      <c r="E15" s="50"/>
      <c r="F15" s="37" t="s">
        <v>1073</v>
      </c>
      <c r="G15" s="53"/>
      <c r="H15" s="9"/>
      <c r="I15" s="7"/>
      <c r="J15" s="4"/>
      <c r="K15" s="31"/>
      <c r="L15" s="31"/>
      <c r="M15" s="31"/>
      <c r="N15" s="4"/>
      <c r="O15" s="4"/>
      <c r="P15" s="31"/>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9"/>
    </row>
    <row r="16" spans="1:51" ht="26.45" customHeight="1">
      <c r="A16" s="4">
        <v>11</v>
      </c>
      <c r="B16" s="11" t="s">
        <v>88</v>
      </c>
      <c r="C16" s="12"/>
      <c r="D16" s="12" t="s">
        <v>1074</v>
      </c>
      <c r="E16" s="13"/>
      <c r="F16" s="14"/>
      <c r="G16" s="18" t="s">
        <v>1048</v>
      </c>
      <c r="H16" s="12" t="s">
        <v>1075</v>
      </c>
      <c r="I16" s="18" t="s">
        <v>1076</v>
      </c>
      <c r="J16" s="13" t="s">
        <v>1077</v>
      </c>
      <c r="K16" s="33">
        <v>100</v>
      </c>
      <c r="L16" s="33">
        <v>50</v>
      </c>
      <c r="M16" s="33">
        <v>5</v>
      </c>
      <c r="N16" s="13" t="s">
        <v>1078</v>
      </c>
      <c r="O16" s="13" t="s">
        <v>109</v>
      </c>
      <c r="P16" s="33">
        <f>SUM(Q16:AX16)</f>
        <v>0</v>
      </c>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2"/>
    </row>
    <row r="17" spans="1:51">
      <c r="A17" s="4">
        <v>12</v>
      </c>
      <c r="B17" s="11" t="s">
        <v>88</v>
      </c>
      <c r="C17" s="12"/>
      <c r="D17" s="12" t="s">
        <v>1079</v>
      </c>
      <c r="E17" s="13"/>
      <c r="F17" s="14"/>
      <c r="G17" s="18" t="s">
        <v>1054</v>
      </c>
      <c r="H17" s="12" t="s">
        <v>1075</v>
      </c>
      <c r="I17" s="18" t="s">
        <v>679</v>
      </c>
      <c r="J17" s="13" t="s">
        <v>1077</v>
      </c>
      <c r="K17" s="33">
        <v>100</v>
      </c>
      <c r="L17" s="33">
        <v>50</v>
      </c>
      <c r="M17" s="33">
        <v>5</v>
      </c>
      <c r="N17" s="13" t="s">
        <v>1080</v>
      </c>
      <c r="O17" s="13" t="s">
        <v>109</v>
      </c>
      <c r="P17" s="33">
        <f>SUM(Q17:AX17)</f>
        <v>0</v>
      </c>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2"/>
    </row>
    <row r="18" spans="1:51" ht="26.45" customHeight="1">
      <c r="A18" s="4">
        <v>13</v>
      </c>
      <c r="B18" s="11" t="s">
        <v>88</v>
      </c>
      <c r="C18" s="12"/>
      <c r="D18" s="12" t="s">
        <v>1081</v>
      </c>
      <c r="E18" s="13"/>
      <c r="F18" s="14"/>
      <c r="G18" s="18" t="s">
        <v>1048</v>
      </c>
      <c r="H18" s="12" t="s">
        <v>1082</v>
      </c>
      <c r="I18" s="18" t="s">
        <v>1076</v>
      </c>
      <c r="J18" s="13" t="s">
        <v>1077</v>
      </c>
      <c r="K18" s="33">
        <v>150</v>
      </c>
      <c r="L18" s="33">
        <v>75</v>
      </c>
      <c r="M18" s="33">
        <v>6.5</v>
      </c>
      <c r="N18" s="13" t="s">
        <v>1083</v>
      </c>
      <c r="O18" s="13" t="s">
        <v>109</v>
      </c>
      <c r="P18" s="33">
        <f>SUM(Q18:AX18)</f>
        <v>0</v>
      </c>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2"/>
    </row>
    <row r="19" spans="1:51" ht="26.45" customHeight="1">
      <c r="A19" s="4">
        <v>14</v>
      </c>
      <c r="B19" s="11" t="s">
        <v>88</v>
      </c>
      <c r="C19" s="12"/>
      <c r="D19" s="12" t="s">
        <v>1084</v>
      </c>
      <c r="E19" s="13"/>
      <c r="F19" s="14"/>
      <c r="G19" s="18" t="s">
        <v>1048</v>
      </c>
      <c r="H19" s="12" t="s">
        <v>1075</v>
      </c>
      <c r="I19" s="18" t="s">
        <v>1085</v>
      </c>
      <c r="J19" s="13" t="s">
        <v>1077</v>
      </c>
      <c r="K19" s="33">
        <v>100</v>
      </c>
      <c r="L19" s="33">
        <v>50</v>
      </c>
      <c r="M19" s="33">
        <v>5</v>
      </c>
      <c r="N19" s="13" t="s">
        <v>1086</v>
      </c>
      <c r="O19" s="13" t="s">
        <v>109</v>
      </c>
      <c r="P19" s="33">
        <f>SUM(Q19:AX19)</f>
        <v>1000</v>
      </c>
      <c r="Q19" s="17"/>
      <c r="R19" s="17"/>
      <c r="S19" s="17">
        <v>1000</v>
      </c>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2"/>
    </row>
    <row r="20" spans="1:51" ht="26.45" customHeight="1">
      <c r="A20" s="4">
        <v>15</v>
      </c>
      <c r="B20" s="11" t="s">
        <v>88</v>
      </c>
      <c r="C20" s="12"/>
      <c r="D20" s="12" t="s">
        <v>1087</v>
      </c>
      <c r="E20" s="13"/>
      <c r="F20" s="14"/>
      <c r="G20" s="18" t="s">
        <v>1048</v>
      </c>
      <c r="H20" s="12" t="s">
        <v>1088</v>
      </c>
      <c r="I20" s="18" t="s">
        <v>1089</v>
      </c>
      <c r="J20" s="13" t="s">
        <v>1077</v>
      </c>
      <c r="K20" s="33">
        <v>75</v>
      </c>
      <c r="L20" s="33">
        <v>75</v>
      </c>
      <c r="M20" s="33">
        <v>5</v>
      </c>
      <c r="N20" s="13" t="s">
        <v>1090</v>
      </c>
      <c r="O20" s="13" t="s">
        <v>109</v>
      </c>
      <c r="P20" s="33">
        <f>SUM(Q20:AX20)</f>
        <v>0</v>
      </c>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2"/>
    </row>
    <row r="21" spans="1:51" ht="26.45" customHeight="1">
      <c r="A21" s="4">
        <v>16</v>
      </c>
      <c r="B21" s="11" t="s">
        <v>88</v>
      </c>
      <c r="C21" s="12"/>
      <c r="D21" s="12" t="s">
        <v>1091</v>
      </c>
      <c r="E21" s="13"/>
      <c r="F21" s="14"/>
      <c r="G21" s="18" t="s">
        <v>1048</v>
      </c>
      <c r="H21" s="12" t="s">
        <v>1092</v>
      </c>
      <c r="I21" s="18" t="s">
        <v>1076</v>
      </c>
      <c r="J21" s="13" t="s">
        <v>1077</v>
      </c>
      <c r="K21" s="33">
        <v>125</v>
      </c>
      <c r="L21" s="33">
        <v>65</v>
      </c>
      <c r="M21" s="33">
        <v>5</v>
      </c>
      <c r="N21" s="13" t="s">
        <v>1093</v>
      </c>
      <c r="O21" s="13" t="s">
        <v>109</v>
      </c>
      <c r="P21" s="33">
        <f>SUM(Q21:AX21)</f>
        <v>0</v>
      </c>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2"/>
    </row>
    <row r="22" spans="1:51">
      <c r="A22" s="4">
        <v>17</v>
      </c>
      <c r="B22" s="5" t="s">
        <v>88</v>
      </c>
      <c r="C22" s="6"/>
      <c r="D22" s="37" t="s">
        <v>1094</v>
      </c>
      <c r="E22" s="50"/>
      <c r="F22" s="37" t="s">
        <v>1095</v>
      </c>
      <c r="G22" s="53"/>
      <c r="H22" s="9"/>
      <c r="I22" s="7"/>
      <c r="J22" s="4"/>
      <c r="K22" s="31"/>
      <c r="L22" s="31"/>
      <c r="M22" s="31"/>
      <c r="N22" s="4"/>
      <c r="O22" s="4"/>
      <c r="P22" s="31"/>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9"/>
    </row>
    <row r="23" spans="1:51" ht="26.45" customHeight="1">
      <c r="A23" s="4">
        <v>18</v>
      </c>
      <c r="B23" s="11" t="s">
        <v>88</v>
      </c>
      <c r="C23" s="12"/>
      <c r="D23" s="12" t="s">
        <v>1096</v>
      </c>
      <c r="E23" s="13"/>
      <c r="F23" s="14"/>
      <c r="G23" s="18" t="s">
        <v>1048</v>
      </c>
      <c r="H23" s="12" t="s">
        <v>1097</v>
      </c>
      <c r="I23" s="18" t="s">
        <v>1076</v>
      </c>
      <c r="J23" s="13" t="s">
        <v>1098</v>
      </c>
      <c r="K23" s="33">
        <v>50</v>
      </c>
      <c r="L23" s="33">
        <v>50</v>
      </c>
      <c r="M23" s="33">
        <v>6</v>
      </c>
      <c r="N23" s="13" t="s">
        <v>1099</v>
      </c>
      <c r="O23" s="13" t="s">
        <v>109</v>
      </c>
      <c r="P23" s="33">
        <f>SUM(Q23:AX23)</f>
        <v>0</v>
      </c>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2"/>
    </row>
    <row r="24" spans="1:51">
      <c r="A24" s="4">
        <v>19</v>
      </c>
      <c r="B24" s="11" t="s">
        <v>88</v>
      </c>
      <c r="C24" s="12"/>
      <c r="D24" s="12" t="s">
        <v>1100</v>
      </c>
      <c r="E24" s="13"/>
      <c r="F24" s="14"/>
      <c r="G24" s="18" t="s">
        <v>1054</v>
      </c>
      <c r="H24" s="12" t="s">
        <v>1097</v>
      </c>
      <c r="I24" s="18" t="s">
        <v>679</v>
      </c>
      <c r="J24" s="13" t="s">
        <v>1098</v>
      </c>
      <c r="K24" s="33">
        <v>50</v>
      </c>
      <c r="L24" s="33">
        <v>50</v>
      </c>
      <c r="M24" s="33">
        <v>6</v>
      </c>
      <c r="N24" s="13" t="s">
        <v>1101</v>
      </c>
      <c r="O24" s="13" t="s">
        <v>109</v>
      </c>
      <c r="P24" s="33">
        <f>SUM(Q24:AX24)</f>
        <v>0</v>
      </c>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2"/>
    </row>
    <row r="25" spans="1:51" ht="26.45" customHeight="1">
      <c r="A25" s="4">
        <v>20</v>
      </c>
      <c r="B25" s="11" t="s">
        <v>88</v>
      </c>
      <c r="C25" s="12"/>
      <c r="D25" s="12" t="s">
        <v>1102</v>
      </c>
      <c r="E25" s="13"/>
      <c r="F25" s="14"/>
      <c r="G25" s="18" t="s">
        <v>1048</v>
      </c>
      <c r="H25" s="12" t="s">
        <v>1097</v>
      </c>
      <c r="I25" s="18" t="s">
        <v>1085</v>
      </c>
      <c r="J25" s="13" t="s">
        <v>1098</v>
      </c>
      <c r="K25" s="33">
        <v>50</v>
      </c>
      <c r="L25" s="33">
        <v>50</v>
      </c>
      <c r="M25" s="33">
        <v>6</v>
      </c>
      <c r="N25" s="13" t="s">
        <v>1103</v>
      </c>
      <c r="O25" s="13" t="s">
        <v>109</v>
      </c>
      <c r="P25" s="33">
        <f>SUM(Q25:AX25)</f>
        <v>1000</v>
      </c>
      <c r="Q25" s="17"/>
      <c r="R25" s="17"/>
      <c r="S25" s="17">
        <v>1000</v>
      </c>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2"/>
    </row>
    <row r="26" spans="1:51" ht="26.45" customHeight="1">
      <c r="A26" s="4">
        <v>21</v>
      </c>
      <c r="B26" s="11" t="s">
        <v>88</v>
      </c>
      <c r="C26" s="12"/>
      <c r="D26" s="12" t="s">
        <v>1104</v>
      </c>
      <c r="E26" s="13"/>
      <c r="F26" s="14"/>
      <c r="G26" s="18" t="s">
        <v>1048</v>
      </c>
      <c r="H26" s="12" t="s">
        <v>1105</v>
      </c>
      <c r="I26" s="18" t="s">
        <v>1106</v>
      </c>
      <c r="J26" s="13" t="s">
        <v>1098</v>
      </c>
      <c r="K26" s="33">
        <v>75</v>
      </c>
      <c r="L26" s="33">
        <v>75</v>
      </c>
      <c r="M26" s="33">
        <v>6</v>
      </c>
      <c r="N26" s="13" t="s">
        <v>1107</v>
      </c>
      <c r="O26" s="13" t="s">
        <v>109</v>
      </c>
      <c r="P26" s="33">
        <f>SUM(Q26:AX26)</f>
        <v>0</v>
      </c>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2"/>
    </row>
    <row r="27" spans="1:51">
      <c r="A27" s="4">
        <v>22</v>
      </c>
      <c r="B27" s="5" t="s">
        <v>88</v>
      </c>
      <c r="C27" s="6"/>
      <c r="D27" s="37" t="s">
        <v>1108</v>
      </c>
      <c r="E27" s="50"/>
      <c r="F27" s="37" t="s">
        <v>1109</v>
      </c>
      <c r="G27" s="53"/>
      <c r="H27" s="9"/>
      <c r="I27" s="7"/>
      <c r="J27" s="4"/>
      <c r="K27" s="31"/>
      <c r="L27" s="31"/>
      <c r="M27" s="31"/>
      <c r="N27" s="4"/>
      <c r="O27" s="4"/>
      <c r="P27" s="31"/>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9"/>
    </row>
    <row r="28" spans="1:51" ht="26.45" customHeight="1">
      <c r="A28" s="4">
        <v>23</v>
      </c>
      <c r="B28" s="21" t="s">
        <v>88</v>
      </c>
      <c r="C28" s="3"/>
      <c r="D28" s="1"/>
      <c r="E28" s="2"/>
      <c r="F28" s="1"/>
      <c r="G28" s="26" t="s">
        <v>1110</v>
      </c>
      <c r="H28" s="1"/>
      <c r="I28" s="22"/>
      <c r="J28" s="2"/>
      <c r="K28" s="32"/>
      <c r="L28" s="32"/>
      <c r="M28" s="32"/>
      <c r="N28" s="2"/>
      <c r="O28" s="2"/>
      <c r="P28" s="32"/>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1"/>
    </row>
    <row r="29" spans="1:51" ht="26.45" customHeight="1">
      <c r="A29" s="4">
        <v>24</v>
      </c>
      <c r="B29" s="21" t="s">
        <v>88</v>
      </c>
      <c r="C29" s="3"/>
      <c r="D29" s="1"/>
      <c r="E29" s="2"/>
      <c r="F29" s="1"/>
      <c r="G29" s="26" t="s">
        <v>1111</v>
      </c>
      <c r="H29" s="1"/>
      <c r="I29" s="22"/>
      <c r="J29" s="2"/>
      <c r="K29" s="32"/>
      <c r="L29" s="32"/>
      <c r="M29" s="32"/>
      <c r="N29" s="2"/>
      <c r="O29" s="2"/>
      <c r="P29" s="32"/>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1"/>
    </row>
    <row r="30" spans="1:51">
      <c r="A30" s="4">
        <v>25</v>
      </c>
      <c r="B30" s="11" t="s">
        <v>88</v>
      </c>
      <c r="C30" s="12"/>
      <c r="D30" s="12" t="s">
        <v>1112</v>
      </c>
      <c r="E30" s="13"/>
      <c r="F30" s="14"/>
      <c r="G30" s="18" t="s">
        <v>1113</v>
      </c>
      <c r="H30" s="12" t="s">
        <v>1114</v>
      </c>
      <c r="I30" s="18" t="s">
        <v>1114</v>
      </c>
      <c r="J30" s="13" t="s">
        <v>1115</v>
      </c>
      <c r="K30" s="33"/>
      <c r="L30" s="33"/>
      <c r="M30" s="33"/>
      <c r="N30" s="13" t="s">
        <v>1116</v>
      </c>
      <c r="O30" s="13" t="s">
        <v>417</v>
      </c>
      <c r="P30" s="33">
        <f>SUM(Q30:AX30)</f>
        <v>0</v>
      </c>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2"/>
    </row>
    <row r="31" spans="1:51">
      <c r="A31" s="4">
        <v>26</v>
      </c>
      <c r="B31" s="11" t="s">
        <v>88</v>
      </c>
      <c r="C31" s="12"/>
      <c r="D31" s="12" t="s">
        <v>1117</v>
      </c>
      <c r="E31" s="13"/>
      <c r="F31" s="14"/>
      <c r="G31" s="18" t="s">
        <v>1113</v>
      </c>
      <c r="H31" s="12" t="s">
        <v>1118</v>
      </c>
      <c r="I31" s="18" t="s">
        <v>1118</v>
      </c>
      <c r="J31" s="13" t="s">
        <v>1115</v>
      </c>
      <c r="K31" s="33"/>
      <c r="L31" s="33"/>
      <c r="M31" s="33"/>
      <c r="N31" s="13" t="s">
        <v>1119</v>
      </c>
      <c r="O31" s="13" t="s">
        <v>417</v>
      </c>
      <c r="P31" s="33">
        <f>SUM(Q31:AX31)</f>
        <v>0</v>
      </c>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2"/>
    </row>
    <row r="32" spans="1:51">
      <c r="A32" s="4">
        <v>27</v>
      </c>
      <c r="B32" s="11" t="s">
        <v>88</v>
      </c>
      <c r="C32" s="12"/>
      <c r="D32" s="12" t="s">
        <v>1120</v>
      </c>
      <c r="E32" s="13"/>
      <c r="F32" s="14"/>
      <c r="G32" s="18" t="s">
        <v>1113</v>
      </c>
      <c r="H32" s="12" t="s">
        <v>1121</v>
      </c>
      <c r="I32" s="18" t="s">
        <v>1121</v>
      </c>
      <c r="J32" s="13" t="s">
        <v>1115</v>
      </c>
      <c r="K32" s="33"/>
      <c r="L32" s="33"/>
      <c r="M32" s="33"/>
      <c r="N32" s="13" t="s">
        <v>1122</v>
      </c>
      <c r="O32" s="13" t="s">
        <v>417</v>
      </c>
      <c r="P32" s="33">
        <f>SUM(Q32:AX32)</f>
        <v>0</v>
      </c>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2"/>
    </row>
    <row r="33" spans="1:51">
      <c r="A33" s="4">
        <v>28</v>
      </c>
      <c r="B33" s="11" t="s">
        <v>88</v>
      </c>
      <c r="C33" s="12"/>
      <c r="D33" s="12" t="s">
        <v>1123</v>
      </c>
      <c r="E33" s="13"/>
      <c r="F33" s="14"/>
      <c r="G33" s="18" t="s">
        <v>1124</v>
      </c>
      <c r="H33" s="12" t="s">
        <v>1114</v>
      </c>
      <c r="I33" s="18" t="s">
        <v>1125</v>
      </c>
      <c r="J33" s="13" t="s">
        <v>1115</v>
      </c>
      <c r="K33" s="33"/>
      <c r="L33" s="33"/>
      <c r="M33" s="33"/>
      <c r="N33" s="13" t="s">
        <v>1126</v>
      </c>
      <c r="O33" s="13" t="s">
        <v>417</v>
      </c>
      <c r="P33" s="33">
        <f>SUM(Q33:AX33)</f>
        <v>0</v>
      </c>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2"/>
    </row>
    <row r="34" spans="1:51">
      <c r="A34" s="4">
        <v>29</v>
      </c>
      <c r="B34" s="11" t="s">
        <v>88</v>
      </c>
      <c r="C34" s="12"/>
      <c r="D34" s="12" t="s">
        <v>1127</v>
      </c>
      <c r="E34" s="13"/>
      <c r="F34" s="14"/>
      <c r="G34" s="18" t="s">
        <v>1128</v>
      </c>
      <c r="H34" s="12" t="s">
        <v>1114</v>
      </c>
      <c r="I34" s="18" t="s">
        <v>1129</v>
      </c>
      <c r="J34" s="13" t="s">
        <v>1115</v>
      </c>
      <c r="K34" s="33"/>
      <c r="L34" s="33"/>
      <c r="M34" s="33"/>
      <c r="N34" s="13" t="s">
        <v>1130</v>
      </c>
      <c r="O34" s="13" t="s">
        <v>417</v>
      </c>
      <c r="P34" s="33">
        <f>SUM(Q34:AX34)</f>
        <v>0</v>
      </c>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2"/>
    </row>
    <row r="35" spans="1:51">
      <c r="A35" s="4">
        <v>30</v>
      </c>
      <c r="B35" s="11" t="s">
        <v>88</v>
      </c>
      <c r="C35" s="12"/>
      <c r="D35" s="12" t="s">
        <v>1131</v>
      </c>
      <c r="E35" s="13"/>
      <c r="F35" s="14"/>
      <c r="G35" s="18" t="s">
        <v>1132</v>
      </c>
      <c r="H35" s="12" t="s">
        <v>1114</v>
      </c>
      <c r="I35" s="18" t="s">
        <v>1133</v>
      </c>
      <c r="J35" s="13" t="s">
        <v>1115</v>
      </c>
      <c r="K35" s="33"/>
      <c r="L35" s="33"/>
      <c r="M35" s="33"/>
      <c r="N35" s="13" t="s">
        <v>1134</v>
      </c>
      <c r="O35" s="13" t="s">
        <v>417</v>
      </c>
      <c r="P35" s="33">
        <f>SUM(Q35:AX35)</f>
        <v>0</v>
      </c>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4"/>
    </row>
    <row r="36" spans="1:51">
      <c r="A36" s="4">
        <v>31</v>
      </c>
      <c r="B36" s="5" t="s">
        <v>88</v>
      </c>
      <c r="C36" s="6"/>
      <c r="D36" s="37" t="s">
        <v>1135</v>
      </c>
      <c r="E36" s="50"/>
      <c r="F36" s="37" t="s">
        <v>1136</v>
      </c>
      <c r="G36" s="53"/>
      <c r="H36" s="9"/>
      <c r="I36" s="7"/>
      <c r="J36" s="4"/>
      <c r="K36" s="31"/>
      <c r="L36" s="31"/>
      <c r="M36" s="31"/>
      <c r="N36" s="4"/>
      <c r="O36" s="4"/>
      <c r="P36" s="31"/>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9"/>
    </row>
    <row r="37" spans="1:51">
      <c r="A37" s="4">
        <v>32</v>
      </c>
      <c r="B37" s="21" t="s">
        <v>88</v>
      </c>
      <c r="C37" s="3"/>
      <c r="D37" s="1"/>
      <c r="E37" s="2"/>
      <c r="F37" s="1"/>
      <c r="G37" s="26" t="s">
        <v>1054</v>
      </c>
      <c r="H37" s="1"/>
      <c r="I37" s="22"/>
      <c r="J37" s="2"/>
      <c r="K37" s="32"/>
      <c r="L37" s="32"/>
      <c r="M37" s="32"/>
      <c r="N37" s="2"/>
      <c r="O37" s="2"/>
      <c r="P37" s="32"/>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1"/>
    </row>
    <row r="38" spans="1:51" ht="26.45" customHeight="1">
      <c r="A38" s="4">
        <v>33</v>
      </c>
      <c r="B38" s="11" t="s">
        <v>88</v>
      </c>
      <c r="C38" s="12"/>
      <c r="D38" s="12" t="s">
        <v>1137</v>
      </c>
      <c r="E38" s="13"/>
      <c r="F38" s="14"/>
      <c r="G38" s="18" t="s">
        <v>1138</v>
      </c>
      <c r="H38" s="12" t="s">
        <v>1139</v>
      </c>
      <c r="I38" s="18" t="s">
        <v>1138</v>
      </c>
      <c r="J38" s="13" t="s">
        <v>1140</v>
      </c>
      <c r="K38" s="33">
        <v>250</v>
      </c>
      <c r="L38" s="33">
        <v>250</v>
      </c>
      <c r="M38" s="33">
        <v>8</v>
      </c>
      <c r="N38" s="13" t="s">
        <v>1141</v>
      </c>
      <c r="O38" s="13" t="s">
        <v>417</v>
      </c>
      <c r="P38" s="33">
        <f>SUM(Q38:AX38)</f>
        <v>0</v>
      </c>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2"/>
    </row>
    <row r="39" spans="1:51">
      <c r="A39" s="4">
        <v>34</v>
      </c>
      <c r="B39" s="11" t="s">
        <v>88</v>
      </c>
      <c r="C39" s="12"/>
      <c r="D39" s="12" t="s">
        <v>1142</v>
      </c>
      <c r="E39" s="13"/>
      <c r="F39" s="14"/>
      <c r="G39" s="18" t="s">
        <v>1143</v>
      </c>
      <c r="H39" s="12" t="s">
        <v>1139</v>
      </c>
      <c r="I39" s="18" t="s">
        <v>1143</v>
      </c>
      <c r="J39" s="13" t="s">
        <v>1140</v>
      </c>
      <c r="K39" s="33">
        <v>250</v>
      </c>
      <c r="L39" s="33">
        <v>250</v>
      </c>
      <c r="M39" s="33">
        <v>8</v>
      </c>
      <c r="N39" s="13" t="s">
        <v>1144</v>
      </c>
      <c r="O39" s="13" t="s">
        <v>417</v>
      </c>
      <c r="P39" s="33">
        <f>SUM(Q39:AX39)</f>
        <v>0</v>
      </c>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2"/>
    </row>
    <row r="40" spans="1:51" ht="66" customHeight="1">
      <c r="A40" s="4">
        <v>35</v>
      </c>
      <c r="B40" s="11" t="s">
        <v>88</v>
      </c>
      <c r="C40" s="12"/>
      <c r="D40" s="12" t="s">
        <v>1145</v>
      </c>
      <c r="E40" s="13"/>
      <c r="F40" s="14"/>
      <c r="G40" s="18" t="s">
        <v>1146</v>
      </c>
      <c r="H40" s="12" t="s">
        <v>1147</v>
      </c>
      <c r="I40" s="18" t="s">
        <v>1148</v>
      </c>
      <c r="J40" s="13" t="s">
        <v>1140</v>
      </c>
      <c r="K40" s="33">
        <v>150</v>
      </c>
      <c r="L40" s="33">
        <v>70</v>
      </c>
      <c r="M40" s="33">
        <v>5</v>
      </c>
      <c r="N40" s="13" t="s">
        <v>1149</v>
      </c>
      <c r="O40" s="13" t="s">
        <v>417</v>
      </c>
      <c r="P40" s="33">
        <f>SUM(Q40:AX40)</f>
        <v>0</v>
      </c>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2"/>
    </row>
    <row r="41" spans="1:51" ht="26.45" customHeight="1">
      <c r="A41" s="4">
        <v>36</v>
      </c>
      <c r="B41" s="11" t="s">
        <v>88</v>
      </c>
      <c r="C41" s="12"/>
      <c r="D41" s="12" t="s">
        <v>1150</v>
      </c>
      <c r="E41" s="13"/>
      <c r="F41" s="14"/>
      <c r="G41" s="18" t="s">
        <v>1151</v>
      </c>
      <c r="H41" s="12" t="s">
        <v>1152</v>
      </c>
      <c r="I41" s="18" t="s">
        <v>1151</v>
      </c>
      <c r="J41" s="13" t="s">
        <v>1140</v>
      </c>
      <c r="K41" s="33">
        <v>100</v>
      </c>
      <c r="L41" s="33">
        <v>100</v>
      </c>
      <c r="M41" s="33">
        <v>5</v>
      </c>
      <c r="N41" s="13" t="s">
        <v>1153</v>
      </c>
      <c r="O41" s="13" t="s">
        <v>417</v>
      </c>
      <c r="P41" s="33">
        <f>SUM(Q41:AX41)</f>
        <v>0</v>
      </c>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2"/>
    </row>
    <row r="42" spans="1:51">
      <c r="A42" s="4">
        <v>37</v>
      </c>
      <c r="B42" s="11" t="s">
        <v>88</v>
      </c>
      <c r="C42" s="12"/>
      <c r="D42" s="12" t="s">
        <v>1154</v>
      </c>
      <c r="E42" s="13"/>
      <c r="F42" s="14"/>
      <c r="G42" s="18" t="s">
        <v>1155</v>
      </c>
      <c r="H42" s="12" t="s">
        <v>1156</v>
      </c>
      <c r="I42" s="18" t="s">
        <v>1155</v>
      </c>
      <c r="J42" s="13" t="s">
        <v>1140</v>
      </c>
      <c r="K42" s="33">
        <v>125</v>
      </c>
      <c r="L42" s="33">
        <v>2000</v>
      </c>
      <c r="M42" s="33">
        <v>6</v>
      </c>
      <c r="N42" s="13" t="s">
        <v>1157</v>
      </c>
      <c r="O42" s="13" t="s">
        <v>417</v>
      </c>
      <c r="P42" s="33">
        <f>SUM(Q42:AX42)</f>
        <v>0</v>
      </c>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2"/>
    </row>
    <row r="43" spans="1:51" ht="26.45" customHeight="1">
      <c r="A43" s="4">
        <v>38</v>
      </c>
      <c r="B43" s="11" t="s">
        <v>88</v>
      </c>
      <c r="C43" s="12"/>
      <c r="D43" s="12" t="s">
        <v>1158</v>
      </c>
      <c r="E43" s="13"/>
      <c r="F43" s="14"/>
      <c r="G43" s="18" t="s">
        <v>1159</v>
      </c>
      <c r="H43" s="12" t="s">
        <v>1160</v>
      </c>
      <c r="I43" s="18" t="s">
        <v>1159</v>
      </c>
      <c r="J43" s="13" t="s">
        <v>1140</v>
      </c>
      <c r="K43" s="33">
        <v>130</v>
      </c>
      <c r="L43" s="33">
        <v>80</v>
      </c>
      <c r="M43" s="33">
        <v>5</v>
      </c>
      <c r="N43" s="13" t="s">
        <v>1161</v>
      </c>
      <c r="O43" s="13" t="s">
        <v>417</v>
      </c>
      <c r="P43" s="33">
        <f>SUM(Q43:AX43)</f>
        <v>0</v>
      </c>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2"/>
    </row>
    <row r="44" spans="1:51" ht="26.45" customHeight="1">
      <c r="A44" s="4">
        <v>39</v>
      </c>
      <c r="B44" s="11" t="s">
        <v>88</v>
      </c>
      <c r="C44" s="12"/>
      <c r="D44" s="12" t="s">
        <v>1162</v>
      </c>
      <c r="E44" s="13"/>
      <c r="F44" s="14"/>
      <c r="G44" s="18" t="s">
        <v>1163</v>
      </c>
      <c r="H44" s="12" t="s">
        <v>1164</v>
      </c>
      <c r="I44" s="18" t="s">
        <v>1163</v>
      </c>
      <c r="J44" s="13" t="s">
        <v>1140</v>
      </c>
      <c r="K44" s="33">
        <v>85</v>
      </c>
      <c r="L44" s="33">
        <v>50</v>
      </c>
      <c r="M44" s="33">
        <v>3</v>
      </c>
      <c r="N44" s="13" t="s">
        <v>1165</v>
      </c>
      <c r="O44" s="13" t="s">
        <v>417</v>
      </c>
      <c r="P44" s="33">
        <f>SUM(Q44:AX44)</f>
        <v>0</v>
      </c>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2"/>
    </row>
    <row r="45" spans="1:51" ht="26.45" customHeight="1">
      <c r="A45" s="4">
        <v>40</v>
      </c>
      <c r="B45" s="11" t="s">
        <v>88</v>
      </c>
      <c r="C45" s="12"/>
      <c r="D45" s="12" t="s">
        <v>1166</v>
      </c>
      <c r="E45" s="13"/>
      <c r="F45" s="14"/>
      <c r="G45" s="18" t="s">
        <v>1138</v>
      </c>
      <c r="H45" s="12" t="s">
        <v>1167</v>
      </c>
      <c r="I45" s="18" t="s">
        <v>1138</v>
      </c>
      <c r="J45" s="13" t="s">
        <v>1140</v>
      </c>
      <c r="K45" s="33">
        <v>400</v>
      </c>
      <c r="L45" s="33">
        <v>210</v>
      </c>
      <c r="M45" s="33">
        <v>6</v>
      </c>
      <c r="N45" s="13" t="s">
        <v>1168</v>
      </c>
      <c r="O45" s="13" t="s">
        <v>417</v>
      </c>
      <c r="P45" s="33">
        <f>SUM(Q45:AX45)</f>
        <v>0</v>
      </c>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2"/>
    </row>
    <row r="46" spans="1:51" ht="26.45" customHeight="1">
      <c r="A46" s="4">
        <v>41</v>
      </c>
      <c r="B46" s="11" t="s">
        <v>88</v>
      </c>
      <c r="C46" s="12"/>
      <c r="D46" s="12" t="s">
        <v>1169</v>
      </c>
      <c r="E46" s="13"/>
      <c r="F46" s="14"/>
      <c r="G46" s="18" t="s">
        <v>1138</v>
      </c>
      <c r="H46" s="12" t="s">
        <v>1139</v>
      </c>
      <c r="I46" s="18" t="s">
        <v>1170</v>
      </c>
      <c r="J46" s="13" t="s">
        <v>1140</v>
      </c>
      <c r="K46" s="33">
        <v>250</v>
      </c>
      <c r="L46" s="33">
        <v>250</v>
      </c>
      <c r="M46" s="33">
        <v>8</v>
      </c>
      <c r="N46" s="13" t="s">
        <v>1171</v>
      </c>
      <c r="O46" s="13" t="s">
        <v>417</v>
      </c>
      <c r="P46" s="33">
        <f>SUM(Q46:AX46)</f>
        <v>0</v>
      </c>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2"/>
    </row>
    <row r="47" spans="1:51" ht="26.45" customHeight="1">
      <c r="A47" s="4">
        <v>42</v>
      </c>
      <c r="B47" s="11" t="s">
        <v>88</v>
      </c>
      <c r="C47" s="12"/>
      <c r="D47" s="12" t="s">
        <v>1172</v>
      </c>
      <c r="E47" s="13"/>
      <c r="F47" s="14"/>
      <c r="G47" s="18" t="s">
        <v>1151</v>
      </c>
      <c r="H47" s="12" t="s">
        <v>1152</v>
      </c>
      <c r="I47" s="18" t="s">
        <v>1173</v>
      </c>
      <c r="J47" s="13" t="s">
        <v>1140</v>
      </c>
      <c r="K47" s="33">
        <v>100</v>
      </c>
      <c r="L47" s="33">
        <v>100</v>
      </c>
      <c r="M47" s="33">
        <v>5</v>
      </c>
      <c r="N47" s="13" t="s">
        <v>1174</v>
      </c>
      <c r="O47" s="13" t="s">
        <v>417</v>
      </c>
      <c r="P47" s="33">
        <f>SUM(Q47:AX47)</f>
        <v>0</v>
      </c>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2"/>
    </row>
    <row r="48" spans="1:51" ht="26.45" customHeight="1">
      <c r="A48" s="4">
        <v>43</v>
      </c>
      <c r="B48" s="11" t="s">
        <v>88</v>
      </c>
      <c r="C48" s="12"/>
      <c r="D48" s="12" t="s">
        <v>1175</v>
      </c>
      <c r="E48" s="13"/>
      <c r="F48" s="14"/>
      <c r="G48" s="18" t="s">
        <v>1138</v>
      </c>
      <c r="H48" s="12" t="s">
        <v>1176</v>
      </c>
      <c r="I48" s="18" t="s">
        <v>1170</v>
      </c>
      <c r="J48" s="13" t="s">
        <v>1140</v>
      </c>
      <c r="K48" s="33">
        <v>350</v>
      </c>
      <c r="L48" s="33">
        <v>350</v>
      </c>
      <c r="M48" s="33">
        <v>10</v>
      </c>
      <c r="N48" s="13" t="s">
        <v>1177</v>
      </c>
      <c r="O48" s="13" t="s">
        <v>417</v>
      </c>
      <c r="P48" s="33">
        <f>SUM(Q48:AX48)</f>
        <v>0</v>
      </c>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2"/>
    </row>
    <row r="49" spans="1:51" ht="26.45" customHeight="1">
      <c r="A49" s="4">
        <v>44</v>
      </c>
      <c r="B49" s="11" t="s">
        <v>88</v>
      </c>
      <c r="C49" s="12"/>
      <c r="D49" s="12" t="s">
        <v>1178</v>
      </c>
      <c r="E49" s="13"/>
      <c r="F49" s="14"/>
      <c r="G49" s="18" t="s">
        <v>1179</v>
      </c>
      <c r="H49" s="12" t="s">
        <v>1180</v>
      </c>
      <c r="I49" s="18" t="s">
        <v>1179</v>
      </c>
      <c r="J49" s="13" t="s">
        <v>1140</v>
      </c>
      <c r="K49" s="33">
        <v>250</v>
      </c>
      <c r="L49" s="33">
        <v>125</v>
      </c>
      <c r="M49" s="33">
        <v>8</v>
      </c>
      <c r="N49" s="13" t="s">
        <v>1181</v>
      </c>
      <c r="O49" s="13" t="s">
        <v>417</v>
      </c>
      <c r="P49" s="33">
        <f>SUM(Q49:AX49)</f>
        <v>1000</v>
      </c>
      <c r="Q49" s="17"/>
      <c r="R49" s="17"/>
      <c r="S49" s="17">
        <v>1000</v>
      </c>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2"/>
    </row>
    <row r="50" spans="1:51" ht="26.45" customHeight="1">
      <c r="A50" s="4">
        <v>45</v>
      </c>
      <c r="B50" s="11" t="s">
        <v>88</v>
      </c>
      <c r="C50" s="12"/>
      <c r="D50" s="12" t="s">
        <v>1182</v>
      </c>
      <c r="E50" s="13"/>
      <c r="F50" s="14"/>
      <c r="G50" s="18" t="s">
        <v>1179</v>
      </c>
      <c r="H50" s="12" t="s">
        <v>1183</v>
      </c>
      <c r="I50" s="18" t="s">
        <v>1179</v>
      </c>
      <c r="J50" s="13" t="s">
        <v>1140</v>
      </c>
      <c r="K50" s="33">
        <v>250</v>
      </c>
      <c r="L50" s="33">
        <v>70</v>
      </c>
      <c r="M50" s="33">
        <v>8</v>
      </c>
      <c r="N50" s="13" t="s">
        <v>1184</v>
      </c>
      <c r="O50" s="13" t="s">
        <v>417</v>
      </c>
      <c r="P50" s="33">
        <f>SUM(Q50:AX50)</f>
        <v>0</v>
      </c>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2"/>
    </row>
    <row r="51" spans="1:51" ht="26.45" customHeight="1">
      <c r="A51" s="4">
        <v>46</v>
      </c>
      <c r="B51" s="11" t="s">
        <v>88</v>
      </c>
      <c r="C51" s="12"/>
      <c r="D51" s="12" t="s">
        <v>1185</v>
      </c>
      <c r="E51" s="13"/>
      <c r="F51" s="14"/>
      <c r="G51" s="18" t="s">
        <v>1179</v>
      </c>
      <c r="H51" s="12" t="s">
        <v>1186</v>
      </c>
      <c r="I51" s="18" t="s">
        <v>1179</v>
      </c>
      <c r="J51" s="13" t="s">
        <v>1140</v>
      </c>
      <c r="K51" s="33">
        <v>200</v>
      </c>
      <c r="L51" s="33">
        <v>70</v>
      </c>
      <c r="M51" s="33">
        <v>8</v>
      </c>
      <c r="N51" s="13" t="s">
        <v>1187</v>
      </c>
      <c r="O51" s="13" t="s">
        <v>417</v>
      </c>
      <c r="P51" s="33">
        <f>SUM(Q51:AX51)</f>
        <v>0</v>
      </c>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2"/>
    </row>
    <row r="52" spans="1:51" ht="26.45" customHeight="1">
      <c r="A52" s="4">
        <v>47</v>
      </c>
      <c r="B52" s="11" t="s">
        <v>88</v>
      </c>
      <c r="C52" s="12"/>
      <c r="D52" s="12" t="s">
        <v>1188</v>
      </c>
      <c r="E52" s="13"/>
      <c r="F52" s="14"/>
      <c r="G52" s="18" t="s">
        <v>1189</v>
      </c>
      <c r="H52" s="12" t="s">
        <v>1190</v>
      </c>
      <c r="I52" s="18" t="s">
        <v>1189</v>
      </c>
      <c r="J52" s="13" t="s">
        <v>1140</v>
      </c>
      <c r="K52" s="33">
        <v>350</v>
      </c>
      <c r="L52" s="33">
        <v>125</v>
      </c>
      <c r="M52" s="33">
        <v>6</v>
      </c>
      <c r="N52" s="13" t="s">
        <v>1191</v>
      </c>
      <c r="O52" s="13" t="s">
        <v>417</v>
      </c>
      <c r="P52" s="33">
        <f>SUM(Q52:AX52)</f>
        <v>0</v>
      </c>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2"/>
    </row>
    <row r="53" spans="1:51" ht="26.45" customHeight="1">
      <c r="A53" s="4">
        <v>48</v>
      </c>
      <c r="B53" s="11" t="s">
        <v>88</v>
      </c>
      <c r="C53" s="12"/>
      <c r="D53" s="12" t="s">
        <v>1192</v>
      </c>
      <c r="E53" s="13"/>
      <c r="F53" s="14"/>
      <c r="G53" s="18" t="s">
        <v>1193</v>
      </c>
      <c r="H53" s="12" t="s">
        <v>1194</v>
      </c>
      <c r="I53" s="18" t="s">
        <v>1195</v>
      </c>
      <c r="J53" s="13" t="s">
        <v>1140</v>
      </c>
      <c r="K53" s="33">
        <v>100</v>
      </c>
      <c r="L53" s="33">
        <v>50</v>
      </c>
      <c r="M53" s="33">
        <v>6</v>
      </c>
      <c r="N53" s="13" t="s">
        <v>1196</v>
      </c>
      <c r="O53" s="13" t="s">
        <v>417</v>
      </c>
      <c r="P53" s="33">
        <f>SUM(Q53:AX53)</f>
        <v>0</v>
      </c>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4"/>
    </row>
    <row r="54" spans="1:51" ht="26.45" customHeight="1">
      <c r="A54" s="4">
        <v>49</v>
      </c>
      <c r="B54" s="11" t="s">
        <v>88</v>
      </c>
      <c r="C54" s="12"/>
      <c r="D54" s="12" t="s">
        <v>1197</v>
      </c>
      <c r="E54" s="13"/>
      <c r="F54" s="14"/>
      <c r="G54" s="18" t="s">
        <v>1155</v>
      </c>
      <c r="H54" s="12" t="s">
        <v>1156</v>
      </c>
      <c r="I54" s="18" t="s">
        <v>1198</v>
      </c>
      <c r="J54" s="13" t="s">
        <v>1140</v>
      </c>
      <c r="K54" s="33">
        <v>125</v>
      </c>
      <c r="L54" s="33">
        <v>2000</v>
      </c>
      <c r="M54" s="33">
        <v>6</v>
      </c>
      <c r="N54" s="13" t="s">
        <v>1199</v>
      </c>
      <c r="O54" s="13" t="s">
        <v>417</v>
      </c>
      <c r="P54" s="33">
        <f>SUM(Q54:AX54)</f>
        <v>0</v>
      </c>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4"/>
    </row>
    <row r="55" spans="1:51" ht="26.45" customHeight="1">
      <c r="A55" s="4">
        <v>50</v>
      </c>
      <c r="B55" s="11" t="s">
        <v>88</v>
      </c>
      <c r="C55" s="12"/>
      <c r="D55" s="12" t="s">
        <v>1200</v>
      </c>
      <c r="E55" s="13"/>
      <c r="F55" s="14"/>
      <c r="G55" s="18" t="s">
        <v>1179</v>
      </c>
      <c r="H55" s="12" t="s">
        <v>1180</v>
      </c>
      <c r="I55" s="18" t="s">
        <v>1201</v>
      </c>
      <c r="J55" s="13" t="s">
        <v>1140</v>
      </c>
      <c r="K55" s="33">
        <v>250</v>
      </c>
      <c r="L55" s="33">
        <v>125</v>
      </c>
      <c r="M55" s="33">
        <v>8</v>
      </c>
      <c r="N55" s="13" t="s">
        <v>1202</v>
      </c>
      <c r="O55" s="13" t="s">
        <v>417</v>
      </c>
      <c r="P55" s="33">
        <f>SUM(Q55:AX55)</f>
        <v>0</v>
      </c>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4"/>
    </row>
    <row r="56" spans="1:51">
      <c r="A56" s="4">
        <v>51</v>
      </c>
      <c r="B56" s="5" t="s">
        <v>88</v>
      </c>
      <c r="C56" s="6"/>
      <c r="D56" s="37" t="s">
        <v>1203</v>
      </c>
      <c r="E56" s="50"/>
      <c r="F56" s="37" t="s">
        <v>1204</v>
      </c>
      <c r="G56" s="53"/>
      <c r="H56" s="9"/>
      <c r="I56" s="7"/>
      <c r="J56" s="4"/>
      <c r="K56" s="31"/>
      <c r="L56" s="31"/>
      <c r="M56" s="31"/>
      <c r="N56" s="4"/>
      <c r="O56" s="4"/>
      <c r="P56" s="31"/>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9"/>
    </row>
    <row r="57" spans="1:51" ht="26.45" customHeight="1">
      <c r="A57" s="4">
        <v>52</v>
      </c>
      <c r="B57" s="11" t="s">
        <v>88</v>
      </c>
      <c r="C57" s="12"/>
      <c r="D57" s="12" t="s">
        <v>1205</v>
      </c>
      <c r="E57" s="13"/>
      <c r="F57" s="14"/>
      <c r="G57" s="18" t="s">
        <v>1206</v>
      </c>
      <c r="H57" s="12" t="s">
        <v>1207</v>
      </c>
      <c r="I57" s="18" t="s">
        <v>1208</v>
      </c>
      <c r="J57" s="13" t="s">
        <v>1209</v>
      </c>
      <c r="K57" s="33"/>
      <c r="L57" s="33"/>
      <c r="M57" s="33"/>
      <c r="N57" s="13" t="s">
        <v>1210</v>
      </c>
      <c r="O57" s="13" t="s">
        <v>417</v>
      </c>
      <c r="P57" s="33">
        <f>SUM(Q57:AX57)</f>
        <v>0</v>
      </c>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2"/>
    </row>
    <row r="58" spans="1:51" ht="26.45" customHeight="1">
      <c r="A58" s="4">
        <v>53</v>
      </c>
      <c r="B58" s="11" t="s">
        <v>88</v>
      </c>
      <c r="C58" s="12"/>
      <c r="D58" s="12" t="s">
        <v>1211</v>
      </c>
      <c r="E58" s="13"/>
      <c r="F58" s="14"/>
      <c r="G58" s="18" t="s">
        <v>1212</v>
      </c>
      <c r="H58" s="12" t="s">
        <v>1207</v>
      </c>
      <c r="I58" s="18" t="s">
        <v>1213</v>
      </c>
      <c r="J58" s="13" t="s">
        <v>1209</v>
      </c>
      <c r="K58" s="33"/>
      <c r="L58" s="33"/>
      <c r="M58" s="33"/>
      <c r="N58" s="13" t="s">
        <v>1214</v>
      </c>
      <c r="O58" s="13" t="s">
        <v>417</v>
      </c>
      <c r="P58" s="33">
        <f>SUM(Q58:AX58)</f>
        <v>0</v>
      </c>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2"/>
    </row>
    <row r="59" spans="1:51" ht="26.45" customHeight="1">
      <c r="A59" s="4">
        <v>54</v>
      </c>
      <c r="B59" s="11" t="s">
        <v>88</v>
      </c>
      <c r="C59" s="12"/>
      <c r="D59" s="12" t="s">
        <v>1215</v>
      </c>
      <c r="E59" s="13"/>
      <c r="F59" s="14"/>
      <c r="G59" s="18" t="s">
        <v>1216</v>
      </c>
      <c r="H59" s="12" t="s">
        <v>1207</v>
      </c>
      <c r="I59" s="18" t="s">
        <v>1217</v>
      </c>
      <c r="J59" s="13" t="s">
        <v>1209</v>
      </c>
      <c r="K59" s="33"/>
      <c r="L59" s="33"/>
      <c r="M59" s="33"/>
      <c r="N59" s="13" t="s">
        <v>1218</v>
      </c>
      <c r="O59" s="13" t="s">
        <v>417</v>
      </c>
      <c r="P59" s="33">
        <f>SUM(Q59:AX59)</f>
        <v>0</v>
      </c>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2"/>
    </row>
    <row r="60" spans="1:51">
      <c r="A60" s="4">
        <v>55</v>
      </c>
      <c r="B60" s="5" t="s">
        <v>88</v>
      </c>
      <c r="C60" s="6"/>
      <c r="D60" s="37" t="s">
        <v>1219</v>
      </c>
      <c r="E60" s="50"/>
      <c r="F60" s="37" t="s">
        <v>1220</v>
      </c>
      <c r="G60" s="53"/>
      <c r="H60" s="9"/>
      <c r="I60" s="7"/>
      <c r="J60" s="4"/>
      <c r="K60" s="31"/>
      <c r="L60" s="31"/>
      <c r="M60" s="31"/>
      <c r="N60" s="4"/>
      <c r="O60" s="4"/>
      <c r="P60" s="31"/>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9"/>
    </row>
    <row r="61" spans="1:51" ht="26.45" customHeight="1">
      <c r="A61" s="4">
        <v>56</v>
      </c>
      <c r="B61" s="21" t="s">
        <v>88</v>
      </c>
      <c r="C61" s="3"/>
      <c r="D61" s="1"/>
      <c r="E61" s="2"/>
      <c r="F61" s="1"/>
      <c r="G61" s="26" t="s">
        <v>1221</v>
      </c>
      <c r="H61" s="1"/>
      <c r="I61" s="22"/>
      <c r="J61" s="2"/>
      <c r="K61" s="32"/>
      <c r="L61" s="32"/>
      <c r="M61" s="32"/>
      <c r="N61" s="2"/>
      <c r="O61" s="2"/>
      <c r="P61" s="32"/>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c r="AU61" s="25"/>
      <c r="AV61" s="25"/>
      <c r="AW61" s="25"/>
      <c r="AX61" s="25"/>
      <c r="AY61" s="1"/>
    </row>
    <row r="62" spans="1:51" ht="26.45" customHeight="1">
      <c r="A62" s="4">
        <v>57</v>
      </c>
      <c r="B62" s="11" t="s">
        <v>88</v>
      </c>
      <c r="C62" s="12"/>
      <c r="D62" s="12" t="s">
        <v>1222</v>
      </c>
      <c r="E62" s="13"/>
      <c r="F62" s="14"/>
      <c r="G62" s="18" t="s">
        <v>1223</v>
      </c>
      <c r="H62" s="12" t="s">
        <v>1207</v>
      </c>
      <c r="I62" s="18" t="s">
        <v>1223</v>
      </c>
      <c r="J62" s="13" t="s">
        <v>1224</v>
      </c>
      <c r="K62" s="33"/>
      <c r="L62" s="33"/>
      <c r="M62" s="33"/>
      <c r="N62" s="13" t="s">
        <v>1225</v>
      </c>
      <c r="O62" s="13" t="s">
        <v>417</v>
      </c>
      <c r="P62" s="33">
        <f>SUM(Q62:AX62)</f>
        <v>0</v>
      </c>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2"/>
    </row>
    <row r="63" spans="1:51" ht="26.45" customHeight="1">
      <c r="A63" s="4">
        <v>58</v>
      </c>
      <c r="B63" s="11" t="s">
        <v>88</v>
      </c>
      <c r="C63" s="12"/>
      <c r="D63" s="12" t="s">
        <v>1226</v>
      </c>
      <c r="E63" s="13"/>
      <c r="F63" s="14"/>
      <c r="G63" s="18" t="s">
        <v>1227</v>
      </c>
      <c r="H63" s="12" t="s">
        <v>1207</v>
      </c>
      <c r="I63" s="18" t="s">
        <v>1227</v>
      </c>
      <c r="J63" s="13" t="s">
        <v>1224</v>
      </c>
      <c r="K63" s="33"/>
      <c r="L63" s="33"/>
      <c r="M63" s="33"/>
      <c r="N63" s="13" t="s">
        <v>1228</v>
      </c>
      <c r="O63" s="13" t="s">
        <v>417</v>
      </c>
      <c r="P63" s="33">
        <f>SUM(Q63:AX63)</f>
        <v>0</v>
      </c>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2"/>
    </row>
    <row r="64" spans="1:51" ht="39.6" customHeight="1">
      <c r="A64" s="4">
        <v>59</v>
      </c>
      <c r="B64" s="11" t="s">
        <v>88</v>
      </c>
      <c r="C64" s="12"/>
      <c r="D64" s="12" t="s">
        <v>1229</v>
      </c>
      <c r="E64" s="13"/>
      <c r="F64" s="14"/>
      <c r="G64" s="18" t="s">
        <v>1230</v>
      </c>
      <c r="H64" s="12" t="s">
        <v>1207</v>
      </c>
      <c r="I64" s="18" t="s">
        <v>1230</v>
      </c>
      <c r="J64" s="13" t="s">
        <v>1224</v>
      </c>
      <c r="K64" s="33"/>
      <c r="L64" s="33"/>
      <c r="M64" s="33"/>
      <c r="N64" s="13" t="s">
        <v>1231</v>
      </c>
      <c r="O64" s="13" t="s">
        <v>417</v>
      </c>
      <c r="P64" s="33">
        <f>SUM(Q64:AX64)</f>
        <v>0</v>
      </c>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2"/>
    </row>
    <row r="65" spans="1:51">
      <c r="A65" s="4">
        <v>60</v>
      </c>
      <c r="B65" s="11" t="s">
        <v>88</v>
      </c>
      <c r="C65" s="12"/>
      <c r="D65" s="12" t="s">
        <v>1232</v>
      </c>
      <c r="E65" s="13"/>
      <c r="F65" s="14"/>
      <c r="G65" s="18" t="s">
        <v>1233</v>
      </c>
      <c r="H65" s="12" t="s">
        <v>1207</v>
      </c>
      <c r="I65" s="18" t="s">
        <v>1233</v>
      </c>
      <c r="J65" s="13" t="s">
        <v>1224</v>
      </c>
      <c r="K65" s="33"/>
      <c r="L65" s="33"/>
      <c r="M65" s="33"/>
      <c r="N65" s="13" t="s">
        <v>1234</v>
      </c>
      <c r="O65" s="13" t="s">
        <v>417</v>
      </c>
      <c r="P65" s="33">
        <f>SUM(Q65:AX65)</f>
        <v>0</v>
      </c>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2"/>
    </row>
    <row r="66" spans="1:51">
      <c r="A66" s="4">
        <v>61</v>
      </c>
      <c r="B66" s="5" t="s">
        <v>88</v>
      </c>
      <c r="C66" s="6"/>
      <c r="D66" s="37" t="s">
        <v>1235</v>
      </c>
      <c r="E66" s="50"/>
      <c r="F66" s="37" t="s">
        <v>1236</v>
      </c>
      <c r="G66" s="53"/>
      <c r="H66" s="9"/>
      <c r="I66" s="7"/>
      <c r="J66" s="4"/>
      <c r="K66" s="31"/>
      <c r="L66" s="31"/>
      <c r="M66" s="31"/>
      <c r="N66" s="4"/>
      <c r="O66" s="4"/>
      <c r="P66" s="31"/>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9"/>
    </row>
    <row r="67" spans="1:51">
      <c r="A67" s="4">
        <v>62</v>
      </c>
      <c r="B67" s="21" t="s">
        <v>88</v>
      </c>
      <c r="C67" s="3"/>
      <c r="D67" s="1"/>
      <c r="E67" s="2"/>
      <c r="F67" s="1"/>
      <c r="G67" s="26" t="s">
        <v>1237</v>
      </c>
      <c r="H67" s="1"/>
      <c r="I67" s="22"/>
      <c r="J67" s="2"/>
      <c r="K67" s="32"/>
      <c r="L67" s="32"/>
      <c r="M67" s="32"/>
      <c r="N67" s="2"/>
      <c r="O67" s="2"/>
      <c r="P67" s="32"/>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1"/>
    </row>
    <row r="68" spans="1:51">
      <c r="A68" s="4">
        <v>63</v>
      </c>
      <c r="B68" s="11" t="s">
        <v>88</v>
      </c>
      <c r="C68" s="12"/>
      <c r="D68" s="12" t="s">
        <v>1238</v>
      </c>
      <c r="E68" s="13"/>
      <c r="F68" s="14"/>
      <c r="G68" s="18" t="s">
        <v>1239</v>
      </c>
      <c r="H68" s="12" t="s">
        <v>1207</v>
      </c>
      <c r="I68" s="18" t="s">
        <v>1239</v>
      </c>
      <c r="J68" s="13" t="s">
        <v>1240</v>
      </c>
      <c r="K68" s="33"/>
      <c r="L68" s="33"/>
      <c r="M68" s="33"/>
      <c r="N68" s="13" t="s">
        <v>1241</v>
      </c>
      <c r="O68" s="13" t="s">
        <v>417</v>
      </c>
      <c r="P68" s="33">
        <f>SUM(Q68:AX68)</f>
        <v>0</v>
      </c>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2"/>
    </row>
    <row r="69" spans="1:51" ht="26.45" customHeight="1">
      <c r="A69" s="4">
        <v>64</v>
      </c>
      <c r="B69" s="11" t="s">
        <v>88</v>
      </c>
      <c r="C69" s="12"/>
      <c r="D69" s="12" t="s">
        <v>1242</v>
      </c>
      <c r="E69" s="13"/>
      <c r="F69" s="14"/>
      <c r="G69" s="18" t="s">
        <v>1239</v>
      </c>
      <c r="H69" s="12" t="s">
        <v>1207</v>
      </c>
      <c r="I69" s="18" t="s">
        <v>1243</v>
      </c>
      <c r="J69" s="13" t="s">
        <v>1240</v>
      </c>
      <c r="K69" s="33"/>
      <c r="L69" s="33"/>
      <c r="M69" s="33"/>
      <c r="N69" s="13" t="s">
        <v>1244</v>
      </c>
      <c r="O69" s="13" t="s">
        <v>417</v>
      </c>
      <c r="P69" s="33">
        <f>SUM(Q69:AX69)</f>
        <v>0</v>
      </c>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2"/>
    </row>
    <row r="70" spans="1:51">
      <c r="A70" s="4">
        <v>65</v>
      </c>
      <c r="B70" s="5" t="s">
        <v>88</v>
      </c>
      <c r="C70" s="6"/>
      <c r="D70" s="37" t="s">
        <v>1245</v>
      </c>
      <c r="E70" s="50"/>
      <c r="F70" s="37" t="s">
        <v>1246</v>
      </c>
      <c r="G70" s="53"/>
      <c r="H70" s="9"/>
      <c r="I70" s="7"/>
      <c r="J70" s="4"/>
      <c r="K70" s="31"/>
      <c r="L70" s="31"/>
      <c r="M70" s="31"/>
      <c r="N70" s="4"/>
      <c r="O70" s="4"/>
      <c r="P70" s="31"/>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9"/>
    </row>
    <row r="71" spans="1:51">
      <c r="A71" s="4">
        <v>66</v>
      </c>
      <c r="B71" s="11" t="s">
        <v>88</v>
      </c>
      <c r="C71" s="12"/>
      <c r="D71" s="12" t="s">
        <v>1247</v>
      </c>
      <c r="E71" s="13"/>
      <c r="F71" s="14"/>
      <c r="G71" s="18" t="s">
        <v>1237</v>
      </c>
      <c r="H71" s="12" t="s">
        <v>1207</v>
      </c>
      <c r="I71" s="18" t="s">
        <v>1237</v>
      </c>
      <c r="J71" s="13" t="s">
        <v>1240</v>
      </c>
      <c r="K71" s="33"/>
      <c r="L71" s="33"/>
      <c r="M71" s="33"/>
      <c r="N71" s="13" t="s">
        <v>1248</v>
      </c>
      <c r="O71" s="13" t="s">
        <v>417</v>
      </c>
      <c r="P71" s="33">
        <f>SUM(Q71:AX71)</f>
        <v>0</v>
      </c>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2"/>
    </row>
    <row r="72" spans="1:51">
      <c r="A72" s="4">
        <v>67</v>
      </c>
      <c r="B72" s="11" t="s">
        <v>88</v>
      </c>
      <c r="C72" s="12"/>
      <c r="D72" s="12" t="s">
        <v>1249</v>
      </c>
      <c r="E72" s="13"/>
      <c r="F72" s="14"/>
      <c r="G72" s="18" t="s">
        <v>1237</v>
      </c>
      <c r="H72" s="12" t="s">
        <v>1207</v>
      </c>
      <c r="I72" s="18" t="s">
        <v>1250</v>
      </c>
      <c r="J72" s="13" t="s">
        <v>1240</v>
      </c>
      <c r="K72" s="33"/>
      <c r="L72" s="33"/>
      <c r="M72" s="33"/>
      <c r="N72" s="13" t="s">
        <v>1251</v>
      </c>
      <c r="O72" s="13" t="s">
        <v>417</v>
      </c>
      <c r="P72" s="33">
        <f>SUM(Q72:AX72)</f>
        <v>0</v>
      </c>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4"/>
    </row>
    <row r="73" spans="1:51">
      <c r="A73" s="4">
        <v>68</v>
      </c>
      <c r="B73" s="5" t="s">
        <v>88</v>
      </c>
      <c r="C73" s="6"/>
      <c r="D73" s="37" t="s">
        <v>1252</v>
      </c>
      <c r="E73" s="50"/>
      <c r="F73" s="37" t="s">
        <v>1253</v>
      </c>
      <c r="G73" s="53"/>
      <c r="H73" s="9"/>
      <c r="I73" s="7"/>
      <c r="J73" s="4"/>
      <c r="K73" s="31"/>
      <c r="L73" s="31"/>
      <c r="M73" s="31"/>
      <c r="N73" s="4"/>
      <c r="O73" s="4"/>
      <c r="P73" s="31"/>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9"/>
    </row>
    <row r="74" spans="1:51">
      <c r="A74" s="4">
        <v>69</v>
      </c>
      <c r="B74" s="11" t="s">
        <v>88</v>
      </c>
      <c r="C74" s="12"/>
      <c r="D74" s="12" t="s">
        <v>1254</v>
      </c>
      <c r="E74" s="13"/>
      <c r="F74" s="14"/>
      <c r="G74" s="18" t="s">
        <v>1255</v>
      </c>
      <c r="H74" s="12" t="s">
        <v>1207</v>
      </c>
      <c r="I74" s="18" t="s">
        <v>1255</v>
      </c>
      <c r="J74" s="13" t="s">
        <v>1256</v>
      </c>
      <c r="K74" s="33"/>
      <c r="L74" s="33"/>
      <c r="M74" s="33"/>
      <c r="N74" s="13" t="s">
        <v>1257</v>
      </c>
      <c r="O74" s="13" t="s">
        <v>1258</v>
      </c>
      <c r="P74" s="33">
        <f>SUM(Q74:AX74)</f>
        <v>0</v>
      </c>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2"/>
    </row>
    <row r="75" spans="1:51">
      <c r="A75" s="4">
        <v>70</v>
      </c>
      <c r="B75" s="11" t="s">
        <v>88</v>
      </c>
      <c r="C75" s="12"/>
      <c r="D75" s="12" t="s">
        <v>1259</v>
      </c>
      <c r="E75" s="13"/>
      <c r="F75" s="14"/>
      <c r="G75" s="18" t="s">
        <v>1255</v>
      </c>
      <c r="H75" s="12" t="s">
        <v>1207</v>
      </c>
      <c r="I75" s="18" t="s">
        <v>1260</v>
      </c>
      <c r="J75" s="13" t="s">
        <v>1256</v>
      </c>
      <c r="K75" s="33"/>
      <c r="L75" s="33"/>
      <c r="M75" s="33"/>
      <c r="N75" s="13" t="s">
        <v>1261</v>
      </c>
      <c r="O75" s="13" t="s">
        <v>1258</v>
      </c>
      <c r="P75" s="33">
        <f>SUM(Q75:AX75)</f>
        <v>0</v>
      </c>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4"/>
    </row>
    <row r="76" spans="1:51">
      <c r="A76" s="4">
        <v>71</v>
      </c>
      <c r="B76" s="5" t="s">
        <v>88</v>
      </c>
      <c r="C76" s="6"/>
      <c r="D76" s="37" t="s">
        <v>1262</v>
      </c>
      <c r="E76" s="50"/>
      <c r="F76" s="37" t="s">
        <v>1263</v>
      </c>
      <c r="G76" s="53"/>
      <c r="H76" s="9"/>
      <c r="I76" s="7"/>
      <c r="J76" s="4"/>
      <c r="K76" s="31"/>
      <c r="L76" s="31"/>
      <c r="M76" s="31"/>
      <c r="N76" s="4"/>
      <c r="O76" s="4"/>
      <c r="P76" s="31"/>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9"/>
    </row>
    <row r="77" spans="1:51">
      <c r="A77" s="4">
        <v>72</v>
      </c>
      <c r="B77" s="11" t="s">
        <v>88</v>
      </c>
      <c r="C77" s="12"/>
      <c r="D77" s="12" t="s">
        <v>1264</v>
      </c>
      <c r="E77" s="13"/>
      <c r="F77" s="14"/>
      <c r="G77" s="18" t="s">
        <v>1265</v>
      </c>
      <c r="H77" s="12" t="s">
        <v>1207</v>
      </c>
      <c r="I77" s="18" t="s">
        <v>1265</v>
      </c>
      <c r="J77" s="13" t="s">
        <v>1256</v>
      </c>
      <c r="K77" s="33"/>
      <c r="L77" s="33"/>
      <c r="M77" s="33"/>
      <c r="N77" s="13" t="s">
        <v>1266</v>
      </c>
      <c r="O77" s="13" t="s">
        <v>1258</v>
      </c>
      <c r="P77" s="33">
        <f>SUM(Q77:AX77)</f>
        <v>0</v>
      </c>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2"/>
    </row>
    <row r="78" spans="1:51">
      <c r="A78" s="4">
        <v>73</v>
      </c>
      <c r="B78" s="5" t="s">
        <v>88</v>
      </c>
      <c r="C78" s="6"/>
      <c r="D78" s="37" t="s">
        <v>1267</v>
      </c>
      <c r="E78" s="50"/>
      <c r="F78" s="37" t="s">
        <v>1268</v>
      </c>
      <c r="G78" s="53"/>
      <c r="H78" s="9"/>
      <c r="I78" s="7"/>
      <c r="J78" s="4"/>
      <c r="K78" s="31"/>
      <c r="L78" s="31"/>
      <c r="M78" s="31"/>
      <c r="N78" s="4"/>
      <c r="O78" s="4"/>
      <c r="P78" s="31"/>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9"/>
    </row>
    <row r="79" spans="1:51">
      <c r="A79" s="4">
        <v>74</v>
      </c>
      <c r="B79" s="11" t="s">
        <v>88</v>
      </c>
      <c r="C79" s="12"/>
      <c r="D79" s="12" t="s">
        <v>1269</v>
      </c>
      <c r="E79" s="13"/>
      <c r="F79" s="14"/>
      <c r="G79" s="18" t="s">
        <v>1270</v>
      </c>
      <c r="H79" s="12" t="s">
        <v>1207</v>
      </c>
      <c r="I79" s="18" t="s">
        <v>1271</v>
      </c>
      <c r="J79" s="13" t="s">
        <v>1272</v>
      </c>
      <c r="K79" s="33"/>
      <c r="L79" s="33"/>
      <c r="M79" s="33"/>
      <c r="N79" s="13" t="s">
        <v>1273</v>
      </c>
      <c r="O79" s="13" t="s">
        <v>417</v>
      </c>
      <c r="P79" s="33">
        <f>SUM(Q79:AX79)</f>
        <v>0</v>
      </c>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2"/>
    </row>
    <row r="80" spans="1:51">
      <c r="A80" s="4">
        <v>75</v>
      </c>
      <c r="B80" s="11" t="s">
        <v>88</v>
      </c>
      <c r="C80" s="12"/>
      <c r="D80" s="12" t="s">
        <v>1274</v>
      </c>
      <c r="E80" s="13"/>
      <c r="F80" s="14"/>
      <c r="G80" s="18" t="s">
        <v>1275</v>
      </c>
      <c r="H80" s="12" t="s">
        <v>1207</v>
      </c>
      <c r="I80" s="18" t="s">
        <v>1276</v>
      </c>
      <c r="J80" s="13" t="s">
        <v>1272</v>
      </c>
      <c r="K80" s="33"/>
      <c r="L80" s="33"/>
      <c r="M80" s="33"/>
      <c r="N80" s="13" t="s">
        <v>1277</v>
      </c>
      <c r="O80" s="13" t="s">
        <v>417</v>
      </c>
      <c r="P80" s="33">
        <f>SUM(Q80:AX80)</f>
        <v>0</v>
      </c>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2"/>
    </row>
    <row r="81" spans="1:51">
      <c r="A81" s="4">
        <v>76</v>
      </c>
      <c r="B81" s="11" t="s">
        <v>88</v>
      </c>
      <c r="C81" s="12"/>
      <c r="D81" s="12" t="s">
        <v>1278</v>
      </c>
      <c r="E81" s="13"/>
      <c r="F81" s="14"/>
      <c r="G81" s="18" t="s">
        <v>1279</v>
      </c>
      <c r="H81" s="12" t="s">
        <v>1207</v>
      </c>
      <c r="I81" s="18" t="s">
        <v>1280</v>
      </c>
      <c r="J81" s="13" t="s">
        <v>1272</v>
      </c>
      <c r="K81" s="33"/>
      <c r="L81" s="33"/>
      <c r="M81" s="33"/>
      <c r="N81" s="13" t="s">
        <v>1281</v>
      </c>
      <c r="O81" s="13" t="s">
        <v>417</v>
      </c>
      <c r="P81" s="33">
        <f>SUM(Q81:AX81)</f>
        <v>0</v>
      </c>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2"/>
    </row>
    <row r="82" spans="1:51">
      <c r="A82" s="4">
        <v>77</v>
      </c>
      <c r="B82" s="11" t="s">
        <v>88</v>
      </c>
      <c r="C82" s="12"/>
      <c r="D82" s="12" t="s">
        <v>1282</v>
      </c>
      <c r="E82" s="13"/>
      <c r="F82" s="14"/>
      <c r="G82" s="18" t="s">
        <v>1283</v>
      </c>
      <c r="H82" s="12" t="s">
        <v>1207</v>
      </c>
      <c r="I82" s="18" t="s">
        <v>1284</v>
      </c>
      <c r="J82" s="13" t="s">
        <v>1272</v>
      </c>
      <c r="K82" s="33"/>
      <c r="L82" s="33"/>
      <c r="M82" s="33"/>
      <c r="N82" s="13" t="s">
        <v>1285</v>
      </c>
      <c r="O82" s="13" t="s">
        <v>417</v>
      </c>
      <c r="P82" s="33">
        <f>SUM(Q82:AX82)</f>
        <v>0</v>
      </c>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2"/>
    </row>
    <row r="83" spans="1:51">
      <c r="A83" s="4">
        <v>78</v>
      </c>
      <c r="B83" s="5" t="s">
        <v>88</v>
      </c>
      <c r="C83" s="6"/>
      <c r="D83" s="37" t="s">
        <v>1286</v>
      </c>
      <c r="E83" s="50"/>
      <c r="F83" s="37" t="s">
        <v>1287</v>
      </c>
      <c r="G83" s="53"/>
      <c r="H83" s="9"/>
      <c r="I83" s="7"/>
      <c r="J83" s="4"/>
      <c r="K83" s="31"/>
      <c r="L83" s="31"/>
      <c r="M83" s="31"/>
      <c r="N83" s="4"/>
      <c r="O83" s="4"/>
      <c r="P83" s="31"/>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9"/>
    </row>
    <row r="84" spans="1:51" ht="39.6" customHeight="1">
      <c r="A84" s="4">
        <v>79</v>
      </c>
      <c r="B84" s="11" t="s">
        <v>88</v>
      </c>
      <c r="C84" s="12"/>
      <c r="D84" s="12" t="s">
        <v>1288</v>
      </c>
      <c r="E84" s="13"/>
      <c r="F84" s="14"/>
      <c r="G84" s="18" t="s">
        <v>1289</v>
      </c>
      <c r="H84" s="12" t="s">
        <v>1207</v>
      </c>
      <c r="I84" s="18" t="s">
        <v>1289</v>
      </c>
      <c r="J84" s="13" t="s">
        <v>1272</v>
      </c>
      <c r="K84" s="33"/>
      <c r="L84" s="33"/>
      <c r="M84" s="33"/>
      <c r="N84" s="13" t="s">
        <v>1290</v>
      </c>
      <c r="O84" s="13" t="s">
        <v>417</v>
      </c>
      <c r="P84" s="33">
        <f>SUM(Q84:AX84)</f>
        <v>0</v>
      </c>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2"/>
    </row>
    <row r="85" spans="1:51" ht="39.6" customHeight="1">
      <c r="A85" s="4">
        <v>80</v>
      </c>
      <c r="B85" s="11" t="s">
        <v>88</v>
      </c>
      <c r="C85" s="12"/>
      <c r="D85" s="12" t="s">
        <v>1291</v>
      </c>
      <c r="E85" s="13"/>
      <c r="F85" s="14"/>
      <c r="G85" s="18" t="s">
        <v>1292</v>
      </c>
      <c r="H85" s="12" t="s">
        <v>1207</v>
      </c>
      <c r="I85" s="18" t="s">
        <v>1292</v>
      </c>
      <c r="J85" s="13" t="s">
        <v>1272</v>
      </c>
      <c r="K85" s="33"/>
      <c r="L85" s="33"/>
      <c r="M85" s="33"/>
      <c r="N85" s="13" t="s">
        <v>1293</v>
      </c>
      <c r="O85" s="13" t="s">
        <v>417</v>
      </c>
      <c r="P85" s="33">
        <f>SUM(Q85:AX85)</f>
        <v>0</v>
      </c>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2"/>
    </row>
    <row r="86" spans="1:51">
      <c r="A86" s="4">
        <v>81</v>
      </c>
      <c r="B86" s="5" t="s">
        <v>88</v>
      </c>
      <c r="C86" s="6"/>
      <c r="D86" s="37" t="s">
        <v>1294</v>
      </c>
      <c r="E86" s="50"/>
      <c r="F86" s="37" t="s">
        <v>1295</v>
      </c>
      <c r="G86" s="53"/>
      <c r="H86" s="9"/>
      <c r="I86" s="7"/>
      <c r="J86" s="4"/>
      <c r="K86" s="31"/>
      <c r="L86" s="31"/>
      <c r="M86" s="31"/>
      <c r="N86" s="4"/>
      <c r="O86" s="4"/>
      <c r="P86" s="31"/>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9"/>
    </row>
    <row r="87" spans="1:51">
      <c r="A87" s="4">
        <v>82</v>
      </c>
      <c r="B87" s="11" t="s">
        <v>88</v>
      </c>
      <c r="C87" s="12"/>
      <c r="D87" s="12" t="s">
        <v>1296</v>
      </c>
      <c r="E87" s="13"/>
      <c r="F87" s="14"/>
      <c r="G87" s="15"/>
      <c r="H87" s="12" t="s">
        <v>1207</v>
      </c>
      <c r="I87" s="18" t="s">
        <v>1297</v>
      </c>
      <c r="J87" s="13" t="s">
        <v>1298</v>
      </c>
      <c r="K87" s="33"/>
      <c r="L87" s="33"/>
      <c r="M87" s="33"/>
      <c r="N87" s="13" t="s">
        <v>1299</v>
      </c>
      <c r="O87" s="13" t="s">
        <v>417</v>
      </c>
      <c r="P87" s="33">
        <f>SUM(Q87:AX87)</f>
        <v>0</v>
      </c>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2"/>
    </row>
    <row r="88" spans="1:51">
      <c r="A88" s="4">
        <v>83</v>
      </c>
      <c r="B88" s="11" t="s">
        <v>88</v>
      </c>
      <c r="C88" s="12"/>
      <c r="D88" s="12" t="s">
        <v>1300</v>
      </c>
      <c r="E88" s="13"/>
      <c r="F88" s="14"/>
      <c r="G88" s="15"/>
      <c r="H88" s="12" t="s">
        <v>1207</v>
      </c>
      <c r="I88" s="18" t="s">
        <v>1301</v>
      </c>
      <c r="J88" s="13" t="s">
        <v>1298</v>
      </c>
      <c r="K88" s="33"/>
      <c r="L88" s="33"/>
      <c r="M88" s="33"/>
      <c r="N88" s="13" t="s">
        <v>1302</v>
      </c>
      <c r="O88" s="13" t="s">
        <v>417</v>
      </c>
      <c r="P88" s="33">
        <f>SUM(Q88:AX88)</f>
        <v>0</v>
      </c>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2"/>
    </row>
    <row r="89" spans="1:51">
      <c r="A89" s="4">
        <v>84</v>
      </c>
      <c r="B89" s="5" t="s">
        <v>88</v>
      </c>
      <c r="C89" s="6"/>
      <c r="D89" s="37" t="s">
        <v>1303</v>
      </c>
      <c r="E89" s="50"/>
      <c r="F89" s="37" t="s">
        <v>1304</v>
      </c>
      <c r="G89" s="53"/>
      <c r="H89" s="9"/>
      <c r="I89" s="7"/>
      <c r="J89" s="4"/>
      <c r="K89" s="31"/>
      <c r="L89" s="31"/>
      <c r="M89" s="31"/>
      <c r="N89" s="4"/>
      <c r="O89" s="4"/>
      <c r="P89" s="31"/>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9"/>
    </row>
    <row r="90" spans="1:51">
      <c r="A90" s="4">
        <v>85</v>
      </c>
      <c r="B90" s="11" t="s">
        <v>88</v>
      </c>
      <c r="C90" s="12"/>
      <c r="D90" s="12" t="s">
        <v>1305</v>
      </c>
      <c r="E90" s="13"/>
      <c r="F90" s="14"/>
      <c r="G90" s="15"/>
      <c r="H90" s="12" t="s">
        <v>1207</v>
      </c>
      <c r="I90" s="18" t="s">
        <v>1306</v>
      </c>
      <c r="J90" s="13" t="s">
        <v>1272</v>
      </c>
      <c r="K90" s="33"/>
      <c r="L90" s="33"/>
      <c r="M90" s="33"/>
      <c r="N90" s="13" t="s">
        <v>1307</v>
      </c>
      <c r="O90" s="13" t="s">
        <v>417</v>
      </c>
      <c r="P90" s="33">
        <f>SUM(Q90:AX90)</f>
        <v>0</v>
      </c>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2"/>
    </row>
    <row r="91" spans="1:51">
      <c r="A91" s="4">
        <v>86</v>
      </c>
      <c r="B91" s="5" t="s">
        <v>88</v>
      </c>
      <c r="C91" s="6"/>
      <c r="D91" s="37" t="s">
        <v>1308</v>
      </c>
      <c r="E91" s="50"/>
      <c r="F91" s="37" t="s">
        <v>1309</v>
      </c>
      <c r="G91" s="53"/>
      <c r="H91" s="9"/>
      <c r="I91" s="7"/>
      <c r="J91" s="4"/>
      <c r="K91" s="31"/>
      <c r="L91" s="31"/>
      <c r="M91" s="31"/>
      <c r="N91" s="4"/>
      <c r="O91" s="4"/>
      <c r="P91" s="31"/>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6"/>
    </row>
    <row r="92" spans="1:51">
      <c r="A92" s="4">
        <v>87</v>
      </c>
      <c r="B92" s="11" t="s">
        <v>88</v>
      </c>
      <c r="C92" s="12"/>
      <c r="D92" s="12" t="s">
        <v>1310</v>
      </c>
      <c r="E92" s="13"/>
      <c r="F92" s="14"/>
      <c r="G92" s="15"/>
      <c r="H92" s="12" t="s">
        <v>1207</v>
      </c>
      <c r="I92" s="18" t="s">
        <v>1311</v>
      </c>
      <c r="J92" s="13" t="s">
        <v>1272</v>
      </c>
      <c r="K92" s="33"/>
      <c r="L92" s="33"/>
      <c r="M92" s="33"/>
      <c r="N92" s="13" t="s">
        <v>1312</v>
      </c>
      <c r="O92" s="13" t="s">
        <v>417</v>
      </c>
      <c r="P92" s="33">
        <f>SUM(Q92:AX92)</f>
        <v>0</v>
      </c>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4"/>
    </row>
    <row r="93" spans="1:51">
      <c r="A93" s="4">
        <v>88</v>
      </c>
      <c r="B93" s="5" t="s">
        <v>88</v>
      </c>
      <c r="C93" s="6"/>
      <c r="D93" s="37" t="s">
        <v>1313</v>
      </c>
      <c r="E93" s="50"/>
      <c r="F93" s="37" t="s">
        <v>1314</v>
      </c>
      <c r="G93" s="53"/>
      <c r="H93" s="9"/>
      <c r="I93" s="7"/>
      <c r="J93" s="4"/>
      <c r="K93" s="31"/>
      <c r="L93" s="31"/>
      <c r="M93" s="31"/>
      <c r="N93" s="4"/>
      <c r="O93" s="4"/>
      <c r="P93" s="31"/>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9"/>
    </row>
    <row r="94" spans="1:51" ht="26.45" customHeight="1">
      <c r="A94" s="4">
        <v>89</v>
      </c>
      <c r="B94" s="21" t="s">
        <v>88</v>
      </c>
      <c r="C94" s="3"/>
      <c r="D94" s="1"/>
      <c r="E94" s="2"/>
      <c r="F94" s="1"/>
      <c r="G94" s="26" t="s">
        <v>1315</v>
      </c>
      <c r="H94" s="1"/>
      <c r="I94" s="22"/>
      <c r="J94" s="2"/>
      <c r="K94" s="32"/>
      <c r="L94" s="32"/>
      <c r="M94" s="32"/>
      <c r="N94" s="2"/>
      <c r="O94" s="2"/>
      <c r="P94" s="32"/>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1"/>
    </row>
    <row r="95" spans="1:51" ht="26.45" customHeight="1">
      <c r="A95" s="4">
        <v>90</v>
      </c>
      <c r="B95" s="11" t="s">
        <v>88</v>
      </c>
      <c r="C95" s="12"/>
      <c r="D95" s="12" t="s">
        <v>1316</v>
      </c>
      <c r="E95" s="13"/>
      <c r="F95" s="14"/>
      <c r="G95" s="18" t="s">
        <v>1317</v>
      </c>
      <c r="H95" s="12" t="s">
        <v>1207</v>
      </c>
      <c r="I95" s="18" t="s">
        <v>1318</v>
      </c>
      <c r="J95" s="13" t="s">
        <v>1272</v>
      </c>
      <c r="K95" s="33"/>
      <c r="L95" s="33"/>
      <c r="M95" s="33"/>
      <c r="N95" s="13" t="s">
        <v>1319</v>
      </c>
      <c r="O95" s="13" t="s">
        <v>417</v>
      </c>
      <c r="P95" s="33">
        <f>SUM(Q95:AX95)</f>
        <v>0</v>
      </c>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2"/>
    </row>
    <row r="96" spans="1:51">
      <c r="A96" s="4">
        <v>91</v>
      </c>
      <c r="B96" s="5" t="s">
        <v>88</v>
      </c>
      <c r="C96" s="6"/>
      <c r="D96" s="37" t="s">
        <v>1320</v>
      </c>
      <c r="E96" s="50"/>
      <c r="F96" s="37" t="s">
        <v>1321</v>
      </c>
      <c r="G96" s="53"/>
      <c r="H96" s="9"/>
      <c r="I96" s="7"/>
      <c r="J96" s="4"/>
      <c r="K96" s="31"/>
      <c r="L96" s="31"/>
      <c r="M96" s="31"/>
      <c r="N96" s="4"/>
      <c r="O96" s="4"/>
      <c r="P96" s="31"/>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9"/>
    </row>
    <row r="97" spans="1:51">
      <c r="A97" s="4">
        <v>92</v>
      </c>
      <c r="B97" s="11" t="s">
        <v>88</v>
      </c>
      <c r="C97" s="12"/>
      <c r="D97" s="12" t="s">
        <v>1322</v>
      </c>
      <c r="E97" s="13"/>
      <c r="F97" s="14"/>
      <c r="G97" s="18" t="s">
        <v>1323</v>
      </c>
      <c r="H97" s="12" t="s">
        <v>1324</v>
      </c>
      <c r="I97" s="18" t="s">
        <v>1325</v>
      </c>
      <c r="J97" s="13" t="s">
        <v>1326</v>
      </c>
      <c r="K97" s="33"/>
      <c r="L97" s="33"/>
      <c r="M97" s="33"/>
      <c r="N97" s="13" t="s">
        <v>1327</v>
      </c>
      <c r="O97" s="13" t="s">
        <v>417</v>
      </c>
      <c r="P97" s="33">
        <f>SUM(Q97:AX97)</f>
        <v>0</v>
      </c>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2"/>
    </row>
    <row r="98" spans="1:51">
      <c r="A98" s="4">
        <v>93</v>
      </c>
      <c r="B98" s="11" t="s">
        <v>88</v>
      </c>
      <c r="C98" s="12"/>
      <c r="D98" s="12" t="s">
        <v>1328</v>
      </c>
      <c r="E98" s="13"/>
      <c r="F98" s="14"/>
      <c r="G98" s="18" t="s">
        <v>1323</v>
      </c>
      <c r="H98" s="12" t="s">
        <v>1324</v>
      </c>
      <c r="I98" s="18" t="s">
        <v>1329</v>
      </c>
      <c r="J98" s="13" t="s">
        <v>1326</v>
      </c>
      <c r="K98" s="33"/>
      <c r="L98" s="33"/>
      <c r="M98" s="33"/>
      <c r="N98" s="13" t="s">
        <v>1330</v>
      </c>
      <c r="O98" s="13" t="s">
        <v>417</v>
      </c>
      <c r="P98" s="33">
        <f>SUM(Q98:AX98)</f>
        <v>0</v>
      </c>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2"/>
    </row>
    <row r="99" spans="1:51">
      <c r="A99" s="4">
        <v>94</v>
      </c>
      <c r="B99" s="11" t="s">
        <v>88</v>
      </c>
      <c r="C99" s="12"/>
      <c r="D99" s="12" t="s">
        <v>1331</v>
      </c>
      <c r="E99" s="13"/>
      <c r="F99" s="14"/>
      <c r="G99" s="18" t="s">
        <v>1323</v>
      </c>
      <c r="H99" s="12" t="s">
        <v>1324</v>
      </c>
      <c r="I99" s="18" t="s">
        <v>1332</v>
      </c>
      <c r="J99" s="13" t="s">
        <v>1326</v>
      </c>
      <c r="K99" s="33"/>
      <c r="L99" s="33"/>
      <c r="M99" s="33"/>
      <c r="N99" s="13" t="s">
        <v>1333</v>
      </c>
      <c r="O99" s="13" t="s">
        <v>417</v>
      </c>
      <c r="P99" s="33">
        <f>SUM(Q99:AX99)</f>
        <v>285</v>
      </c>
      <c r="Q99" s="17"/>
      <c r="R99" s="17"/>
      <c r="S99" s="17"/>
      <c r="T99" s="17"/>
      <c r="U99" s="17"/>
      <c r="V99" s="17"/>
      <c r="W99" s="17">
        <f>50+48</f>
        <v>98</v>
      </c>
      <c r="X99" s="17">
        <f>50+40</f>
        <v>90</v>
      </c>
      <c r="Y99" s="17"/>
      <c r="Z99" s="17"/>
      <c r="AA99" s="17">
        <f>50+47</f>
        <v>97</v>
      </c>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2"/>
    </row>
    <row r="100" spans="1:51">
      <c r="A100" s="4">
        <v>95</v>
      </c>
      <c r="B100" s="11" t="s">
        <v>88</v>
      </c>
      <c r="C100" s="12"/>
      <c r="D100" s="12" t="s">
        <v>1334</v>
      </c>
      <c r="E100" s="13"/>
      <c r="F100" s="14"/>
      <c r="G100" s="18" t="s">
        <v>1323</v>
      </c>
      <c r="H100" s="12" t="s">
        <v>1324</v>
      </c>
      <c r="I100" s="18" t="s">
        <v>1335</v>
      </c>
      <c r="J100" s="13" t="s">
        <v>1326</v>
      </c>
      <c r="K100" s="33"/>
      <c r="L100" s="33"/>
      <c r="M100" s="33"/>
      <c r="N100" s="13" t="s">
        <v>1336</v>
      </c>
      <c r="O100" s="13" t="s">
        <v>417</v>
      </c>
      <c r="P100" s="33">
        <f>SUM(Q100:AX100)</f>
        <v>0</v>
      </c>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4"/>
    </row>
    <row r="101" spans="1:51">
      <c r="A101" s="4">
        <v>96</v>
      </c>
      <c r="B101" s="11" t="s">
        <v>88</v>
      </c>
      <c r="C101" s="12"/>
      <c r="D101" s="12" t="s">
        <v>1337</v>
      </c>
      <c r="E101" s="13"/>
      <c r="F101" s="14"/>
      <c r="G101" s="18" t="s">
        <v>1323</v>
      </c>
      <c r="H101" s="12" t="s">
        <v>1324</v>
      </c>
      <c r="I101" s="18" t="s">
        <v>1338</v>
      </c>
      <c r="J101" s="13" t="s">
        <v>1326</v>
      </c>
      <c r="K101" s="33"/>
      <c r="L101" s="33"/>
      <c r="M101" s="33"/>
      <c r="N101" s="13" t="s">
        <v>1339</v>
      </c>
      <c r="O101" s="13" t="s">
        <v>417</v>
      </c>
      <c r="P101" s="33">
        <f>SUM(Q101:AX101)</f>
        <v>0</v>
      </c>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4"/>
    </row>
    <row r="102" spans="1:51">
      <c r="A102" s="4">
        <v>97</v>
      </c>
      <c r="B102" s="5" t="s">
        <v>88</v>
      </c>
      <c r="C102" s="6"/>
      <c r="D102" s="37" t="s">
        <v>1340</v>
      </c>
      <c r="E102" s="50"/>
      <c r="F102" s="37" t="s">
        <v>1341</v>
      </c>
      <c r="G102" s="53"/>
      <c r="H102" s="9"/>
      <c r="I102" s="7"/>
      <c r="J102" s="4"/>
      <c r="K102" s="31"/>
      <c r="L102" s="31"/>
      <c r="M102" s="31"/>
      <c r="N102" s="4"/>
      <c r="O102" s="4"/>
      <c r="P102" s="31"/>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9"/>
    </row>
    <row r="103" spans="1:51" ht="26.45" customHeight="1">
      <c r="A103" s="4">
        <v>98</v>
      </c>
      <c r="B103" s="21" t="s">
        <v>88</v>
      </c>
      <c r="C103" s="3"/>
      <c r="D103" s="1"/>
      <c r="E103" s="2"/>
      <c r="F103" s="1"/>
      <c r="G103" s="26" t="s">
        <v>1342</v>
      </c>
      <c r="H103" s="1"/>
      <c r="I103" s="22"/>
      <c r="J103" s="2"/>
      <c r="K103" s="32"/>
      <c r="L103" s="32"/>
      <c r="M103" s="32"/>
      <c r="N103" s="2"/>
      <c r="O103" s="2"/>
      <c r="P103" s="32"/>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1"/>
    </row>
    <row r="104" spans="1:51">
      <c r="A104" s="4">
        <v>99</v>
      </c>
      <c r="B104" s="21" t="s">
        <v>88</v>
      </c>
      <c r="C104" s="3"/>
      <c r="D104" s="1"/>
      <c r="E104" s="2"/>
      <c r="F104" s="1"/>
      <c r="G104" s="26" t="s">
        <v>1343</v>
      </c>
      <c r="H104" s="1"/>
      <c r="I104" s="22"/>
      <c r="J104" s="2"/>
      <c r="K104" s="32"/>
      <c r="L104" s="32"/>
      <c r="M104" s="32"/>
      <c r="N104" s="2"/>
      <c r="O104" s="2"/>
      <c r="P104" s="32"/>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c r="AU104" s="25"/>
      <c r="AV104" s="25"/>
      <c r="AW104" s="25"/>
      <c r="AX104" s="25"/>
      <c r="AY104" s="1"/>
    </row>
    <row r="105" spans="1:51" ht="39.6" customHeight="1">
      <c r="A105" s="4">
        <v>100</v>
      </c>
      <c r="B105" s="21" t="s">
        <v>88</v>
      </c>
      <c r="C105" s="3"/>
      <c r="D105" s="1"/>
      <c r="E105" s="2"/>
      <c r="F105" s="1"/>
      <c r="G105" s="26" t="s">
        <v>1344</v>
      </c>
      <c r="H105" s="1"/>
      <c r="I105" s="22"/>
      <c r="J105" s="2"/>
      <c r="K105" s="32"/>
      <c r="L105" s="32"/>
      <c r="M105" s="32"/>
      <c r="N105" s="2"/>
      <c r="O105" s="2"/>
      <c r="P105" s="32"/>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1"/>
    </row>
    <row r="106" spans="1:51">
      <c r="A106" s="4">
        <v>101</v>
      </c>
      <c r="B106" s="21" t="s">
        <v>88</v>
      </c>
      <c r="C106" s="3"/>
      <c r="D106" s="1"/>
      <c r="E106" s="2"/>
      <c r="F106" s="1"/>
      <c r="G106" s="26" t="s">
        <v>1345</v>
      </c>
      <c r="H106" s="1"/>
      <c r="I106" s="22"/>
      <c r="J106" s="2"/>
      <c r="K106" s="32"/>
      <c r="L106" s="32"/>
      <c r="M106" s="32"/>
      <c r="N106" s="2"/>
      <c r="O106" s="2"/>
      <c r="P106" s="32"/>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1"/>
    </row>
    <row r="107" spans="1:51">
      <c r="A107" s="4">
        <v>102</v>
      </c>
      <c r="B107" s="11" t="s">
        <v>88</v>
      </c>
      <c r="C107" s="12"/>
      <c r="D107" s="12" t="s">
        <v>1346</v>
      </c>
      <c r="E107" s="13"/>
      <c r="F107" s="14"/>
      <c r="G107" s="15"/>
      <c r="H107" s="12" t="s">
        <v>1207</v>
      </c>
      <c r="I107" s="18" t="s">
        <v>1347</v>
      </c>
      <c r="J107" s="13" t="s">
        <v>1348</v>
      </c>
      <c r="K107" s="33"/>
      <c r="L107" s="33"/>
      <c r="M107" s="33"/>
      <c r="N107" s="13" t="s">
        <v>1349</v>
      </c>
      <c r="O107" s="13" t="s">
        <v>417</v>
      </c>
      <c r="P107" s="33">
        <f>SUM(Q107:AX107)</f>
        <v>0</v>
      </c>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2"/>
    </row>
    <row r="108" spans="1:51">
      <c r="A108" s="4">
        <v>103</v>
      </c>
      <c r="B108" s="11" t="s">
        <v>88</v>
      </c>
      <c r="C108" s="12"/>
      <c r="D108" s="12" t="s">
        <v>1350</v>
      </c>
      <c r="E108" s="13"/>
      <c r="F108" s="14"/>
      <c r="G108" s="15"/>
      <c r="H108" s="12" t="s">
        <v>1207</v>
      </c>
      <c r="I108" s="18" t="s">
        <v>1351</v>
      </c>
      <c r="J108" s="13" t="s">
        <v>1348</v>
      </c>
      <c r="K108" s="33"/>
      <c r="L108" s="33"/>
      <c r="M108" s="33"/>
      <c r="N108" s="13" t="s">
        <v>1352</v>
      </c>
      <c r="O108" s="13" t="s">
        <v>417</v>
      </c>
      <c r="P108" s="33">
        <f>SUM(Q108:AX108)</f>
        <v>0</v>
      </c>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2"/>
    </row>
    <row r="109" spans="1:51">
      <c r="A109" s="4">
        <v>104</v>
      </c>
      <c r="B109" s="11" t="s">
        <v>88</v>
      </c>
      <c r="C109" s="12"/>
      <c r="D109" s="12" t="s">
        <v>1353</v>
      </c>
      <c r="E109" s="13"/>
      <c r="F109" s="14"/>
      <c r="G109" s="15"/>
      <c r="H109" s="12" t="s">
        <v>1207</v>
      </c>
      <c r="I109" s="18" t="s">
        <v>1354</v>
      </c>
      <c r="J109" s="13" t="s">
        <v>1348</v>
      </c>
      <c r="K109" s="33"/>
      <c r="L109" s="33"/>
      <c r="M109" s="33"/>
      <c r="N109" s="13" t="s">
        <v>1355</v>
      </c>
      <c r="O109" s="13" t="s">
        <v>417</v>
      </c>
      <c r="P109" s="33">
        <f>SUM(Q109:AX109)</f>
        <v>0</v>
      </c>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2"/>
    </row>
    <row r="110" spans="1:51">
      <c r="A110" s="4">
        <v>105</v>
      </c>
      <c r="B110" s="11" t="s">
        <v>88</v>
      </c>
      <c r="C110" s="12"/>
      <c r="D110" s="12" t="s">
        <v>1356</v>
      </c>
      <c r="E110" s="13"/>
      <c r="F110" s="14"/>
      <c r="G110" s="15"/>
      <c r="H110" s="12" t="s">
        <v>1207</v>
      </c>
      <c r="I110" s="18" t="s">
        <v>1357</v>
      </c>
      <c r="J110" s="13" t="s">
        <v>1348</v>
      </c>
      <c r="K110" s="33"/>
      <c r="L110" s="33"/>
      <c r="M110" s="33"/>
      <c r="N110" s="13" t="s">
        <v>1358</v>
      </c>
      <c r="O110" s="13" t="s">
        <v>417</v>
      </c>
      <c r="P110" s="33">
        <f>SUM(Q110:AX110)</f>
        <v>0</v>
      </c>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2"/>
    </row>
    <row r="111" spans="1:51">
      <c r="A111" s="4">
        <v>106</v>
      </c>
      <c r="B111" s="11" t="s">
        <v>88</v>
      </c>
      <c r="C111" s="12"/>
      <c r="D111" s="12" t="s">
        <v>1359</v>
      </c>
      <c r="E111" s="13"/>
      <c r="F111" s="14"/>
      <c r="G111" s="15"/>
      <c r="H111" s="12" t="s">
        <v>1207</v>
      </c>
      <c r="I111" s="18" t="s">
        <v>1360</v>
      </c>
      <c r="J111" s="13" t="s">
        <v>1348</v>
      </c>
      <c r="K111" s="33"/>
      <c r="L111" s="33"/>
      <c r="M111" s="33"/>
      <c r="N111" s="13" t="s">
        <v>1361</v>
      </c>
      <c r="O111" s="13" t="s">
        <v>417</v>
      </c>
      <c r="P111" s="33">
        <f>SUM(Q111:AX111)</f>
        <v>0</v>
      </c>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2"/>
    </row>
    <row r="112" spans="1:51">
      <c r="A112" s="4">
        <v>107</v>
      </c>
      <c r="B112" s="11" t="s">
        <v>88</v>
      </c>
      <c r="C112" s="12"/>
      <c r="D112" s="12" t="s">
        <v>1362</v>
      </c>
      <c r="E112" s="13"/>
      <c r="F112" s="14"/>
      <c r="G112" s="15"/>
      <c r="H112" s="12" t="s">
        <v>1207</v>
      </c>
      <c r="I112" s="18" t="s">
        <v>1363</v>
      </c>
      <c r="J112" s="13" t="s">
        <v>1348</v>
      </c>
      <c r="K112" s="33"/>
      <c r="L112" s="33"/>
      <c r="M112" s="33"/>
      <c r="N112" s="13" t="s">
        <v>1364</v>
      </c>
      <c r="O112" s="13" t="s">
        <v>417</v>
      </c>
      <c r="P112" s="33">
        <f>SUM(Q112:AX112)</f>
        <v>0</v>
      </c>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2"/>
    </row>
    <row r="113" spans="1:51">
      <c r="A113" s="4">
        <v>108</v>
      </c>
      <c r="B113" s="5" t="s">
        <v>88</v>
      </c>
      <c r="C113" s="6"/>
      <c r="D113" s="37" t="s">
        <v>1365</v>
      </c>
      <c r="E113" s="50"/>
      <c r="F113" s="37" t="s">
        <v>1366</v>
      </c>
      <c r="G113" s="53"/>
      <c r="H113" s="9"/>
      <c r="I113" s="7"/>
      <c r="J113" s="4"/>
      <c r="K113" s="31"/>
      <c r="L113" s="31"/>
      <c r="M113" s="31"/>
      <c r="N113" s="4"/>
      <c r="O113" s="4"/>
      <c r="P113" s="31"/>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9"/>
    </row>
    <row r="114" spans="1:51" ht="26.45" customHeight="1">
      <c r="A114" s="4">
        <v>109</v>
      </c>
      <c r="B114" s="21" t="s">
        <v>88</v>
      </c>
      <c r="C114" s="3"/>
      <c r="D114" s="1"/>
      <c r="E114" s="2"/>
      <c r="F114" s="1"/>
      <c r="G114" s="26" t="s">
        <v>1367</v>
      </c>
      <c r="H114" s="1"/>
      <c r="I114" s="22"/>
      <c r="J114" s="2"/>
      <c r="K114" s="32"/>
      <c r="L114" s="32"/>
      <c r="M114" s="32"/>
      <c r="N114" s="2"/>
      <c r="O114" s="2"/>
      <c r="P114" s="32"/>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1"/>
    </row>
    <row r="115" spans="1:51">
      <c r="A115" s="4">
        <v>110</v>
      </c>
      <c r="B115" s="21" t="s">
        <v>88</v>
      </c>
      <c r="C115" s="3"/>
      <c r="D115" s="1"/>
      <c r="E115" s="2"/>
      <c r="F115" s="1"/>
      <c r="G115" s="26" t="s">
        <v>1368</v>
      </c>
      <c r="H115" s="1"/>
      <c r="I115" s="22"/>
      <c r="J115" s="2"/>
      <c r="K115" s="32"/>
      <c r="L115" s="32"/>
      <c r="M115" s="32"/>
      <c r="N115" s="2"/>
      <c r="O115" s="2"/>
      <c r="P115" s="32"/>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1"/>
    </row>
    <row r="116" spans="1:51" ht="39.6" customHeight="1">
      <c r="A116" s="4">
        <v>111</v>
      </c>
      <c r="B116" s="21" t="s">
        <v>88</v>
      </c>
      <c r="C116" s="3"/>
      <c r="D116" s="1"/>
      <c r="E116" s="2"/>
      <c r="F116" s="1"/>
      <c r="G116" s="26" t="s">
        <v>1344</v>
      </c>
      <c r="H116" s="1"/>
      <c r="I116" s="22"/>
      <c r="J116" s="2"/>
      <c r="K116" s="32"/>
      <c r="L116" s="32"/>
      <c r="M116" s="32"/>
      <c r="N116" s="2"/>
      <c r="O116" s="2"/>
      <c r="P116" s="32"/>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1"/>
    </row>
    <row r="117" spans="1:51">
      <c r="A117" s="4">
        <v>112</v>
      </c>
      <c r="B117" s="21" t="s">
        <v>88</v>
      </c>
      <c r="C117" s="3"/>
      <c r="D117" s="1"/>
      <c r="E117" s="2"/>
      <c r="F117" s="1"/>
      <c r="G117" s="26" t="s">
        <v>1369</v>
      </c>
      <c r="H117" s="1"/>
      <c r="I117" s="22"/>
      <c r="J117" s="2"/>
      <c r="K117" s="32"/>
      <c r="L117" s="32"/>
      <c r="M117" s="32"/>
      <c r="N117" s="2"/>
      <c r="O117" s="2"/>
      <c r="P117" s="32"/>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1"/>
    </row>
    <row r="118" spans="1:51">
      <c r="A118" s="4">
        <v>113</v>
      </c>
      <c r="B118" s="11" t="s">
        <v>88</v>
      </c>
      <c r="C118" s="12"/>
      <c r="D118" s="12" t="s">
        <v>1370</v>
      </c>
      <c r="E118" s="13"/>
      <c r="F118" s="14"/>
      <c r="G118" s="15"/>
      <c r="H118" s="12" t="s">
        <v>1207</v>
      </c>
      <c r="I118" s="18" t="s">
        <v>1371</v>
      </c>
      <c r="J118" s="13" t="s">
        <v>1348</v>
      </c>
      <c r="K118" s="33"/>
      <c r="L118" s="33"/>
      <c r="M118" s="33"/>
      <c r="N118" s="13" t="s">
        <v>1372</v>
      </c>
      <c r="O118" s="13" t="s">
        <v>417</v>
      </c>
      <c r="P118" s="33">
        <f>SUM(Q118:AX118)</f>
        <v>0</v>
      </c>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2"/>
    </row>
    <row r="119" spans="1:51">
      <c r="A119" s="4">
        <v>114</v>
      </c>
      <c r="B119" s="11" t="s">
        <v>88</v>
      </c>
      <c r="C119" s="12"/>
      <c r="D119" s="12" t="s">
        <v>1373</v>
      </c>
      <c r="E119" s="13"/>
      <c r="F119" s="14"/>
      <c r="G119" s="15"/>
      <c r="H119" s="12" t="s">
        <v>1207</v>
      </c>
      <c r="I119" s="18" t="s">
        <v>1374</v>
      </c>
      <c r="J119" s="13" t="s">
        <v>1348</v>
      </c>
      <c r="K119" s="33"/>
      <c r="L119" s="33"/>
      <c r="M119" s="33"/>
      <c r="N119" s="13" t="s">
        <v>1375</v>
      </c>
      <c r="O119" s="13" t="s">
        <v>417</v>
      </c>
      <c r="P119" s="33">
        <f>SUM(Q119:AX119)</f>
        <v>0</v>
      </c>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2"/>
    </row>
    <row r="120" spans="1:51">
      <c r="A120" s="4">
        <v>115</v>
      </c>
      <c r="B120" s="11" t="s">
        <v>88</v>
      </c>
      <c r="C120" s="12"/>
      <c r="D120" s="12" t="s">
        <v>1376</v>
      </c>
      <c r="E120" s="13"/>
      <c r="F120" s="14"/>
      <c r="G120" s="15"/>
      <c r="H120" s="12" t="s">
        <v>1207</v>
      </c>
      <c r="I120" s="18" t="s">
        <v>1377</v>
      </c>
      <c r="J120" s="13" t="s">
        <v>1348</v>
      </c>
      <c r="K120" s="33"/>
      <c r="L120" s="33"/>
      <c r="M120" s="33"/>
      <c r="N120" s="13" t="s">
        <v>1378</v>
      </c>
      <c r="O120" s="13" t="s">
        <v>417</v>
      </c>
      <c r="P120" s="33">
        <f>SUM(Q120:AX120)</f>
        <v>0</v>
      </c>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2"/>
    </row>
    <row r="121" spans="1:51">
      <c r="A121" s="4">
        <v>116</v>
      </c>
      <c r="B121" s="11" t="s">
        <v>88</v>
      </c>
      <c r="C121" s="12"/>
      <c r="D121" s="12" t="s">
        <v>1379</v>
      </c>
      <c r="E121" s="13"/>
      <c r="F121" s="14"/>
      <c r="G121" s="15"/>
      <c r="H121" s="12" t="s">
        <v>1207</v>
      </c>
      <c r="I121" s="18" t="s">
        <v>1380</v>
      </c>
      <c r="J121" s="13" t="s">
        <v>1348</v>
      </c>
      <c r="K121" s="33"/>
      <c r="L121" s="33"/>
      <c r="M121" s="33"/>
      <c r="N121" s="13" t="s">
        <v>1381</v>
      </c>
      <c r="O121" s="13" t="s">
        <v>417</v>
      </c>
      <c r="P121" s="33">
        <f>SUM(Q121:AX121)</f>
        <v>0</v>
      </c>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2"/>
    </row>
    <row r="122" spans="1:51">
      <c r="A122" s="4">
        <v>117</v>
      </c>
      <c r="B122" s="11" t="s">
        <v>88</v>
      </c>
      <c r="C122" s="12"/>
      <c r="D122" s="12" t="s">
        <v>1382</v>
      </c>
      <c r="E122" s="13"/>
      <c r="F122" s="14"/>
      <c r="G122" s="15"/>
      <c r="H122" s="12" t="s">
        <v>1207</v>
      </c>
      <c r="I122" s="18" t="s">
        <v>1383</v>
      </c>
      <c r="J122" s="13" t="s">
        <v>1348</v>
      </c>
      <c r="K122" s="33"/>
      <c r="L122" s="33"/>
      <c r="M122" s="33"/>
      <c r="N122" s="13" t="s">
        <v>1384</v>
      </c>
      <c r="O122" s="13" t="s">
        <v>417</v>
      </c>
      <c r="P122" s="33">
        <f>SUM(Q122:AX122)</f>
        <v>0</v>
      </c>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2"/>
    </row>
    <row r="123" spans="1:51">
      <c r="A123" s="4">
        <v>118</v>
      </c>
      <c r="B123" s="5" t="s">
        <v>88</v>
      </c>
      <c r="C123" s="6"/>
      <c r="D123" s="37" t="s">
        <v>1385</v>
      </c>
      <c r="E123" s="50"/>
      <c r="F123" s="37" t="s">
        <v>1386</v>
      </c>
      <c r="G123" s="53"/>
      <c r="H123" s="9"/>
      <c r="I123" s="7"/>
      <c r="J123" s="4"/>
      <c r="K123" s="31"/>
      <c r="L123" s="31"/>
      <c r="M123" s="31"/>
      <c r="N123" s="4"/>
      <c r="O123" s="4"/>
      <c r="P123" s="31"/>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9"/>
    </row>
    <row r="124" spans="1:51">
      <c r="A124" s="4">
        <v>119</v>
      </c>
      <c r="B124" s="21" t="s">
        <v>88</v>
      </c>
      <c r="C124" s="3"/>
      <c r="D124" s="1"/>
      <c r="E124" s="2"/>
      <c r="F124" s="1"/>
      <c r="G124" s="26" t="s">
        <v>1387</v>
      </c>
      <c r="H124" s="1"/>
      <c r="I124" s="22"/>
      <c r="J124" s="2"/>
      <c r="K124" s="32"/>
      <c r="L124" s="32"/>
      <c r="M124" s="32"/>
      <c r="N124" s="2"/>
      <c r="O124" s="2"/>
      <c r="P124" s="32"/>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1"/>
    </row>
    <row r="125" spans="1:51">
      <c r="A125" s="4">
        <v>120</v>
      </c>
      <c r="B125" s="11" t="s">
        <v>88</v>
      </c>
      <c r="C125" s="12"/>
      <c r="D125" s="12" t="s">
        <v>1388</v>
      </c>
      <c r="E125" s="13"/>
      <c r="F125" s="14"/>
      <c r="G125" s="18" t="s">
        <v>1389</v>
      </c>
      <c r="H125" s="12" t="s">
        <v>1207</v>
      </c>
      <c r="I125" s="18" t="s">
        <v>1390</v>
      </c>
      <c r="J125" s="13" t="s">
        <v>1348</v>
      </c>
      <c r="K125" s="33"/>
      <c r="L125" s="33"/>
      <c r="M125" s="33"/>
      <c r="N125" s="13" t="s">
        <v>1391</v>
      </c>
      <c r="O125" s="13" t="s">
        <v>1392</v>
      </c>
      <c r="P125" s="33">
        <f>SUM(Q125:AX125)</f>
        <v>0</v>
      </c>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2"/>
    </row>
    <row r="126" spans="1:51" ht="26.45" customHeight="1">
      <c r="A126" s="4">
        <v>121</v>
      </c>
      <c r="B126" s="11" t="s">
        <v>88</v>
      </c>
      <c r="C126" s="12"/>
      <c r="D126" s="12" t="s">
        <v>1393</v>
      </c>
      <c r="E126" s="13"/>
      <c r="F126" s="14"/>
      <c r="G126" s="18" t="s">
        <v>1394</v>
      </c>
      <c r="H126" s="12" t="s">
        <v>1207</v>
      </c>
      <c r="I126" s="18" t="s">
        <v>1395</v>
      </c>
      <c r="J126" s="13" t="s">
        <v>1348</v>
      </c>
      <c r="K126" s="33"/>
      <c r="L126" s="33"/>
      <c r="M126" s="33"/>
      <c r="N126" s="13" t="s">
        <v>1396</v>
      </c>
      <c r="O126" s="13" t="s">
        <v>1392</v>
      </c>
      <c r="P126" s="33">
        <f>SUM(Q126:AX126)</f>
        <v>0</v>
      </c>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2"/>
    </row>
    <row r="127" spans="1:51">
      <c r="A127" s="4">
        <v>122</v>
      </c>
      <c r="B127" s="5" t="s">
        <v>88</v>
      </c>
      <c r="C127" s="6"/>
      <c r="D127" s="37" t="s">
        <v>1397</v>
      </c>
      <c r="E127" s="50"/>
      <c r="F127" s="37" t="s">
        <v>1398</v>
      </c>
      <c r="G127" s="53"/>
      <c r="H127" s="9"/>
      <c r="I127" s="7"/>
      <c r="J127" s="4"/>
      <c r="K127" s="31"/>
      <c r="L127" s="31"/>
      <c r="M127" s="31"/>
      <c r="N127" s="4"/>
      <c r="O127" s="4"/>
      <c r="P127" s="31"/>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9"/>
    </row>
    <row r="128" spans="1:51" ht="26.45" customHeight="1">
      <c r="A128" s="4">
        <v>123</v>
      </c>
      <c r="B128" s="21" t="s">
        <v>88</v>
      </c>
      <c r="C128" s="3"/>
      <c r="D128" s="1"/>
      <c r="E128" s="2"/>
      <c r="F128" s="1"/>
      <c r="G128" s="26" t="s">
        <v>1399</v>
      </c>
      <c r="H128" s="1"/>
      <c r="I128" s="22"/>
      <c r="J128" s="2"/>
      <c r="K128" s="32"/>
      <c r="L128" s="32"/>
      <c r="M128" s="32"/>
      <c r="N128" s="2"/>
      <c r="O128" s="2"/>
      <c r="P128" s="32"/>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25"/>
      <c r="AY128" s="1"/>
    </row>
    <row r="129" spans="1:51">
      <c r="A129" s="4">
        <v>124</v>
      </c>
      <c r="B129" s="21" t="s">
        <v>88</v>
      </c>
      <c r="C129" s="3"/>
      <c r="D129" s="1"/>
      <c r="E129" s="2"/>
      <c r="F129" s="1"/>
      <c r="G129" s="26" t="s">
        <v>1400</v>
      </c>
      <c r="H129" s="1"/>
      <c r="I129" s="22"/>
      <c r="J129" s="2"/>
      <c r="K129" s="32"/>
      <c r="L129" s="32"/>
      <c r="M129" s="32"/>
      <c r="N129" s="2"/>
      <c r="O129" s="2"/>
      <c r="P129" s="32"/>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1"/>
    </row>
    <row r="130" spans="1:51" ht="39.6" customHeight="1">
      <c r="A130" s="4">
        <v>125</v>
      </c>
      <c r="B130" s="21" t="s">
        <v>88</v>
      </c>
      <c r="C130" s="3"/>
      <c r="D130" s="1"/>
      <c r="E130" s="2"/>
      <c r="F130" s="1"/>
      <c r="G130" s="26" t="s">
        <v>1344</v>
      </c>
      <c r="H130" s="1"/>
      <c r="I130" s="22"/>
      <c r="J130" s="2"/>
      <c r="K130" s="32"/>
      <c r="L130" s="32"/>
      <c r="M130" s="32"/>
      <c r="N130" s="2"/>
      <c r="O130" s="2"/>
      <c r="P130" s="32"/>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25"/>
      <c r="AU130" s="25"/>
      <c r="AV130" s="25"/>
      <c r="AW130" s="25"/>
      <c r="AX130" s="25"/>
      <c r="AY130" s="1"/>
    </row>
    <row r="131" spans="1:51">
      <c r="A131" s="4">
        <v>126</v>
      </c>
      <c r="B131" s="21" t="s">
        <v>88</v>
      </c>
      <c r="C131" s="3"/>
      <c r="D131" s="1"/>
      <c r="E131" s="2"/>
      <c r="F131" s="1"/>
      <c r="G131" s="26" t="s">
        <v>1401</v>
      </c>
      <c r="H131" s="1"/>
      <c r="I131" s="22"/>
      <c r="J131" s="2"/>
      <c r="K131" s="32"/>
      <c r="L131" s="32"/>
      <c r="M131" s="32"/>
      <c r="N131" s="2"/>
      <c r="O131" s="2"/>
      <c r="P131" s="32"/>
      <c r="Q131" s="25"/>
      <c r="R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25"/>
      <c r="AU131" s="25"/>
      <c r="AV131" s="25"/>
      <c r="AW131" s="25"/>
      <c r="AX131" s="25"/>
      <c r="AY131" s="1"/>
    </row>
    <row r="132" spans="1:51">
      <c r="A132" s="4">
        <v>127</v>
      </c>
      <c r="B132" s="11" t="s">
        <v>88</v>
      </c>
      <c r="C132" s="12"/>
      <c r="D132" s="12" t="s">
        <v>1402</v>
      </c>
      <c r="E132" s="13"/>
      <c r="F132" s="14"/>
      <c r="G132" s="15"/>
      <c r="H132" s="12" t="s">
        <v>1207</v>
      </c>
      <c r="I132" s="18" t="s">
        <v>1403</v>
      </c>
      <c r="J132" s="13" t="s">
        <v>1348</v>
      </c>
      <c r="K132" s="33"/>
      <c r="L132" s="33"/>
      <c r="M132" s="33"/>
      <c r="N132" s="13" t="s">
        <v>1404</v>
      </c>
      <c r="O132" s="13" t="s">
        <v>417</v>
      </c>
      <c r="P132" s="33">
        <f>SUM(Q132:AX132)</f>
        <v>0</v>
      </c>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2"/>
    </row>
    <row r="133" spans="1:51">
      <c r="A133" s="4">
        <v>128</v>
      </c>
      <c r="B133" s="11" t="s">
        <v>88</v>
      </c>
      <c r="C133" s="12"/>
      <c r="D133" s="12" t="s">
        <v>1405</v>
      </c>
      <c r="E133" s="13"/>
      <c r="F133" s="14"/>
      <c r="G133" s="15"/>
      <c r="H133" s="12" t="s">
        <v>1207</v>
      </c>
      <c r="I133" s="18" t="s">
        <v>1406</v>
      </c>
      <c r="J133" s="13" t="s">
        <v>1348</v>
      </c>
      <c r="K133" s="33"/>
      <c r="L133" s="33"/>
      <c r="M133" s="33"/>
      <c r="N133" s="13" t="s">
        <v>1407</v>
      </c>
      <c r="O133" s="13" t="s">
        <v>417</v>
      </c>
      <c r="P133" s="33">
        <f>SUM(Q133:AX133)</f>
        <v>0</v>
      </c>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2"/>
    </row>
    <row r="134" spans="1:51">
      <c r="A134" s="4">
        <v>129</v>
      </c>
      <c r="B134" s="11" t="s">
        <v>88</v>
      </c>
      <c r="C134" s="12"/>
      <c r="D134" s="12" t="s">
        <v>1408</v>
      </c>
      <c r="E134" s="13"/>
      <c r="F134" s="14"/>
      <c r="G134" s="15"/>
      <c r="H134" s="12" t="s">
        <v>1207</v>
      </c>
      <c r="I134" s="18" t="s">
        <v>1409</v>
      </c>
      <c r="J134" s="13" t="s">
        <v>1348</v>
      </c>
      <c r="K134" s="33"/>
      <c r="L134" s="33"/>
      <c r="M134" s="33"/>
      <c r="N134" s="13" t="s">
        <v>1410</v>
      </c>
      <c r="O134" s="13" t="s">
        <v>417</v>
      </c>
      <c r="P134" s="33">
        <f>SUM(Q134:AX134)</f>
        <v>0</v>
      </c>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2"/>
    </row>
    <row r="135" spans="1:51">
      <c r="A135" s="4">
        <v>130</v>
      </c>
      <c r="B135" s="11" t="s">
        <v>88</v>
      </c>
      <c r="C135" s="12"/>
      <c r="D135" s="12" t="s">
        <v>1411</v>
      </c>
      <c r="E135" s="13"/>
      <c r="F135" s="14"/>
      <c r="G135" s="15"/>
      <c r="H135" s="12" t="s">
        <v>1207</v>
      </c>
      <c r="I135" s="18" t="s">
        <v>1412</v>
      </c>
      <c r="J135" s="13" t="s">
        <v>1348</v>
      </c>
      <c r="K135" s="33"/>
      <c r="L135" s="33"/>
      <c r="M135" s="33"/>
      <c r="N135" s="13" t="s">
        <v>1413</v>
      </c>
      <c r="O135" s="13" t="s">
        <v>417</v>
      </c>
      <c r="P135" s="33">
        <f>SUM(Q135:AX135)</f>
        <v>0</v>
      </c>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4"/>
    </row>
    <row r="136" spans="1:51">
      <c r="A136" s="4">
        <v>131</v>
      </c>
      <c r="B136" s="5" t="s">
        <v>88</v>
      </c>
      <c r="C136" s="6"/>
      <c r="D136" s="37" t="s">
        <v>1414</v>
      </c>
      <c r="E136" s="50"/>
      <c r="F136" s="37" t="s">
        <v>1415</v>
      </c>
      <c r="G136" s="53"/>
      <c r="H136" s="9"/>
      <c r="I136" s="7"/>
      <c r="J136" s="4"/>
      <c r="K136" s="31"/>
      <c r="L136" s="31"/>
      <c r="M136" s="31"/>
      <c r="N136" s="4"/>
      <c r="O136" s="4"/>
      <c r="P136" s="31"/>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9"/>
    </row>
    <row r="137" spans="1:51" ht="26.45" customHeight="1">
      <c r="A137" s="4">
        <v>132</v>
      </c>
      <c r="B137" s="21" t="s">
        <v>88</v>
      </c>
      <c r="C137" s="3"/>
      <c r="D137" s="1"/>
      <c r="E137" s="2"/>
      <c r="F137" s="1"/>
      <c r="G137" s="26" t="s">
        <v>1367</v>
      </c>
      <c r="H137" s="1"/>
      <c r="I137" s="22"/>
      <c r="J137" s="2"/>
      <c r="K137" s="32"/>
      <c r="L137" s="32"/>
      <c r="M137" s="32"/>
      <c r="N137" s="2"/>
      <c r="O137" s="2"/>
      <c r="P137" s="32"/>
      <c r="Q137" s="25"/>
      <c r="R137" s="25"/>
      <c r="S137" s="25"/>
      <c r="T137" s="25"/>
      <c r="U137" s="25"/>
      <c r="V137" s="25"/>
      <c r="W137" s="25"/>
      <c r="X137" s="25"/>
      <c r="Y137" s="25"/>
      <c r="Z137" s="25"/>
      <c r="AA137" s="25"/>
      <c r="AB137" s="25"/>
      <c r="AC137" s="25"/>
      <c r="AD137" s="25"/>
      <c r="AE137" s="25"/>
      <c r="AF137" s="25"/>
      <c r="AG137" s="25"/>
      <c r="AH137" s="25"/>
      <c r="AI137" s="25"/>
      <c r="AJ137" s="25"/>
      <c r="AK137" s="25"/>
      <c r="AL137" s="25"/>
      <c r="AM137" s="25"/>
      <c r="AN137" s="25"/>
      <c r="AO137" s="25"/>
      <c r="AP137" s="25"/>
      <c r="AQ137" s="25"/>
      <c r="AR137" s="25"/>
      <c r="AS137" s="25"/>
      <c r="AT137" s="25"/>
      <c r="AU137" s="25"/>
      <c r="AV137" s="25"/>
      <c r="AW137" s="25"/>
      <c r="AX137" s="25"/>
      <c r="AY137" s="1"/>
    </row>
    <row r="138" spans="1:51">
      <c r="A138" s="4">
        <v>133</v>
      </c>
      <c r="B138" s="21" t="s">
        <v>88</v>
      </c>
      <c r="C138" s="3"/>
      <c r="D138" s="1"/>
      <c r="E138" s="2"/>
      <c r="F138" s="1"/>
      <c r="G138" s="26" t="s">
        <v>1368</v>
      </c>
      <c r="H138" s="1"/>
      <c r="I138" s="22"/>
      <c r="J138" s="2"/>
      <c r="K138" s="32"/>
      <c r="L138" s="32"/>
      <c r="M138" s="32"/>
      <c r="N138" s="2"/>
      <c r="O138" s="2"/>
      <c r="P138" s="32"/>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25"/>
      <c r="AU138" s="25"/>
      <c r="AV138" s="25"/>
      <c r="AW138" s="25"/>
      <c r="AX138" s="25"/>
      <c r="AY138" s="1"/>
    </row>
    <row r="139" spans="1:51" ht="39.6" customHeight="1">
      <c r="A139" s="4">
        <v>134</v>
      </c>
      <c r="B139" s="21" t="s">
        <v>88</v>
      </c>
      <c r="C139" s="3"/>
      <c r="D139" s="1"/>
      <c r="E139" s="2"/>
      <c r="F139" s="1"/>
      <c r="G139" s="26" t="s">
        <v>1344</v>
      </c>
      <c r="H139" s="1"/>
      <c r="I139" s="22"/>
      <c r="J139" s="2"/>
      <c r="K139" s="32"/>
      <c r="L139" s="32"/>
      <c r="M139" s="32"/>
      <c r="N139" s="2"/>
      <c r="O139" s="2"/>
      <c r="P139" s="32"/>
      <c r="Q139" s="25"/>
      <c r="R139" s="25"/>
      <c r="S139" s="25"/>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c r="AQ139" s="25"/>
      <c r="AR139" s="25"/>
      <c r="AS139" s="25"/>
      <c r="AT139" s="25"/>
      <c r="AU139" s="25"/>
      <c r="AV139" s="25"/>
      <c r="AW139" s="25"/>
      <c r="AX139" s="25"/>
      <c r="AY139" s="1"/>
    </row>
    <row r="140" spans="1:51">
      <c r="A140" s="4">
        <v>135</v>
      </c>
      <c r="B140" s="21" t="s">
        <v>88</v>
      </c>
      <c r="C140" s="3"/>
      <c r="D140" s="1"/>
      <c r="E140" s="2"/>
      <c r="F140" s="1"/>
      <c r="G140" s="26" t="s">
        <v>1369</v>
      </c>
      <c r="H140" s="1"/>
      <c r="I140" s="22"/>
      <c r="J140" s="2"/>
      <c r="K140" s="32"/>
      <c r="L140" s="32"/>
      <c r="M140" s="32"/>
      <c r="N140" s="2"/>
      <c r="O140" s="2"/>
      <c r="P140" s="32"/>
      <c r="Q140" s="25"/>
      <c r="R140" s="25"/>
      <c r="S140" s="25"/>
      <c r="T140" s="25"/>
      <c r="U140" s="25"/>
      <c r="V140" s="25"/>
      <c r="W140" s="25"/>
      <c r="X140" s="25"/>
      <c r="Y140" s="25"/>
      <c r="Z140" s="25"/>
      <c r="AA140" s="25"/>
      <c r="AB140" s="25"/>
      <c r="AC140" s="25"/>
      <c r="AD140" s="25"/>
      <c r="AE140" s="25"/>
      <c r="AF140" s="25"/>
      <c r="AG140" s="25"/>
      <c r="AH140" s="25"/>
      <c r="AI140" s="25"/>
      <c r="AJ140" s="25"/>
      <c r="AK140" s="25"/>
      <c r="AL140" s="25"/>
      <c r="AM140" s="25"/>
      <c r="AN140" s="25"/>
      <c r="AO140" s="25"/>
      <c r="AP140" s="25"/>
      <c r="AQ140" s="25"/>
      <c r="AR140" s="25"/>
      <c r="AS140" s="25"/>
      <c r="AT140" s="25"/>
      <c r="AU140" s="25"/>
      <c r="AV140" s="25"/>
      <c r="AW140" s="25"/>
      <c r="AX140" s="25"/>
      <c r="AY140" s="1"/>
    </row>
    <row r="141" spans="1:51">
      <c r="A141" s="4">
        <v>136</v>
      </c>
      <c r="B141" s="11" t="s">
        <v>88</v>
      </c>
      <c r="C141" s="12"/>
      <c r="D141" s="12" t="s">
        <v>1416</v>
      </c>
      <c r="E141" s="13"/>
      <c r="F141" s="14"/>
      <c r="G141" s="15"/>
      <c r="H141" s="12" t="s">
        <v>1207</v>
      </c>
      <c r="I141" s="18" t="s">
        <v>1417</v>
      </c>
      <c r="J141" s="13" t="s">
        <v>1348</v>
      </c>
      <c r="K141" s="33"/>
      <c r="L141" s="33"/>
      <c r="M141" s="33"/>
      <c r="N141" s="13" t="s">
        <v>1418</v>
      </c>
      <c r="O141" s="13" t="s">
        <v>417</v>
      </c>
      <c r="P141" s="33">
        <f>SUM(Q141:AX141)</f>
        <v>0</v>
      </c>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2"/>
    </row>
    <row r="142" spans="1:51">
      <c r="A142" s="4">
        <v>137</v>
      </c>
      <c r="B142" s="11" t="s">
        <v>88</v>
      </c>
      <c r="C142" s="12"/>
      <c r="D142" s="12" t="s">
        <v>1419</v>
      </c>
      <c r="E142" s="13"/>
      <c r="F142" s="14"/>
      <c r="G142" s="15"/>
      <c r="H142" s="12" t="s">
        <v>1207</v>
      </c>
      <c r="I142" s="18" t="s">
        <v>1420</v>
      </c>
      <c r="J142" s="13" t="s">
        <v>1348</v>
      </c>
      <c r="K142" s="33"/>
      <c r="L142" s="33"/>
      <c r="M142" s="33"/>
      <c r="N142" s="13" t="s">
        <v>1421</v>
      </c>
      <c r="O142" s="13" t="s">
        <v>417</v>
      </c>
      <c r="P142" s="33">
        <f>SUM(Q142:AX142)</f>
        <v>0</v>
      </c>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2"/>
    </row>
    <row r="143" spans="1:51">
      <c r="A143" s="4">
        <v>138</v>
      </c>
      <c r="B143" s="11" t="s">
        <v>88</v>
      </c>
      <c r="C143" s="12"/>
      <c r="D143" s="12" t="s">
        <v>1422</v>
      </c>
      <c r="E143" s="13"/>
      <c r="F143" s="14"/>
      <c r="G143" s="15"/>
      <c r="H143" s="12" t="s">
        <v>1207</v>
      </c>
      <c r="I143" s="18" t="s">
        <v>1423</v>
      </c>
      <c r="J143" s="13" t="s">
        <v>1348</v>
      </c>
      <c r="K143" s="33"/>
      <c r="L143" s="33"/>
      <c r="M143" s="33"/>
      <c r="N143" s="13" t="s">
        <v>1424</v>
      </c>
      <c r="O143" s="13" t="s">
        <v>417</v>
      </c>
      <c r="P143" s="33">
        <f>SUM(Q143:AX143)</f>
        <v>0</v>
      </c>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2"/>
    </row>
    <row r="144" spans="1:51">
      <c r="A144" s="4">
        <v>139</v>
      </c>
      <c r="B144" s="11" t="s">
        <v>88</v>
      </c>
      <c r="C144" s="12"/>
      <c r="D144" s="12" t="s">
        <v>1425</v>
      </c>
      <c r="E144" s="13"/>
      <c r="F144" s="14"/>
      <c r="G144" s="15"/>
      <c r="H144" s="12" t="s">
        <v>1207</v>
      </c>
      <c r="I144" s="18" t="s">
        <v>1426</v>
      </c>
      <c r="J144" s="13" t="s">
        <v>1348</v>
      </c>
      <c r="K144" s="33"/>
      <c r="L144" s="33"/>
      <c r="M144" s="33"/>
      <c r="N144" s="13" t="s">
        <v>1427</v>
      </c>
      <c r="O144" s="13" t="s">
        <v>417</v>
      </c>
      <c r="P144" s="33">
        <f>SUM(Q144:AX144)</f>
        <v>0</v>
      </c>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2"/>
    </row>
    <row r="145" spans="1:51">
      <c r="A145" s="4">
        <v>140</v>
      </c>
      <c r="B145" s="11" t="s">
        <v>88</v>
      </c>
      <c r="C145" s="12"/>
      <c r="D145" s="12" t="s">
        <v>1428</v>
      </c>
      <c r="E145" s="13"/>
      <c r="F145" s="14"/>
      <c r="G145" s="15"/>
      <c r="H145" s="12" t="s">
        <v>1207</v>
      </c>
      <c r="I145" s="18" t="s">
        <v>1429</v>
      </c>
      <c r="J145" s="13" t="s">
        <v>1348</v>
      </c>
      <c r="K145" s="33"/>
      <c r="L145" s="33"/>
      <c r="M145" s="33"/>
      <c r="N145" s="13" t="s">
        <v>1430</v>
      </c>
      <c r="O145" s="13" t="s">
        <v>417</v>
      </c>
      <c r="P145" s="33">
        <f>SUM(Q145:AX145)</f>
        <v>0</v>
      </c>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4"/>
    </row>
    <row r="146" spans="1:51">
      <c r="A146" s="4">
        <v>141</v>
      </c>
      <c r="B146" s="5" t="s">
        <v>88</v>
      </c>
      <c r="C146" s="6"/>
      <c r="D146" s="37" t="s">
        <v>1431</v>
      </c>
      <c r="E146" s="50"/>
      <c r="F146" s="37" t="s">
        <v>1432</v>
      </c>
      <c r="G146" s="53"/>
      <c r="H146" s="9"/>
      <c r="I146" s="7"/>
      <c r="J146" s="4"/>
      <c r="K146" s="31"/>
      <c r="L146" s="31"/>
      <c r="M146" s="31"/>
      <c r="N146" s="4"/>
      <c r="O146" s="4"/>
      <c r="P146" s="31"/>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9"/>
    </row>
    <row r="147" spans="1:51">
      <c r="A147" s="4">
        <v>142</v>
      </c>
      <c r="B147" s="21" t="s">
        <v>88</v>
      </c>
      <c r="C147" s="3"/>
      <c r="D147" s="1"/>
      <c r="E147" s="2"/>
      <c r="F147" s="1"/>
      <c r="G147" s="26" t="s">
        <v>1433</v>
      </c>
      <c r="H147" s="1"/>
      <c r="I147" s="22"/>
      <c r="J147" s="2"/>
      <c r="K147" s="32"/>
      <c r="L147" s="32"/>
      <c r="M147" s="32"/>
      <c r="N147" s="2"/>
      <c r="O147" s="2"/>
      <c r="P147" s="32"/>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25"/>
      <c r="AU147" s="25"/>
      <c r="AV147" s="25"/>
      <c r="AW147" s="25"/>
      <c r="AX147" s="25"/>
      <c r="AY147" s="1"/>
    </row>
    <row r="148" spans="1:51">
      <c r="A148" s="4">
        <v>143</v>
      </c>
      <c r="B148" s="11" t="s">
        <v>88</v>
      </c>
      <c r="C148" s="12"/>
      <c r="D148" s="12" t="s">
        <v>1434</v>
      </c>
      <c r="E148" s="13"/>
      <c r="F148" s="14"/>
      <c r="G148" s="18" t="s">
        <v>1389</v>
      </c>
      <c r="H148" s="12" t="s">
        <v>1207</v>
      </c>
      <c r="I148" s="18" t="s">
        <v>1435</v>
      </c>
      <c r="J148" s="13" t="s">
        <v>1348</v>
      </c>
      <c r="K148" s="33"/>
      <c r="L148" s="33"/>
      <c r="M148" s="33"/>
      <c r="N148" s="13" t="s">
        <v>1436</v>
      </c>
      <c r="O148" s="13" t="s">
        <v>109</v>
      </c>
      <c r="P148" s="33">
        <f>SUM(Q148:AX148)</f>
        <v>0</v>
      </c>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2"/>
    </row>
    <row r="149" spans="1:51" ht="26.45" customHeight="1">
      <c r="A149" s="4">
        <v>144</v>
      </c>
      <c r="B149" s="11" t="s">
        <v>88</v>
      </c>
      <c r="C149" s="12"/>
      <c r="D149" s="12" t="s">
        <v>1437</v>
      </c>
      <c r="E149" s="13"/>
      <c r="F149" s="14"/>
      <c r="G149" s="18" t="s">
        <v>1394</v>
      </c>
      <c r="H149" s="12" t="s">
        <v>1207</v>
      </c>
      <c r="I149" s="18" t="s">
        <v>1438</v>
      </c>
      <c r="J149" s="13" t="s">
        <v>1348</v>
      </c>
      <c r="K149" s="33"/>
      <c r="L149" s="33"/>
      <c r="M149" s="33"/>
      <c r="N149" s="13" t="s">
        <v>1439</v>
      </c>
      <c r="O149" s="13" t="s">
        <v>109</v>
      </c>
      <c r="P149" s="33">
        <f>SUM(Q149:AX149)</f>
        <v>0</v>
      </c>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2"/>
    </row>
    <row r="150" spans="1:51">
      <c r="A150" s="4">
        <v>145</v>
      </c>
      <c r="B150" s="5" t="s">
        <v>88</v>
      </c>
      <c r="C150" s="6"/>
      <c r="D150" s="6" t="s">
        <v>1440</v>
      </c>
      <c r="E150" s="4"/>
      <c r="F150" s="6" t="s">
        <v>1441</v>
      </c>
      <c r="G150" s="7"/>
      <c r="H150" s="9"/>
      <c r="I150" s="7"/>
      <c r="J150" s="4"/>
      <c r="K150" s="31"/>
      <c r="L150" s="31"/>
      <c r="M150" s="31"/>
      <c r="N150" s="4"/>
      <c r="O150" s="4"/>
      <c r="P150" s="31"/>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9"/>
    </row>
    <row r="151" spans="1:51">
      <c r="A151" s="4">
        <v>146</v>
      </c>
      <c r="B151" s="11" t="s">
        <v>88</v>
      </c>
      <c r="C151" s="12"/>
      <c r="D151" s="12" t="s">
        <v>1442</v>
      </c>
      <c r="E151" s="13"/>
      <c r="F151" s="14"/>
      <c r="G151" s="18" t="s">
        <v>1443</v>
      </c>
      <c r="H151" s="12" t="s">
        <v>1207</v>
      </c>
      <c r="I151" s="18" t="s">
        <v>1444</v>
      </c>
      <c r="J151" s="13" t="s">
        <v>1348</v>
      </c>
      <c r="K151" s="33"/>
      <c r="L151" s="33"/>
      <c r="M151" s="33"/>
      <c r="N151" s="13" t="s">
        <v>1445</v>
      </c>
      <c r="O151" s="13" t="s">
        <v>417</v>
      </c>
      <c r="P151" s="33">
        <f>SUM(Q151:AX151)</f>
        <v>0</v>
      </c>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4"/>
    </row>
  </sheetData>
  <autoFilter ref="A5:AJ151" xr:uid="{00000000-0009-0000-0000-000005000000}"/>
  <mergeCells count="7">
    <mergeCell ref="A2:AY2"/>
    <mergeCell ref="AD3:AX3"/>
    <mergeCell ref="O3:O5"/>
    <mergeCell ref="A1:AY1"/>
    <mergeCell ref="P3:P5"/>
    <mergeCell ref="AY3:AY5"/>
    <mergeCell ref="Q3:AC3"/>
  </mergeCells>
  <pageMargins left="1" right="1" top="1" bottom="1" header="0.3" footer="0.3"/>
  <pageSetup paperSize="0" orientation="portrait"/>
  <headerFooter>
    <oddHeader>&amp;L&amp;"Aptos"&amp;8&amp;K000000 대외비(Restricted)&amp;1#_x000D_&amp;"Calibri"&amp;11&amp;K000000&amp;"Calibri"&amp;1 &amp;K000000 대외비(Restricted)#_x000D_</oddHeader>
  </headerFooter>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AZ292"/>
  <sheetViews>
    <sheetView tabSelected="1" zoomScale="55" zoomScaleNormal="55" workbookViewId="0">
      <pane xSplit="15" ySplit="5" topLeftCell="P225" activePane="bottomRight" state="frozen"/>
      <selection pane="bottomRight" activeCell="F241" sqref="F241"/>
      <selection pane="bottomLeft" activeCell="A6" sqref="A6"/>
      <selection pane="topRight" activeCell="P1" sqref="P1"/>
    </sheetView>
  </sheetViews>
  <sheetFormatPr defaultRowHeight="14.45" outlineLevelCol="1"/>
  <cols>
    <col min="1" max="1" width="5.7109375" customWidth="1"/>
    <col min="2" max="2" width="11.28515625" customWidth="1"/>
    <col min="3" max="3" width="21.28515625" customWidth="1"/>
    <col min="4" max="4" width="9.42578125" customWidth="1"/>
    <col min="5" max="5" width="45.28515625" customWidth="1"/>
    <col min="6" max="6" width="35.28515625" customWidth="1"/>
    <col min="7" max="7" width="14.28515625" hidden="1" customWidth="1" outlineLevel="1"/>
    <col min="8" max="8" width="13" hidden="1" customWidth="1" outlineLevel="1"/>
    <col min="9" max="9" width="18.28515625" hidden="1" customWidth="1" outlineLevel="1"/>
    <col min="10" max="10" width="14.28515625" hidden="1" customWidth="1" outlineLevel="1"/>
    <col min="11" max="12" width="13" hidden="1" customWidth="1" outlineLevel="1"/>
    <col min="13" max="13" width="21.28515625" hidden="1" customWidth="1" outlineLevel="1"/>
    <col min="14" max="14" width="8.7109375" customWidth="1" collapsed="1"/>
    <col min="15" max="15" width="11.28515625" customWidth="1"/>
    <col min="16" max="49" width="13" customWidth="1"/>
    <col min="50" max="50" width="21.28515625" customWidth="1"/>
    <col min="51" max="51" width="13" customWidth="1"/>
    <col min="52" max="52" width="141.28515625" customWidth="1"/>
  </cols>
  <sheetData>
    <row r="1" spans="1:50" ht="18.75" customHeight="1">
      <c r="A1" s="109" t="s">
        <v>7</v>
      </c>
      <c r="B1" s="117"/>
      <c r="C1" s="117"/>
      <c r="D1" s="117"/>
      <c r="E1" s="117"/>
      <c r="F1" s="117"/>
      <c r="G1" s="117"/>
      <c r="H1" s="117"/>
      <c r="I1" s="117"/>
      <c r="J1" s="117"/>
      <c r="K1" s="117"/>
      <c r="L1" s="117"/>
      <c r="M1" s="117"/>
      <c r="N1" s="117"/>
      <c r="O1" s="117"/>
      <c r="P1" s="117"/>
      <c r="Q1" s="117"/>
      <c r="R1" s="117"/>
      <c r="S1" s="117"/>
      <c r="T1" s="117"/>
      <c r="U1" s="117"/>
      <c r="V1" s="117"/>
      <c r="W1" s="117"/>
      <c r="X1" s="117"/>
      <c r="Y1" s="117"/>
      <c r="Z1" s="117"/>
      <c r="AA1" s="117"/>
      <c r="AB1" s="117"/>
      <c r="AC1" s="117"/>
      <c r="AD1" s="117"/>
      <c r="AE1" s="117"/>
      <c r="AF1" s="117"/>
      <c r="AG1" s="117"/>
      <c r="AH1" s="117"/>
      <c r="AI1" s="117"/>
      <c r="AJ1" s="117"/>
      <c r="AK1" s="117"/>
      <c r="AL1" s="117"/>
      <c r="AM1" s="117"/>
      <c r="AN1" s="117"/>
      <c r="AO1" s="117"/>
      <c r="AP1" s="117"/>
      <c r="AQ1" s="117"/>
      <c r="AR1" s="117"/>
      <c r="AS1" s="117"/>
      <c r="AT1" s="117"/>
      <c r="AU1" s="117"/>
      <c r="AV1" s="117"/>
      <c r="AW1" s="117"/>
      <c r="AX1" s="117"/>
    </row>
    <row r="2" spans="1:50" ht="13.5" customHeight="1">
      <c r="A2" s="110" t="s">
        <v>8</v>
      </c>
      <c r="B2" s="118"/>
      <c r="C2" s="118"/>
      <c r="D2" s="118"/>
      <c r="E2" s="118"/>
      <c r="F2" s="118"/>
      <c r="G2" s="118"/>
      <c r="H2" s="118"/>
      <c r="I2" s="118"/>
      <c r="J2" s="118"/>
      <c r="K2" s="118"/>
      <c r="L2" s="118"/>
      <c r="M2" s="118"/>
      <c r="N2" s="118"/>
      <c r="O2" s="118"/>
      <c r="P2" s="118"/>
      <c r="Q2" s="118"/>
      <c r="R2" s="118"/>
      <c r="S2" s="118"/>
      <c r="T2" s="118"/>
      <c r="U2" s="118"/>
      <c r="V2" s="118"/>
      <c r="W2" s="118"/>
      <c r="X2" s="118"/>
      <c r="Y2" s="118"/>
      <c r="Z2" s="118"/>
      <c r="AA2" s="118"/>
      <c r="AB2" s="118"/>
      <c r="AC2" s="118"/>
      <c r="AD2" s="118"/>
      <c r="AE2" s="118"/>
      <c r="AF2" s="118"/>
      <c r="AG2" s="118"/>
      <c r="AH2" s="118"/>
      <c r="AI2" s="118"/>
      <c r="AJ2" s="118"/>
      <c r="AK2" s="118"/>
      <c r="AL2" s="118"/>
      <c r="AM2" s="118"/>
      <c r="AN2" s="118"/>
      <c r="AO2" s="118"/>
      <c r="AP2" s="118"/>
      <c r="AQ2" s="118"/>
      <c r="AR2" s="118"/>
      <c r="AS2" s="118"/>
      <c r="AT2" s="118"/>
      <c r="AU2" s="118"/>
      <c r="AV2" s="118"/>
      <c r="AW2" s="118"/>
      <c r="AX2" s="118"/>
    </row>
    <row r="3" spans="1:50" ht="23.25" customHeight="1">
      <c r="A3" s="107" t="s">
        <v>9</v>
      </c>
      <c r="B3" s="107" t="s">
        <v>10</v>
      </c>
      <c r="C3" s="107" t="s">
        <v>11</v>
      </c>
      <c r="D3" s="107" t="s">
        <v>12</v>
      </c>
      <c r="E3" s="107" t="s">
        <v>14</v>
      </c>
      <c r="F3" s="107" t="s">
        <v>15</v>
      </c>
      <c r="G3" s="123"/>
      <c r="H3" s="107" t="s">
        <v>1446</v>
      </c>
      <c r="I3" s="107" t="s">
        <v>1447</v>
      </c>
      <c r="J3" s="107" t="s">
        <v>1448</v>
      </c>
      <c r="K3" s="107" t="s">
        <v>18</v>
      </c>
      <c r="L3" s="107" t="s">
        <v>19</v>
      </c>
      <c r="M3" s="107" t="s">
        <v>13</v>
      </c>
      <c r="N3" s="107" t="s">
        <v>24</v>
      </c>
      <c r="O3" s="107" t="s">
        <v>25</v>
      </c>
      <c r="P3" s="108" t="s">
        <v>26</v>
      </c>
      <c r="Q3" s="119"/>
      <c r="R3" s="119"/>
      <c r="S3" s="119"/>
      <c r="T3" s="119"/>
      <c r="U3" s="119"/>
      <c r="V3" s="119"/>
      <c r="W3" s="119"/>
      <c r="X3" s="119"/>
      <c r="Y3" s="119"/>
      <c r="Z3" s="119"/>
      <c r="AA3" s="119"/>
      <c r="AB3" s="120"/>
      <c r="AC3" s="108" t="s">
        <v>27</v>
      </c>
      <c r="AD3" s="119"/>
      <c r="AE3" s="119"/>
      <c r="AF3" s="119"/>
      <c r="AG3" s="119"/>
      <c r="AH3" s="119"/>
      <c r="AI3" s="119"/>
      <c r="AJ3" s="119"/>
      <c r="AK3" s="119"/>
      <c r="AL3" s="119"/>
      <c r="AM3" s="119"/>
      <c r="AN3" s="119"/>
      <c r="AO3" s="119"/>
      <c r="AP3" s="119"/>
      <c r="AQ3" s="119"/>
      <c r="AR3" s="119"/>
      <c r="AS3" s="119"/>
      <c r="AT3" s="119"/>
      <c r="AU3" s="119"/>
      <c r="AV3" s="119"/>
      <c r="AW3" s="120"/>
      <c r="AX3" s="107" t="s">
        <v>28</v>
      </c>
    </row>
    <row r="4" spans="1:50" ht="23.25" customHeight="1">
      <c r="A4" s="121"/>
      <c r="B4" s="121"/>
      <c r="C4" s="121"/>
      <c r="D4" s="121"/>
      <c r="E4" s="121"/>
      <c r="F4" s="107" t="s">
        <v>29</v>
      </c>
      <c r="G4" s="107" t="s">
        <v>30</v>
      </c>
      <c r="H4" s="121"/>
      <c r="I4" s="121"/>
      <c r="J4" s="121"/>
      <c r="K4" s="121"/>
      <c r="L4" s="121"/>
      <c r="M4" s="121"/>
      <c r="N4" s="121"/>
      <c r="O4" s="121"/>
      <c r="P4" s="101" t="s">
        <v>31</v>
      </c>
      <c r="Q4" s="101" t="s">
        <v>32</v>
      </c>
      <c r="R4" s="101" t="s">
        <v>33</v>
      </c>
      <c r="S4" s="101" t="s">
        <v>34</v>
      </c>
      <c r="T4" s="101" t="s">
        <v>35</v>
      </c>
      <c r="U4" s="101" t="s">
        <v>36</v>
      </c>
      <c r="V4" s="102" t="s">
        <v>37</v>
      </c>
      <c r="W4" s="102" t="s">
        <v>38</v>
      </c>
      <c r="X4" s="101" t="s">
        <v>39</v>
      </c>
      <c r="Y4" s="101" t="s">
        <v>40</v>
      </c>
      <c r="Z4" s="102" t="s">
        <v>41</v>
      </c>
      <c r="AA4" s="101" t="s">
        <v>42</v>
      </c>
      <c r="AB4" s="101" t="s">
        <v>43</v>
      </c>
      <c r="AC4" s="102" t="s">
        <v>44</v>
      </c>
      <c r="AD4" s="102" t="s">
        <v>45</v>
      </c>
      <c r="AE4" s="101" t="s">
        <v>46</v>
      </c>
      <c r="AF4" s="102" t="s">
        <v>47</v>
      </c>
      <c r="AG4" s="102" t="s">
        <v>48</v>
      </c>
      <c r="AH4" s="101" t="s">
        <v>49</v>
      </c>
      <c r="AI4" s="101" t="s">
        <v>50</v>
      </c>
      <c r="AJ4" s="101" t="s">
        <v>51</v>
      </c>
      <c r="AK4" s="101" t="s">
        <v>52</v>
      </c>
      <c r="AL4" s="101" t="s">
        <v>53</v>
      </c>
      <c r="AM4" s="101" t="s">
        <v>54</v>
      </c>
      <c r="AN4" s="101" t="s">
        <v>55</v>
      </c>
      <c r="AO4" s="101" t="s">
        <v>56</v>
      </c>
      <c r="AP4" s="101" t="s">
        <v>57</v>
      </c>
      <c r="AQ4" s="101" t="s">
        <v>58</v>
      </c>
      <c r="AR4" s="101" t="s">
        <v>59</v>
      </c>
      <c r="AS4" s="101" t="s">
        <v>60</v>
      </c>
      <c r="AT4" s="101" t="s">
        <v>61</v>
      </c>
      <c r="AU4" s="101" t="s">
        <v>62</v>
      </c>
      <c r="AV4" s="101" t="s">
        <v>63</v>
      </c>
      <c r="AW4" s="103" t="s">
        <v>64</v>
      </c>
      <c r="AX4" s="121"/>
    </row>
    <row r="5" spans="1:50" ht="23.25" customHeight="1">
      <c r="A5" s="122"/>
      <c r="B5" s="122"/>
      <c r="C5" s="122"/>
      <c r="D5" s="122"/>
      <c r="E5" s="122"/>
      <c r="F5" s="122"/>
      <c r="G5" s="122"/>
      <c r="H5" s="122"/>
      <c r="I5" s="122"/>
      <c r="J5" s="122"/>
      <c r="K5" s="122"/>
      <c r="L5" s="122"/>
      <c r="M5" s="122"/>
      <c r="N5" s="122"/>
      <c r="O5" s="122"/>
      <c r="P5" s="102" t="s">
        <v>65</v>
      </c>
      <c r="Q5" s="102" t="s">
        <v>65</v>
      </c>
      <c r="R5" s="102" t="s">
        <v>66</v>
      </c>
      <c r="S5" s="101" t="s">
        <v>66</v>
      </c>
      <c r="T5" s="101" t="s">
        <v>66</v>
      </c>
      <c r="U5" s="101" t="s">
        <v>66</v>
      </c>
      <c r="V5" s="101" t="s">
        <v>67</v>
      </c>
      <c r="W5" s="102" t="s">
        <v>68</v>
      </c>
      <c r="X5" s="101" t="s">
        <v>69</v>
      </c>
      <c r="Y5" s="101" t="s">
        <v>70</v>
      </c>
      <c r="Z5" s="101" t="s">
        <v>71</v>
      </c>
      <c r="AA5" s="101" t="s">
        <v>72</v>
      </c>
      <c r="AB5" s="101" t="s">
        <v>73</v>
      </c>
      <c r="AC5" s="102" t="s">
        <v>74</v>
      </c>
      <c r="AD5" s="102" t="s">
        <v>75</v>
      </c>
      <c r="AE5" s="101" t="s">
        <v>76</v>
      </c>
      <c r="AF5" s="102" t="s">
        <v>77</v>
      </c>
      <c r="AG5" s="102" t="s">
        <v>78</v>
      </c>
      <c r="AH5" s="101" t="s">
        <v>79</v>
      </c>
      <c r="AI5" s="101" t="s">
        <v>80</v>
      </c>
      <c r="AJ5" s="101" t="s">
        <v>81</v>
      </c>
      <c r="AK5" s="101" t="s">
        <v>82</v>
      </c>
      <c r="AL5" s="101" t="s">
        <v>83</v>
      </c>
      <c r="AM5" s="101" t="s">
        <v>84</v>
      </c>
      <c r="AN5" s="101" t="s">
        <v>72</v>
      </c>
      <c r="AO5" s="101" t="s">
        <v>85</v>
      </c>
      <c r="AP5" s="101" t="s">
        <v>86</v>
      </c>
      <c r="AQ5" s="101" t="s">
        <v>87</v>
      </c>
      <c r="AR5" s="101" t="s">
        <v>86</v>
      </c>
      <c r="AS5" s="101" t="s">
        <v>87</v>
      </c>
      <c r="AT5" s="101" t="s">
        <v>87</v>
      </c>
      <c r="AU5" s="101" t="s">
        <v>86</v>
      </c>
      <c r="AV5" s="101" t="s">
        <v>87</v>
      </c>
      <c r="AW5" s="101" t="s">
        <v>87</v>
      </c>
      <c r="AX5" s="122"/>
    </row>
    <row r="6" spans="1:50">
      <c r="A6" s="4">
        <v>1</v>
      </c>
      <c r="B6" s="5" t="s">
        <v>88</v>
      </c>
      <c r="C6" s="6"/>
      <c r="D6" s="6" t="s">
        <v>1449</v>
      </c>
      <c r="E6" s="6" t="s">
        <v>1450</v>
      </c>
      <c r="F6" s="7"/>
      <c r="G6" s="9"/>
      <c r="H6" s="9"/>
      <c r="I6" s="9"/>
      <c r="J6" s="9"/>
      <c r="K6" s="20">
        <v>0</v>
      </c>
      <c r="L6" s="4"/>
      <c r="M6" s="9"/>
      <c r="N6" s="9"/>
      <c r="O6" s="8">
        <f>SUM(P6:AW6)</f>
        <v>0</v>
      </c>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9"/>
    </row>
    <row r="7" spans="1:50">
      <c r="A7" s="4">
        <v>2</v>
      </c>
      <c r="B7" s="5" t="s">
        <v>88</v>
      </c>
      <c r="C7" s="6"/>
      <c r="D7" s="6" t="s">
        <v>1451</v>
      </c>
      <c r="E7" s="6" t="s">
        <v>1452</v>
      </c>
      <c r="F7" s="7"/>
      <c r="G7" s="9"/>
      <c r="H7" s="9"/>
      <c r="I7" s="9"/>
      <c r="J7" s="9"/>
      <c r="K7" s="20">
        <v>0</v>
      </c>
      <c r="L7" s="4"/>
      <c r="M7" s="9"/>
      <c r="N7" s="9"/>
      <c r="O7" s="8">
        <f>SUM(P7:AW7)</f>
        <v>0</v>
      </c>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9"/>
    </row>
    <row r="8" spans="1:50">
      <c r="A8" s="4">
        <v>3</v>
      </c>
      <c r="B8" s="5" t="s">
        <v>88</v>
      </c>
      <c r="C8" s="6"/>
      <c r="D8" s="35" t="s">
        <v>1453</v>
      </c>
      <c r="E8" s="35" t="s">
        <v>1454</v>
      </c>
      <c r="F8" s="7"/>
      <c r="G8" s="9"/>
      <c r="H8" s="9"/>
      <c r="I8" s="9"/>
      <c r="J8" s="9"/>
      <c r="K8" s="20">
        <v>0</v>
      </c>
      <c r="L8" s="4"/>
      <c r="M8" s="9"/>
      <c r="N8" s="9"/>
      <c r="O8" s="8">
        <f>SUM(P8:AW8)</f>
        <v>0</v>
      </c>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9"/>
    </row>
    <row r="9" spans="1:50">
      <c r="A9" s="4">
        <v>4</v>
      </c>
      <c r="B9" s="5" t="s">
        <v>88</v>
      </c>
      <c r="C9" s="6"/>
      <c r="D9" s="37" t="s">
        <v>1455</v>
      </c>
      <c r="E9" s="37" t="s">
        <v>1456</v>
      </c>
      <c r="F9" s="7"/>
      <c r="G9" s="9"/>
      <c r="H9" s="9"/>
      <c r="I9" s="9"/>
      <c r="J9" s="9"/>
      <c r="K9" s="20">
        <v>0</v>
      </c>
      <c r="L9" s="4"/>
      <c r="M9" s="9"/>
      <c r="N9" s="9"/>
      <c r="O9" s="8">
        <f>SUM(P9:AW9)</f>
        <v>0</v>
      </c>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9"/>
    </row>
    <row r="10" spans="1:50">
      <c r="A10" s="4">
        <v>5</v>
      </c>
      <c r="B10" s="11" t="s">
        <v>88</v>
      </c>
      <c r="C10" s="12"/>
      <c r="D10" s="12" t="s">
        <v>1457</v>
      </c>
      <c r="E10" s="12" t="s">
        <v>1458</v>
      </c>
      <c r="F10" s="18" t="s">
        <v>1459</v>
      </c>
      <c r="G10" s="34" t="s">
        <v>541</v>
      </c>
      <c r="H10" s="12" t="s">
        <v>1457</v>
      </c>
      <c r="I10" s="12" t="s">
        <v>1460</v>
      </c>
      <c r="J10" s="14"/>
      <c r="K10" s="27">
        <v>0</v>
      </c>
      <c r="L10" s="10"/>
      <c r="M10" s="12" t="s">
        <v>1461</v>
      </c>
      <c r="N10" s="12" t="s">
        <v>1462</v>
      </c>
      <c r="O10" s="8">
        <f>SUM(P10:AW10)</f>
        <v>0</v>
      </c>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6"/>
    </row>
    <row r="11" spans="1:50" ht="26.45" customHeight="1">
      <c r="A11" s="4">
        <v>6</v>
      </c>
      <c r="B11" s="11" t="s">
        <v>88</v>
      </c>
      <c r="C11" s="12"/>
      <c r="D11" s="12" t="s">
        <v>1463</v>
      </c>
      <c r="E11" s="12" t="s">
        <v>1464</v>
      </c>
      <c r="F11" s="18" t="s">
        <v>1465</v>
      </c>
      <c r="G11" s="34" t="s">
        <v>541</v>
      </c>
      <c r="H11" s="12" t="s">
        <v>1463</v>
      </c>
      <c r="I11" s="12" t="s">
        <v>1466</v>
      </c>
      <c r="J11" s="14"/>
      <c r="K11" s="27">
        <v>0</v>
      </c>
      <c r="L11" s="10"/>
      <c r="M11" s="12" t="s">
        <v>1461</v>
      </c>
      <c r="N11" s="12" t="s">
        <v>1462</v>
      </c>
      <c r="O11" s="8">
        <f>SUM(P11:AW11)</f>
        <v>0</v>
      </c>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6"/>
    </row>
    <row r="12" spans="1:50" ht="26.45" customHeight="1">
      <c r="A12" s="4">
        <v>7</v>
      </c>
      <c r="B12" s="5" t="s">
        <v>88</v>
      </c>
      <c r="C12" s="6"/>
      <c r="D12" s="6" t="s">
        <v>1467</v>
      </c>
      <c r="E12" s="6" t="s">
        <v>1468</v>
      </c>
      <c r="F12" s="29" t="s">
        <v>1469</v>
      </c>
      <c r="G12" s="9"/>
      <c r="H12" s="12" t="s">
        <v>1467</v>
      </c>
      <c r="I12" s="9"/>
      <c r="J12" s="9"/>
      <c r="K12" s="20">
        <v>0</v>
      </c>
      <c r="L12" s="4"/>
      <c r="M12" s="9" t="s">
        <v>1461</v>
      </c>
      <c r="N12" s="12" t="s">
        <v>1462</v>
      </c>
      <c r="O12" s="8">
        <f>SUM(P12:AW12)</f>
        <v>0</v>
      </c>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6"/>
    </row>
    <row r="13" spans="1:50">
      <c r="A13" s="4">
        <v>8</v>
      </c>
      <c r="B13" s="11" t="s">
        <v>88</v>
      </c>
      <c r="C13" s="12"/>
      <c r="D13" s="12" t="s">
        <v>1470</v>
      </c>
      <c r="E13" s="12" t="s">
        <v>1471</v>
      </c>
      <c r="F13" s="18" t="s">
        <v>1472</v>
      </c>
      <c r="G13" s="34" t="s">
        <v>541</v>
      </c>
      <c r="H13" s="12" t="s">
        <v>1470</v>
      </c>
      <c r="I13" s="12" t="s">
        <v>1473</v>
      </c>
      <c r="J13" s="14"/>
      <c r="K13" s="27">
        <v>0</v>
      </c>
      <c r="L13" s="10"/>
      <c r="M13" s="12" t="s">
        <v>1461</v>
      </c>
      <c r="N13" s="12" t="s">
        <v>1462</v>
      </c>
      <c r="O13" s="8">
        <f>SUM(P13:AW13)</f>
        <v>0</v>
      </c>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4"/>
    </row>
    <row r="14" spans="1:50">
      <c r="A14" s="4">
        <v>9</v>
      </c>
      <c r="B14" s="11" t="s">
        <v>88</v>
      </c>
      <c r="C14" s="12"/>
      <c r="D14" s="12" t="s">
        <v>1474</v>
      </c>
      <c r="E14" s="12" t="s">
        <v>1475</v>
      </c>
      <c r="F14" s="18" t="s">
        <v>1476</v>
      </c>
      <c r="G14" s="34" t="s">
        <v>541</v>
      </c>
      <c r="H14" s="12" t="s">
        <v>1474</v>
      </c>
      <c r="I14" s="12" t="s">
        <v>1473</v>
      </c>
      <c r="J14" s="14"/>
      <c r="K14" s="27">
        <v>0</v>
      </c>
      <c r="L14" s="10"/>
      <c r="M14" s="12" t="s">
        <v>1461</v>
      </c>
      <c r="N14" s="12" t="s">
        <v>1462</v>
      </c>
      <c r="O14" s="8">
        <f>SUM(P14:AW14)</f>
        <v>0</v>
      </c>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4"/>
    </row>
    <row r="15" spans="1:50">
      <c r="A15" s="4">
        <v>10</v>
      </c>
      <c r="B15" s="11" t="s">
        <v>88</v>
      </c>
      <c r="C15" s="12"/>
      <c r="D15" s="12" t="s">
        <v>1477</v>
      </c>
      <c r="E15" s="12" t="s">
        <v>1478</v>
      </c>
      <c r="F15" s="18" t="s">
        <v>1479</v>
      </c>
      <c r="G15" s="34" t="s">
        <v>541</v>
      </c>
      <c r="H15" s="12" t="s">
        <v>1477</v>
      </c>
      <c r="I15" s="12" t="s">
        <v>1473</v>
      </c>
      <c r="J15" s="14"/>
      <c r="K15" s="27">
        <v>0</v>
      </c>
      <c r="L15" s="10"/>
      <c r="M15" s="12" t="s">
        <v>1461</v>
      </c>
      <c r="N15" s="12" t="s">
        <v>1462</v>
      </c>
      <c r="O15" s="8">
        <f>SUM(P15:AW15)</f>
        <v>0</v>
      </c>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2"/>
    </row>
    <row r="16" spans="1:50">
      <c r="A16" s="4">
        <v>11</v>
      </c>
      <c r="B16" s="11" t="s">
        <v>88</v>
      </c>
      <c r="C16" s="12"/>
      <c r="D16" s="12" t="s">
        <v>1480</v>
      </c>
      <c r="E16" s="12" t="s">
        <v>1481</v>
      </c>
      <c r="F16" s="18" t="s">
        <v>1482</v>
      </c>
      <c r="G16" s="34" t="s">
        <v>541</v>
      </c>
      <c r="H16" s="12" t="s">
        <v>1480</v>
      </c>
      <c r="I16" s="12" t="s">
        <v>1473</v>
      </c>
      <c r="J16" s="14"/>
      <c r="K16" s="27">
        <v>0</v>
      </c>
      <c r="L16" s="10"/>
      <c r="M16" s="12" t="s">
        <v>1461</v>
      </c>
      <c r="N16" s="12" t="s">
        <v>1462</v>
      </c>
      <c r="O16" s="8">
        <f>SUM(P16:AW16)</f>
        <v>0</v>
      </c>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2"/>
    </row>
    <row r="17" spans="1:50">
      <c r="A17" s="4">
        <v>12</v>
      </c>
      <c r="B17" s="11" t="s">
        <v>88</v>
      </c>
      <c r="C17" s="12"/>
      <c r="D17" s="12" t="s">
        <v>1483</v>
      </c>
      <c r="E17" s="12" t="s">
        <v>1484</v>
      </c>
      <c r="F17" s="18" t="s">
        <v>1485</v>
      </c>
      <c r="G17" s="34" t="s">
        <v>541</v>
      </c>
      <c r="H17" s="12" t="s">
        <v>1483</v>
      </c>
      <c r="I17" s="12" t="s">
        <v>1473</v>
      </c>
      <c r="J17" s="14"/>
      <c r="K17" s="27">
        <v>0</v>
      </c>
      <c r="L17" s="10"/>
      <c r="M17" s="12" t="s">
        <v>1461</v>
      </c>
      <c r="N17" s="12" t="s">
        <v>1462</v>
      </c>
      <c r="O17" s="8">
        <f>SUM(P17:AW17)</f>
        <v>0</v>
      </c>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2"/>
    </row>
    <row r="18" spans="1:50" ht="26.45" customHeight="1">
      <c r="A18" s="4">
        <v>13</v>
      </c>
      <c r="B18" s="11" t="s">
        <v>88</v>
      </c>
      <c r="C18" s="12"/>
      <c r="D18" s="12" t="s">
        <v>1486</v>
      </c>
      <c r="E18" s="12" t="s">
        <v>1487</v>
      </c>
      <c r="F18" s="18" t="s">
        <v>1488</v>
      </c>
      <c r="G18" s="34" t="s">
        <v>541</v>
      </c>
      <c r="H18" s="12" t="s">
        <v>1486</v>
      </c>
      <c r="I18" s="12" t="s">
        <v>1489</v>
      </c>
      <c r="J18" s="14"/>
      <c r="K18" s="27">
        <v>0</v>
      </c>
      <c r="L18" s="10"/>
      <c r="M18" s="12" t="s">
        <v>1461</v>
      </c>
      <c r="N18" s="12" t="s">
        <v>1462</v>
      </c>
      <c r="O18" s="8">
        <f>SUM(P18:AW18)</f>
        <v>0</v>
      </c>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2"/>
    </row>
    <row r="19" spans="1:50" ht="26.45" customHeight="1">
      <c r="A19" s="4">
        <v>14</v>
      </c>
      <c r="B19" s="11" t="s">
        <v>88</v>
      </c>
      <c r="C19" s="12"/>
      <c r="D19" s="12" t="s">
        <v>1490</v>
      </c>
      <c r="E19" s="12" t="s">
        <v>1491</v>
      </c>
      <c r="F19" s="18" t="s">
        <v>1492</v>
      </c>
      <c r="G19" s="34" t="s">
        <v>541</v>
      </c>
      <c r="H19" s="12" t="s">
        <v>1490</v>
      </c>
      <c r="I19" s="12" t="s">
        <v>1489</v>
      </c>
      <c r="J19" s="14"/>
      <c r="K19" s="27">
        <v>0</v>
      </c>
      <c r="L19" s="10"/>
      <c r="M19" s="12" t="s">
        <v>1461</v>
      </c>
      <c r="N19" s="12" t="s">
        <v>1462</v>
      </c>
      <c r="O19" s="8">
        <f>SUM(P19:AW19)</f>
        <v>0</v>
      </c>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2"/>
    </row>
    <row r="20" spans="1:50" ht="26.45" customHeight="1">
      <c r="A20" s="4">
        <v>15</v>
      </c>
      <c r="B20" s="11" t="s">
        <v>88</v>
      </c>
      <c r="C20" s="12"/>
      <c r="D20" s="12" t="s">
        <v>1493</v>
      </c>
      <c r="E20" s="12" t="s">
        <v>1494</v>
      </c>
      <c r="F20" s="18" t="s">
        <v>1495</v>
      </c>
      <c r="G20" s="34" t="s">
        <v>541</v>
      </c>
      <c r="H20" s="12" t="s">
        <v>1493</v>
      </c>
      <c r="I20" s="12" t="s">
        <v>1489</v>
      </c>
      <c r="J20" s="14"/>
      <c r="K20" s="27">
        <v>0</v>
      </c>
      <c r="L20" s="10"/>
      <c r="M20" s="12" t="s">
        <v>1461</v>
      </c>
      <c r="N20" s="12" t="s">
        <v>1462</v>
      </c>
      <c r="O20" s="8">
        <f>SUM(P20:AW20)</f>
        <v>0</v>
      </c>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2"/>
    </row>
    <row r="21" spans="1:50" ht="26.45" customHeight="1">
      <c r="A21" s="4">
        <v>16</v>
      </c>
      <c r="B21" s="11" t="s">
        <v>88</v>
      </c>
      <c r="C21" s="12"/>
      <c r="D21" s="12" t="s">
        <v>1496</v>
      </c>
      <c r="E21" s="12" t="s">
        <v>1497</v>
      </c>
      <c r="F21" s="18" t="s">
        <v>1498</v>
      </c>
      <c r="G21" s="34" t="s">
        <v>541</v>
      </c>
      <c r="H21" s="12" t="s">
        <v>1496</v>
      </c>
      <c r="I21" s="12" t="s">
        <v>1489</v>
      </c>
      <c r="J21" s="14"/>
      <c r="K21" s="27">
        <v>0</v>
      </c>
      <c r="L21" s="10"/>
      <c r="M21" s="12" t="s">
        <v>1461</v>
      </c>
      <c r="N21" s="12" t="s">
        <v>1462</v>
      </c>
      <c r="O21" s="8">
        <f>SUM(P21:AW21)</f>
        <v>0</v>
      </c>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2"/>
    </row>
    <row r="22" spans="1:50">
      <c r="A22" s="4">
        <v>17</v>
      </c>
      <c r="B22" s="11" t="s">
        <v>88</v>
      </c>
      <c r="C22" s="12"/>
      <c r="D22" s="12" t="s">
        <v>1499</v>
      </c>
      <c r="E22" s="12" t="s">
        <v>1500</v>
      </c>
      <c r="F22" s="18" t="s">
        <v>1501</v>
      </c>
      <c r="G22" s="34" t="s">
        <v>541</v>
      </c>
      <c r="H22" s="12" t="s">
        <v>1499</v>
      </c>
      <c r="I22" s="12" t="s">
        <v>1489</v>
      </c>
      <c r="J22" s="14"/>
      <c r="K22" s="27">
        <v>0</v>
      </c>
      <c r="L22" s="10"/>
      <c r="M22" s="12" t="s">
        <v>1461</v>
      </c>
      <c r="N22" s="12" t="s">
        <v>1462</v>
      </c>
      <c r="O22" s="8">
        <f>SUM(P22:AW22)</f>
        <v>0</v>
      </c>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2"/>
    </row>
    <row r="23" spans="1:50">
      <c r="A23" s="4">
        <v>18</v>
      </c>
      <c r="B23" s="5" t="s">
        <v>88</v>
      </c>
      <c r="C23" s="6"/>
      <c r="D23" s="6" t="s">
        <v>1502</v>
      </c>
      <c r="E23" s="6" t="s">
        <v>1503</v>
      </c>
      <c r="F23" s="7"/>
      <c r="G23" s="9"/>
      <c r="H23" s="12" t="s">
        <v>1502</v>
      </c>
      <c r="I23" s="9"/>
      <c r="J23" s="9"/>
      <c r="K23" s="20">
        <v>0</v>
      </c>
      <c r="L23" s="4"/>
      <c r="M23" s="9" t="s">
        <v>1461</v>
      </c>
      <c r="N23" s="9"/>
      <c r="O23" s="8">
        <f>SUM(P23:AW23)</f>
        <v>0</v>
      </c>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9"/>
    </row>
    <row r="24" spans="1:50">
      <c r="A24" s="4">
        <v>19</v>
      </c>
      <c r="B24" s="11" t="s">
        <v>88</v>
      </c>
      <c r="C24" s="12"/>
      <c r="D24" s="12" t="s">
        <v>1504</v>
      </c>
      <c r="E24" s="12" t="s">
        <v>1505</v>
      </c>
      <c r="F24" s="18" t="s">
        <v>1506</v>
      </c>
      <c r="G24" s="34" t="s">
        <v>541</v>
      </c>
      <c r="H24" s="12" t="s">
        <v>1504</v>
      </c>
      <c r="I24" s="12" t="s">
        <v>1507</v>
      </c>
      <c r="J24" s="14"/>
      <c r="K24" s="27">
        <v>0</v>
      </c>
      <c r="L24" s="10"/>
      <c r="M24" s="12" t="s">
        <v>1461</v>
      </c>
      <c r="N24" s="12" t="s">
        <v>1462</v>
      </c>
      <c r="O24" s="8">
        <f>SUM(P24:AW24)</f>
        <v>0</v>
      </c>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4"/>
    </row>
    <row r="25" spans="1:50">
      <c r="A25" s="4">
        <v>20</v>
      </c>
      <c r="B25" s="11" t="s">
        <v>88</v>
      </c>
      <c r="C25" s="12"/>
      <c r="D25" s="12" t="s">
        <v>1508</v>
      </c>
      <c r="E25" s="12" t="s">
        <v>1509</v>
      </c>
      <c r="F25" s="18" t="s">
        <v>1510</v>
      </c>
      <c r="G25" s="34" t="s">
        <v>541</v>
      </c>
      <c r="H25" s="12" t="s">
        <v>1508</v>
      </c>
      <c r="I25" s="12" t="s">
        <v>1507</v>
      </c>
      <c r="J25" s="14"/>
      <c r="K25" s="27">
        <v>0</v>
      </c>
      <c r="L25" s="10"/>
      <c r="M25" s="12" t="s">
        <v>1461</v>
      </c>
      <c r="N25" s="12" t="s">
        <v>1462</v>
      </c>
      <c r="O25" s="8">
        <f>SUM(P25:AW25)</f>
        <v>0</v>
      </c>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4"/>
    </row>
    <row r="26" spans="1:50">
      <c r="A26" s="4">
        <v>21</v>
      </c>
      <c r="B26" s="11" t="s">
        <v>88</v>
      </c>
      <c r="C26" s="12"/>
      <c r="D26" s="12" t="s">
        <v>1511</v>
      </c>
      <c r="E26" s="12" t="s">
        <v>1512</v>
      </c>
      <c r="F26" s="18" t="s">
        <v>1513</v>
      </c>
      <c r="G26" s="34" t="s">
        <v>541</v>
      </c>
      <c r="H26" s="12" t="s">
        <v>1511</v>
      </c>
      <c r="I26" s="12" t="s">
        <v>1507</v>
      </c>
      <c r="J26" s="14"/>
      <c r="K26" s="27">
        <v>0</v>
      </c>
      <c r="L26" s="10"/>
      <c r="M26" s="12" t="s">
        <v>1461</v>
      </c>
      <c r="N26" s="12" t="s">
        <v>1462</v>
      </c>
      <c r="O26" s="8">
        <f>SUM(P26:AW26)</f>
        <v>0</v>
      </c>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4"/>
    </row>
    <row r="27" spans="1:50">
      <c r="A27" s="4"/>
      <c r="B27" s="11" t="s">
        <v>88</v>
      </c>
      <c r="C27" s="12"/>
      <c r="D27" s="12" t="s">
        <v>1514</v>
      </c>
      <c r="E27" s="12" t="s">
        <v>1515</v>
      </c>
      <c r="F27" s="18" t="s">
        <v>1516</v>
      </c>
      <c r="G27" s="34"/>
      <c r="H27" s="12" t="s">
        <v>1514</v>
      </c>
      <c r="I27" s="12" t="s">
        <v>1507</v>
      </c>
      <c r="J27" s="14"/>
      <c r="K27" s="27">
        <v>0</v>
      </c>
      <c r="L27" s="10"/>
      <c r="M27" s="12" t="s">
        <v>1461</v>
      </c>
      <c r="N27" s="12" t="s">
        <v>1462</v>
      </c>
      <c r="O27" s="8">
        <f>SUM(P27:AW27)</f>
        <v>0</v>
      </c>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4"/>
    </row>
    <row r="28" spans="1:50">
      <c r="A28" s="4"/>
      <c r="B28" s="11" t="s">
        <v>88</v>
      </c>
      <c r="C28" s="12"/>
      <c r="D28" s="12" t="s">
        <v>1517</v>
      </c>
      <c r="E28" s="12" t="s">
        <v>1518</v>
      </c>
      <c r="F28" s="18" t="s">
        <v>1519</v>
      </c>
      <c r="G28" s="34"/>
      <c r="H28" s="12" t="s">
        <v>1517</v>
      </c>
      <c r="I28" s="12" t="s">
        <v>1507</v>
      </c>
      <c r="J28" s="14"/>
      <c r="K28" s="27">
        <v>0</v>
      </c>
      <c r="L28" s="10"/>
      <c r="M28" s="12" t="s">
        <v>1461</v>
      </c>
      <c r="N28" s="12" t="s">
        <v>1462</v>
      </c>
      <c r="O28" s="8">
        <f>SUM(P28:AW28)</f>
        <v>0</v>
      </c>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4"/>
    </row>
    <row r="29" spans="1:50">
      <c r="A29" s="4"/>
      <c r="B29" s="11" t="s">
        <v>88</v>
      </c>
      <c r="C29" s="12"/>
      <c r="D29" s="12" t="s">
        <v>1520</v>
      </c>
      <c r="E29" s="12" t="s">
        <v>1521</v>
      </c>
      <c r="F29" s="18" t="s">
        <v>1522</v>
      </c>
      <c r="G29" s="34"/>
      <c r="H29" s="12" t="s">
        <v>1520</v>
      </c>
      <c r="I29" s="12" t="s">
        <v>1507</v>
      </c>
      <c r="J29" s="14"/>
      <c r="K29" s="27">
        <v>0</v>
      </c>
      <c r="L29" s="10"/>
      <c r="M29" s="12" t="s">
        <v>1461</v>
      </c>
      <c r="N29" s="12" t="s">
        <v>1462</v>
      </c>
      <c r="O29" s="8">
        <f>SUM(P29:AW29)</f>
        <v>0</v>
      </c>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4"/>
    </row>
    <row r="30" spans="1:50" ht="39.6" customHeight="1">
      <c r="A30" s="4">
        <v>22</v>
      </c>
      <c r="B30" s="5" t="s">
        <v>88</v>
      </c>
      <c r="C30" s="6"/>
      <c r="D30" s="6" t="s">
        <v>1523</v>
      </c>
      <c r="E30" s="6" t="s">
        <v>1524</v>
      </c>
      <c r="F30" s="7" t="s">
        <v>1525</v>
      </c>
      <c r="G30" s="9"/>
      <c r="H30" s="6" t="s">
        <v>1523</v>
      </c>
      <c r="I30" s="9"/>
      <c r="J30" s="9"/>
      <c r="K30" s="20">
        <v>0</v>
      </c>
      <c r="L30" s="4"/>
      <c r="M30" s="9" t="s">
        <v>1461</v>
      </c>
      <c r="N30" s="12" t="s">
        <v>1462</v>
      </c>
      <c r="O30" s="8">
        <f>SUM(P30:AW30)</f>
        <v>0</v>
      </c>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9"/>
    </row>
    <row r="31" spans="1:50">
      <c r="A31" s="4">
        <v>23</v>
      </c>
      <c r="B31" s="11" t="s">
        <v>88</v>
      </c>
      <c r="C31" s="12"/>
      <c r="D31" s="12" t="s">
        <v>1526</v>
      </c>
      <c r="E31" s="12" t="s">
        <v>1527</v>
      </c>
      <c r="F31" s="18" t="s">
        <v>1528</v>
      </c>
      <c r="G31" s="34" t="s">
        <v>541</v>
      </c>
      <c r="H31" s="12" t="s">
        <v>1526</v>
      </c>
      <c r="I31" s="12" t="s">
        <v>1507</v>
      </c>
      <c r="J31" s="14"/>
      <c r="K31" s="27">
        <v>0</v>
      </c>
      <c r="L31" s="10"/>
      <c r="M31" s="12" t="s">
        <v>1461</v>
      </c>
      <c r="N31" s="12" t="s">
        <v>1462</v>
      </c>
      <c r="O31" s="8">
        <f>SUM(P31:AW31)</f>
        <v>0</v>
      </c>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2"/>
    </row>
    <row r="32" spans="1:50">
      <c r="A32" s="4">
        <v>24</v>
      </c>
      <c r="B32" s="11" t="s">
        <v>88</v>
      </c>
      <c r="C32" s="12"/>
      <c r="D32" s="12" t="s">
        <v>1529</v>
      </c>
      <c r="E32" s="12" t="s">
        <v>1530</v>
      </c>
      <c r="F32" s="18" t="s">
        <v>1531</v>
      </c>
      <c r="G32" s="34" t="s">
        <v>541</v>
      </c>
      <c r="H32" s="12" t="s">
        <v>1529</v>
      </c>
      <c r="I32" s="12" t="s">
        <v>1507</v>
      </c>
      <c r="J32" s="14"/>
      <c r="K32" s="27">
        <v>0</v>
      </c>
      <c r="L32" s="10"/>
      <c r="M32" s="12" t="s">
        <v>1461</v>
      </c>
      <c r="N32" s="12" t="s">
        <v>1462</v>
      </c>
      <c r="O32" s="8">
        <f>SUM(P32:AW32)</f>
        <v>0</v>
      </c>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2"/>
    </row>
    <row r="33" spans="1:50">
      <c r="A33" s="4">
        <v>25</v>
      </c>
      <c r="B33" s="11" t="s">
        <v>88</v>
      </c>
      <c r="C33" s="12"/>
      <c r="D33" s="12" t="s">
        <v>1532</v>
      </c>
      <c r="E33" s="12" t="s">
        <v>1533</v>
      </c>
      <c r="F33" s="18" t="s">
        <v>1534</v>
      </c>
      <c r="G33" s="34" t="s">
        <v>541</v>
      </c>
      <c r="H33" s="12" t="s">
        <v>1532</v>
      </c>
      <c r="I33" s="12" t="s">
        <v>1507</v>
      </c>
      <c r="J33" s="14"/>
      <c r="K33" s="27">
        <v>0</v>
      </c>
      <c r="L33" s="10"/>
      <c r="M33" s="12" t="s">
        <v>1461</v>
      </c>
      <c r="N33" s="12" t="s">
        <v>1462</v>
      </c>
      <c r="O33" s="8">
        <f>SUM(P33:AW33)</f>
        <v>0</v>
      </c>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2"/>
    </row>
    <row r="34" spans="1:50" ht="26.45" customHeight="1">
      <c r="A34" s="4">
        <v>26</v>
      </c>
      <c r="B34" s="5" t="s">
        <v>88</v>
      </c>
      <c r="C34" s="6"/>
      <c r="D34" s="37" t="s">
        <v>1535</v>
      </c>
      <c r="E34" s="37" t="s">
        <v>1536</v>
      </c>
      <c r="F34" s="54" t="s">
        <v>1537</v>
      </c>
      <c r="G34" s="9"/>
      <c r="H34" s="9" t="s">
        <v>1535</v>
      </c>
      <c r="I34" s="9"/>
      <c r="J34" s="9"/>
      <c r="K34" s="20">
        <v>0</v>
      </c>
      <c r="L34" s="4"/>
      <c r="M34" s="9" t="s">
        <v>1461</v>
      </c>
      <c r="N34" s="9"/>
      <c r="O34" s="8">
        <f>SUM(P34:AW34)</f>
        <v>0</v>
      </c>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9"/>
    </row>
    <row r="35" spans="1:50">
      <c r="A35" s="4">
        <v>27</v>
      </c>
      <c r="B35" s="11" t="s">
        <v>88</v>
      </c>
      <c r="C35" s="12"/>
      <c r="D35" s="12" t="s">
        <v>1538</v>
      </c>
      <c r="E35" s="12" t="s">
        <v>1539</v>
      </c>
      <c r="F35" s="18" t="s">
        <v>1540</v>
      </c>
      <c r="G35" s="34" t="s">
        <v>541</v>
      </c>
      <c r="H35" s="12" t="s">
        <v>1538</v>
      </c>
      <c r="I35" s="12" t="s">
        <v>1541</v>
      </c>
      <c r="J35" s="14"/>
      <c r="K35" s="27">
        <v>0</v>
      </c>
      <c r="L35" s="10"/>
      <c r="M35" s="12" t="s">
        <v>1461</v>
      </c>
      <c r="N35" s="12" t="s">
        <v>1462</v>
      </c>
      <c r="O35" s="8">
        <f>SUM(P35:AW35)</f>
        <v>0</v>
      </c>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2"/>
    </row>
    <row r="36" spans="1:50" ht="15">
      <c r="A36" s="4">
        <v>28</v>
      </c>
      <c r="B36" s="11" t="s">
        <v>88</v>
      </c>
      <c r="C36" s="12"/>
      <c r="D36" s="12" t="s">
        <v>1542</v>
      </c>
      <c r="E36" s="12" t="s">
        <v>1543</v>
      </c>
      <c r="F36" s="18" t="s">
        <v>1544</v>
      </c>
      <c r="G36" s="34" t="s">
        <v>541</v>
      </c>
      <c r="H36" s="12" t="s">
        <v>1542</v>
      </c>
      <c r="I36" s="12" t="s">
        <v>1541</v>
      </c>
      <c r="J36" s="14"/>
      <c r="K36" s="27">
        <v>0</v>
      </c>
      <c r="L36" s="10"/>
      <c r="M36" s="12" t="s">
        <v>1461</v>
      </c>
      <c r="N36" s="12" t="s">
        <v>1462</v>
      </c>
      <c r="O36" s="8">
        <f>SUM(P36:AW36)</f>
        <v>0</v>
      </c>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2"/>
    </row>
    <row r="37" spans="1:50" ht="15">
      <c r="A37" s="4">
        <v>29</v>
      </c>
      <c r="B37" s="11" t="s">
        <v>88</v>
      </c>
      <c r="C37" s="12"/>
      <c r="D37" s="12" t="s">
        <v>1545</v>
      </c>
      <c r="E37" s="12" t="s">
        <v>1546</v>
      </c>
      <c r="F37" s="104" t="s">
        <v>1547</v>
      </c>
      <c r="G37" s="34" t="s">
        <v>541</v>
      </c>
      <c r="H37" s="12" t="s">
        <v>1545</v>
      </c>
      <c r="I37" s="12" t="s">
        <v>1541</v>
      </c>
      <c r="J37" s="14"/>
      <c r="K37" s="27">
        <v>0</v>
      </c>
      <c r="L37" s="10"/>
      <c r="M37" s="12" t="s">
        <v>1461</v>
      </c>
      <c r="N37" s="12" t="s">
        <v>1462</v>
      </c>
      <c r="O37" s="8">
        <f>SUM(P37:AW37)</f>
        <v>0</v>
      </c>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2"/>
    </row>
    <row r="38" spans="1:50" ht="15">
      <c r="A38" s="4">
        <v>30</v>
      </c>
      <c r="B38" s="11" t="s">
        <v>88</v>
      </c>
      <c r="C38" s="12"/>
      <c r="D38" s="12" t="s">
        <v>1548</v>
      </c>
      <c r="E38" s="12" t="s">
        <v>1549</v>
      </c>
      <c r="F38" s="18" t="s">
        <v>1550</v>
      </c>
      <c r="G38" s="34" t="s">
        <v>541</v>
      </c>
      <c r="H38" s="12" t="s">
        <v>1548</v>
      </c>
      <c r="I38" s="12" t="s">
        <v>1541</v>
      </c>
      <c r="J38" s="14"/>
      <c r="K38" s="27">
        <v>0</v>
      </c>
      <c r="L38" s="10"/>
      <c r="M38" s="12" t="s">
        <v>1461</v>
      </c>
      <c r="N38" s="12" t="s">
        <v>1462</v>
      </c>
      <c r="O38" s="8">
        <f>SUM(P38:AW38)</f>
        <v>0</v>
      </c>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2"/>
    </row>
    <row r="39" spans="1:50" ht="15">
      <c r="A39" s="4">
        <v>31</v>
      </c>
      <c r="B39" s="11" t="s">
        <v>88</v>
      </c>
      <c r="C39" s="12"/>
      <c r="D39" s="12" t="s">
        <v>1551</v>
      </c>
      <c r="E39" s="12" t="s">
        <v>1552</v>
      </c>
      <c r="F39" s="18" t="s">
        <v>1553</v>
      </c>
      <c r="G39" s="34" t="s">
        <v>541</v>
      </c>
      <c r="H39" s="12" t="s">
        <v>1551</v>
      </c>
      <c r="I39" s="12" t="s">
        <v>1541</v>
      </c>
      <c r="J39" s="14"/>
      <c r="K39" s="27">
        <v>0</v>
      </c>
      <c r="L39" s="10"/>
      <c r="M39" s="12" t="s">
        <v>1461</v>
      </c>
      <c r="N39" s="12" t="s">
        <v>1462</v>
      </c>
      <c r="O39" s="8">
        <f>SUM(P39:AW39)</f>
        <v>0</v>
      </c>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2"/>
    </row>
    <row r="40" spans="1:50" ht="15">
      <c r="A40" s="4">
        <v>32</v>
      </c>
      <c r="B40" s="11" t="s">
        <v>88</v>
      </c>
      <c r="C40" s="12"/>
      <c r="D40" s="12" t="s">
        <v>1554</v>
      </c>
      <c r="E40" s="12" t="s">
        <v>1555</v>
      </c>
      <c r="F40" s="18" t="s">
        <v>1556</v>
      </c>
      <c r="G40" s="34" t="s">
        <v>541</v>
      </c>
      <c r="H40" s="12" t="s">
        <v>1554</v>
      </c>
      <c r="I40" s="12" t="s">
        <v>1541</v>
      </c>
      <c r="J40" s="14"/>
      <c r="K40" s="27">
        <v>0</v>
      </c>
      <c r="L40" s="10"/>
      <c r="M40" s="12" t="s">
        <v>1461</v>
      </c>
      <c r="N40" s="12" t="s">
        <v>1462</v>
      </c>
      <c r="O40" s="8">
        <f>SUM(P40:AW40)</f>
        <v>0</v>
      </c>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2"/>
    </row>
    <row r="41" spans="1:50" ht="15">
      <c r="A41" s="4">
        <v>33</v>
      </c>
      <c r="B41" s="11" t="s">
        <v>88</v>
      </c>
      <c r="C41" s="12"/>
      <c r="D41" s="12" t="s">
        <v>1557</v>
      </c>
      <c r="E41" s="12" t="s">
        <v>1555</v>
      </c>
      <c r="F41" s="104" t="s">
        <v>1558</v>
      </c>
      <c r="G41" s="34" t="s">
        <v>541</v>
      </c>
      <c r="H41" s="12" t="s">
        <v>1557</v>
      </c>
      <c r="I41" s="12" t="s">
        <v>1541</v>
      </c>
      <c r="J41" s="14"/>
      <c r="K41" s="27">
        <v>0</v>
      </c>
      <c r="L41" s="10"/>
      <c r="M41" s="12" t="s">
        <v>1461</v>
      </c>
      <c r="N41" s="12" t="s">
        <v>1462</v>
      </c>
      <c r="O41" s="8">
        <f>SUM(P41:AW41)</f>
        <v>0</v>
      </c>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2"/>
    </row>
    <row r="42" spans="1:50">
      <c r="A42" s="4">
        <v>34</v>
      </c>
      <c r="B42" s="11" t="s">
        <v>88</v>
      </c>
      <c r="C42" s="12"/>
      <c r="D42" s="12" t="s">
        <v>1559</v>
      </c>
      <c r="E42" s="12" t="s">
        <v>1555</v>
      </c>
      <c r="F42" s="18" t="s">
        <v>1560</v>
      </c>
      <c r="G42" s="34" t="s">
        <v>541</v>
      </c>
      <c r="H42" s="12" t="s">
        <v>1559</v>
      </c>
      <c r="I42" s="12" t="s">
        <v>1541</v>
      </c>
      <c r="J42" s="14"/>
      <c r="K42" s="27">
        <v>0</v>
      </c>
      <c r="L42" s="10"/>
      <c r="M42" s="12" t="s">
        <v>1461</v>
      </c>
      <c r="N42" s="12" t="s">
        <v>1462</v>
      </c>
      <c r="O42" s="8">
        <f>SUM(P42:AW42)</f>
        <v>0</v>
      </c>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2"/>
    </row>
    <row r="43" spans="1:50">
      <c r="A43" s="4">
        <v>35</v>
      </c>
      <c r="B43" s="5" t="s">
        <v>88</v>
      </c>
      <c r="C43" s="6"/>
      <c r="D43" s="37" t="s">
        <v>1561</v>
      </c>
      <c r="E43" s="37" t="s">
        <v>1562</v>
      </c>
      <c r="F43" s="7"/>
      <c r="G43" s="9"/>
      <c r="H43" s="9"/>
      <c r="I43" s="9"/>
      <c r="J43" s="9"/>
      <c r="K43" s="20">
        <v>0</v>
      </c>
      <c r="L43" s="4"/>
      <c r="M43" s="9" t="s">
        <v>1461</v>
      </c>
      <c r="N43" s="9"/>
      <c r="O43" s="8">
        <f>SUM(P43:AW43)</f>
        <v>0</v>
      </c>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9"/>
    </row>
    <row r="44" spans="1:50">
      <c r="A44" s="4">
        <v>36</v>
      </c>
      <c r="B44" s="11" t="s">
        <v>88</v>
      </c>
      <c r="C44" s="12"/>
      <c r="D44" s="12" t="s">
        <v>1563</v>
      </c>
      <c r="E44" s="12" t="s">
        <v>1564</v>
      </c>
      <c r="F44" s="18" t="s">
        <v>1565</v>
      </c>
      <c r="G44" s="34" t="s">
        <v>541</v>
      </c>
      <c r="H44" s="12" t="s">
        <v>1563</v>
      </c>
      <c r="I44" s="12" t="s">
        <v>1566</v>
      </c>
      <c r="J44" s="14"/>
      <c r="K44" s="27">
        <v>0</v>
      </c>
      <c r="L44" s="10"/>
      <c r="M44" s="12" t="s">
        <v>1461</v>
      </c>
      <c r="N44" s="12" t="s">
        <v>1462</v>
      </c>
      <c r="O44" s="8">
        <f>SUM(P44:AW44)</f>
        <v>0</v>
      </c>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2"/>
    </row>
    <row r="45" spans="1:50">
      <c r="A45" s="4">
        <v>37</v>
      </c>
      <c r="B45" s="11" t="s">
        <v>88</v>
      </c>
      <c r="C45" s="12"/>
      <c r="D45" s="12" t="s">
        <v>1567</v>
      </c>
      <c r="E45" s="12" t="s">
        <v>1568</v>
      </c>
      <c r="F45" s="18" t="s">
        <v>1569</v>
      </c>
      <c r="G45" s="34" t="s">
        <v>541</v>
      </c>
      <c r="H45" s="12" t="s">
        <v>1567</v>
      </c>
      <c r="I45" s="12" t="s">
        <v>1570</v>
      </c>
      <c r="J45" s="14"/>
      <c r="K45" s="27">
        <v>0</v>
      </c>
      <c r="L45" s="10"/>
      <c r="M45" s="12" t="s">
        <v>1461</v>
      </c>
      <c r="N45" s="12" t="s">
        <v>1462</v>
      </c>
      <c r="O45" s="8">
        <f>SUM(P45:AW45)</f>
        <v>0</v>
      </c>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2"/>
    </row>
    <row r="46" spans="1:50">
      <c r="A46" s="4">
        <v>38</v>
      </c>
      <c r="B46" s="11" t="s">
        <v>88</v>
      </c>
      <c r="C46" s="12"/>
      <c r="D46" s="12" t="s">
        <v>1571</v>
      </c>
      <c r="E46" s="12" t="s">
        <v>1572</v>
      </c>
      <c r="F46" s="18" t="s">
        <v>1573</v>
      </c>
      <c r="G46" s="34" t="s">
        <v>541</v>
      </c>
      <c r="H46" s="12" t="s">
        <v>1571</v>
      </c>
      <c r="I46" s="12" t="s">
        <v>1570</v>
      </c>
      <c r="J46" s="14"/>
      <c r="K46" s="27">
        <v>0</v>
      </c>
      <c r="L46" s="10"/>
      <c r="M46" s="12" t="s">
        <v>1461</v>
      </c>
      <c r="N46" s="12" t="s">
        <v>1462</v>
      </c>
      <c r="O46" s="8">
        <f>SUM(P46:AW46)</f>
        <v>0</v>
      </c>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2"/>
    </row>
    <row r="47" spans="1:50">
      <c r="A47" s="4">
        <v>39</v>
      </c>
      <c r="B47" s="5" t="s">
        <v>88</v>
      </c>
      <c r="C47" s="6"/>
      <c r="D47" s="37" t="s">
        <v>1574</v>
      </c>
      <c r="E47" s="37" t="s">
        <v>1575</v>
      </c>
      <c r="F47" s="7" t="s">
        <v>1576</v>
      </c>
      <c r="G47" s="9"/>
      <c r="H47" s="9"/>
      <c r="I47" s="9"/>
      <c r="J47" s="9"/>
      <c r="K47" s="20">
        <v>0</v>
      </c>
      <c r="L47" s="4"/>
      <c r="M47" s="9" t="s">
        <v>1461</v>
      </c>
      <c r="N47" s="9"/>
      <c r="O47" s="8">
        <f>SUM(P47:AW47)</f>
        <v>0</v>
      </c>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9"/>
    </row>
    <row r="48" spans="1:50">
      <c r="A48" s="4">
        <v>40</v>
      </c>
      <c r="B48" s="11" t="s">
        <v>88</v>
      </c>
      <c r="C48" s="12"/>
      <c r="D48" s="12" t="s">
        <v>1577</v>
      </c>
      <c r="E48" s="12" t="s">
        <v>1578</v>
      </c>
      <c r="F48" s="18" t="s">
        <v>1579</v>
      </c>
      <c r="G48" s="34" t="s">
        <v>541</v>
      </c>
      <c r="H48" s="12" t="s">
        <v>1577</v>
      </c>
      <c r="I48" s="12" t="s">
        <v>1580</v>
      </c>
      <c r="J48" s="14"/>
      <c r="K48" s="27">
        <v>0</v>
      </c>
      <c r="L48" s="10"/>
      <c r="M48" s="12" t="s">
        <v>1461</v>
      </c>
      <c r="N48" s="12" t="s">
        <v>1462</v>
      </c>
      <c r="O48" s="8">
        <f>SUM(P48:AW48)</f>
        <v>0</v>
      </c>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4"/>
    </row>
    <row r="49" spans="1:50" ht="26.45" customHeight="1">
      <c r="A49" s="4">
        <v>41</v>
      </c>
      <c r="B49" s="11" t="s">
        <v>88</v>
      </c>
      <c r="C49" s="12"/>
      <c r="D49" s="12" t="s">
        <v>1581</v>
      </c>
      <c r="E49" s="12" t="s">
        <v>1582</v>
      </c>
      <c r="F49" s="18" t="s">
        <v>1488</v>
      </c>
      <c r="G49" s="34" t="s">
        <v>541</v>
      </c>
      <c r="H49" s="12" t="s">
        <v>1581</v>
      </c>
      <c r="I49" s="12" t="s">
        <v>1489</v>
      </c>
      <c r="J49" s="14"/>
      <c r="K49" s="27">
        <v>0</v>
      </c>
      <c r="L49" s="10"/>
      <c r="M49" s="12" t="s">
        <v>1461</v>
      </c>
      <c r="N49" s="12" t="s">
        <v>1462</v>
      </c>
      <c r="O49" s="8">
        <f>SUM(P49:AW49)</f>
        <v>0</v>
      </c>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4"/>
    </row>
    <row r="50" spans="1:50" ht="26.45" customHeight="1">
      <c r="A50" s="4">
        <v>42</v>
      </c>
      <c r="B50" s="11" t="s">
        <v>88</v>
      </c>
      <c r="C50" s="12"/>
      <c r="D50" s="12" t="s">
        <v>1583</v>
      </c>
      <c r="E50" s="12" t="s">
        <v>1584</v>
      </c>
      <c r="F50" s="18" t="s">
        <v>1585</v>
      </c>
      <c r="G50" s="34" t="s">
        <v>541</v>
      </c>
      <c r="H50" s="12" t="s">
        <v>1583</v>
      </c>
      <c r="I50" s="12" t="s">
        <v>1507</v>
      </c>
      <c r="J50" s="14"/>
      <c r="K50" s="27">
        <v>0</v>
      </c>
      <c r="L50" s="10"/>
      <c r="M50" s="12" t="s">
        <v>1461</v>
      </c>
      <c r="N50" s="12" t="s">
        <v>1462</v>
      </c>
      <c r="O50" s="8">
        <f>SUM(P50:AW50)</f>
        <v>0</v>
      </c>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4"/>
    </row>
    <row r="51" spans="1:50" ht="26.45" customHeight="1">
      <c r="A51" s="4">
        <v>43</v>
      </c>
      <c r="B51" s="11" t="s">
        <v>88</v>
      </c>
      <c r="C51" s="12"/>
      <c r="D51" s="12" t="s">
        <v>1586</v>
      </c>
      <c r="E51" s="12" t="s">
        <v>1584</v>
      </c>
      <c r="F51" s="18" t="s">
        <v>1587</v>
      </c>
      <c r="G51" s="34" t="s">
        <v>541</v>
      </c>
      <c r="H51" s="12" t="s">
        <v>1586</v>
      </c>
      <c r="I51" s="12" t="s">
        <v>1507</v>
      </c>
      <c r="J51" s="14"/>
      <c r="K51" s="27">
        <v>0</v>
      </c>
      <c r="L51" s="10"/>
      <c r="M51" s="12" t="s">
        <v>1461</v>
      </c>
      <c r="N51" s="12" t="s">
        <v>1462</v>
      </c>
      <c r="O51" s="8">
        <f>SUM(P51:AW51)</f>
        <v>0</v>
      </c>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2"/>
    </row>
    <row r="52" spans="1:50" ht="26.45" customHeight="1">
      <c r="A52" s="4">
        <v>44</v>
      </c>
      <c r="B52" s="11" t="s">
        <v>88</v>
      </c>
      <c r="C52" s="12"/>
      <c r="D52" s="12" t="s">
        <v>1588</v>
      </c>
      <c r="E52" s="12" t="s">
        <v>1589</v>
      </c>
      <c r="F52" s="18" t="s">
        <v>1590</v>
      </c>
      <c r="G52" s="34" t="s">
        <v>541</v>
      </c>
      <c r="H52" s="12" t="s">
        <v>1588</v>
      </c>
      <c r="I52" s="12" t="s">
        <v>1591</v>
      </c>
      <c r="J52" s="14"/>
      <c r="K52" s="27">
        <v>0</v>
      </c>
      <c r="L52" s="10"/>
      <c r="M52" s="12" t="s">
        <v>1461</v>
      </c>
      <c r="N52" s="12" t="s">
        <v>1462</v>
      </c>
      <c r="O52" s="8">
        <f>SUM(P52:AW52)</f>
        <v>0</v>
      </c>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4"/>
    </row>
    <row r="53" spans="1:50">
      <c r="A53" s="4">
        <v>45</v>
      </c>
      <c r="B53" s="11" t="s">
        <v>88</v>
      </c>
      <c r="C53" s="12"/>
      <c r="D53" s="12" t="s">
        <v>1592</v>
      </c>
      <c r="E53" s="12" t="s">
        <v>1593</v>
      </c>
      <c r="F53" s="18" t="s">
        <v>1594</v>
      </c>
      <c r="G53" s="34" t="s">
        <v>541</v>
      </c>
      <c r="H53" s="12" t="s">
        <v>1592</v>
      </c>
      <c r="I53" s="12" t="s">
        <v>1489</v>
      </c>
      <c r="J53" s="14"/>
      <c r="K53" s="27">
        <v>0</v>
      </c>
      <c r="L53" s="10"/>
      <c r="M53" s="12" t="s">
        <v>1461</v>
      </c>
      <c r="N53" s="12" t="s">
        <v>1462</v>
      </c>
      <c r="O53" s="8">
        <f>SUM(P53:AW53)</f>
        <v>0</v>
      </c>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2"/>
    </row>
    <row r="54" spans="1:50">
      <c r="A54" s="4">
        <v>46</v>
      </c>
      <c r="B54" s="11" t="s">
        <v>88</v>
      </c>
      <c r="C54" s="12"/>
      <c r="D54" s="12" t="s">
        <v>1595</v>
      </c>
      <c r="E54" s="12" t="s">
        <v>1593</v>
      </c>
      <c r="F54" s="18" t="s">
        <v>1596</v>
      </c>
      <c r="G54" s="34" t="s">
        <v>541</v>
      </c>
      <c r="H54" s="12" t="s">
        <v>1595</v>
      </c>
      <c r="I54" s="12" t="s">
        <v>1591</v>
      </c>
      <c r="J54" s="14"/>
      <c r="K54" s="27">
        <v>0</v>
      </c>
      <c r="L54" s="10"/>
      <c r="M54" s="12" t="s">
        <v>1461</v>
      </c>
      <c r="N54" s="12" t="s">
        <v>1462</v>
      </c>
      <c r="O54" s="8">
        <f>SUM(P54:AW54)</f>
        <v>0</v>
      </c>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4"/>
    </row>
    <row r="55" spans="1:50">
      <c r="A55" s="4">
        <v>47</v>
      </c>
      <c r="B55" s="5" t="s">
        <v>88</v>
      </c>
      <c r="C55" s="6"/>
      <c r="D55" s="35" t="s">
        <v>1597</v>
      </c>
      <c r="E55" s="35" t="s">
        <v>1598</v>
      </c>
      <c r="F55" s="7"/>
      <c r="G55" s="9"/>
      <c r="H55" s="9"/>
      <c r="I55" s="9"/>
      <c r="J55" s="9"/>
      <c r="K55" s="20">
        <v>0</v>
      </c>
      <c r="L55" s="4"/>
      <c r="M55" s="9" t="s">
        <v>1461</v>
      </c>
      <c r="N55" s="9"/>
      <c r="O55" s="8">
        <f>SUM(P55:AW55)</f>
        <v>0</v>
      </c>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9"/>
    </row>
    <row r="56" spans="1:50">
      <c r="A56" s="4">
        <v>48</v>
      </c>
      <c r="B56" s="11" t="s">
        <v>88</v>
      </c>
      <c r="C56" s="12"/>
      <c r="D56" s="12" t="s">
        <v>1599</v>
      </c>
      <c r="E56" s="12" t="s">
        <v>1600</v>
      </c>
      <c r="F56" s="18" t="s">
        <v>1601</v>
      </c>
      <c r="G56" s="34" t="s">
        <v>541</v>
      </c>
      <c r="H56" s="12" t="s">
        <v>1599</v>
      </c>
      <c r="I56" s="12" t="s">
        <v>1602</v>
      </c>
      <c r="J56" s="14"/>
      <c r="K56" s="27">
        <v>0</v>
      </c>
      <c r="L56" s="10"/>
      <c r="M56" s="12" t="s">
        <v>1461</v>
      </c>
      <c r="N56" s="12" t="s">
        <v>1462</v>
      </c>
      <c r="O56" s="8">
        <f>SUM(P56:AW56)</f>
        <v>0</v>
      </c>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4"/>
    </row>
    <row r="57" spans="1:50">
      <c r="A57" s="4">
        <v>49</v>
      </c>
      <c r="B57" s="11" t="s">
        <v>88</v>
      </c>
      <c r="C57" s="12"/>
      <c r="D57" s="12" t="s">
        <v>1603</v>
      </c>
      <c r="E57" s="12" t="s">
        <v>1604</v>
      </c>
      <c r="F57" s="18" t="s">
        <v>1605</v>
      </c>
      <c r="G57" s="34" t="s">
        <v>541</v>
      </c>
      <c r="H57" s="12" t="s">
        <v>1603</v>
      </c>
      <c r="I57" s="12" t="s">
        <v>1606</v>
      </c>
      <c r="J57" s="14"/>
      <c r="K57" s="27">
        <v>0</v>
      </c>
      <c r="L57" s="10"/>
      <c r="M57" s="12" t="s">
        <v>1461</v>
      </c>
      <c r="N57" s="12" t="s">
        <v>1462</v>
      </c>
      <c r="O57" s="8">
        <f>SUM(P57:AW57)</f>
        <v>0</v>
      </c>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4"/>
    </row>
    <row r="58" spans="1:50">
      <c r="A58" s="4">
        <v>50</v>
      </c>
      <c r="B58" s="11" t="s">
        <v>88</v>
      </c>
      <c r="C58" s="12"/>
      <c r="D58" s="12" t="s">
        <v>1607</v>
      </c>
      <c r="E58" s="12" t="s">
        <v>1608</v>
      </c>
      <c r="F58" s="18" t="s">
        <v>1609</v>
      </c>
      <c r="G58" s="34" t="s">
        <v>541</v>
      </c>
      <c r="H58" s="12" t="s">
        <v>1607</v>
      </c>
      <c r="I58" s="12" t="s">
        <v>1606</v>
      </c>
      <c r="J58" s="14"/>
      <c r="K58" s="27">
        <v>0</v>
      </c>
      <c r="L58" s="10"/>
      <c r="M58" s="12" t="s">
        <v>1461</v>
      </c>
      <c r="N58" s="12" t="s">
        <v>1462</v>
      </c>
      <c r="O58" s="8">
        <f>SUM(P58:AW58)</f>
        <v>0</v>
      </c>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4"/>
    </row>
    <row r="59" spans="1:50" ht="26.45" customHeight="1">
      <c r="A59" s="4">
        <v>51</v>
      </c>
      <c r="B59" s="11" t="s">
        <v>88</v>
      </c>
      <c r="C59" s="12"/>
      <c r="D59" s="12" t="s">
        <v>1610</v>
      </c>
      <c r="E59" s="12" t="s">
        <v>1611</v>
      </c>
      <c r="F59" s="18" t="s">
        <v>1612</v>
      </c>
      <c r="G59" s="34" t="s">
        <v>541</v>
      </c>
      <c r="H59" s="12" t="s">
        <v>1610</v>
      </c>
      <c r="I59" s="12" t="s">
        <v>1613</v>
      </c>
      <c r="J59" s="14"/>
      <c r="K59" s="27">
        <v>0</v>
      </c>
      <c r="L59" s="10"/>
      <c r="M59" s="12" t="s">
        <v>1461</v>
      </c>
      <c r="N59" s="12" t="s">
        <v>1462</v>
      </c>
      <c r="O59" s="8">
        <f>SUM(P59:AW59)</f>
        <v>0</v>
      </c>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4"/>
    </row>
    <row r="60" spans="1:50">
      <c r="A60" s="4">
        <v>52</v>
      </c>
      <c r="B60" s="11" t="s">
        <v>88</v>
      </c>
      <c r="C60" s="12"/>
      <c r="D60" s="12" t="s">
        <v>1614</v>
      </c>
      <c r="E60" s="12" t="s">
        <v>1615</v>
      </c>
      <c r="F60" s="18" t="s">
        <v>1616</v>
      </c>
      <c r="G60" s="34" t="s">
        <v>541</v>
      </c>
      <c r="H60" s="12" t="s">
        <v>1614</v>
      </c>
      <c r="I60" s="12" t="s">
        <v>1617</v>
      </c>
      <c r="J60" s="14"/>
      <c r="K60" s="27">
        <v>0</v>
      </c>
      <c r="L60" s="10"/>
      <c r="M60" s="12" t="s">
        <v>1461</v>
      </c>
      <c r="N60" s="12" t="s">
        <v>1462</v>
      </c>
      <c r="O60" s="8">
        <f>SUM(P60:AW60)</f>
        <v>0</v>
      </c>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2"/>
    </row>
    <row r="61" spans="1:50">
      <c r="A61" s="4"/>
      <c r="B61" s="11"/>
      <c r="C61" s="12"/>
      <c r="D61" s="12" t="s">
        <v>1618</v>
      </c>
      <c r="E61" s="12" t="s">
        <v>1619</v>
      </c>
      <c r="F61" s="18" t="s">
        <v>1620</v>
      </c>
      <c r="G61" s="34"/>
      <c r="H61" s="12"/>
      <c r="I61" s="12"/>
      <c r="J61" s="14"/>
      <c r="K61" s="27"/>
      <c r="L61" s="10"/>
      <c r="M61" s="12" t="s">
        <v>1461</v>
      </c>
      <c r="N61" s="12" t="s">
        <v>1462</v>
      </c>
      <c r="O61" s="8">
        <f>SUM(P61:AW61)</f>
        <v>0</v>
      </c>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2"/>
    </row>
    <row r="62" spans="1:50">
      <c r="A62" s="4">
        <v>53</v>
      </c>
      <c r="B62" s="5" t="s">
        <v>88</v>
      </c>
      <c r="C62" s="6"/>
      <c r="D62" s="35" t="s">
        <v>1621</v>
      </c>
      <c r="E62" s="35" t="s">
        <v>1622</v>
      </c>
      <c r="F62" s="7"/>
      <c r="G62" s="9"/>
      <c r="H62" s="9"/>
      <c r="I62" s="9"/>
      <c r="J62" s="9"/>
      <c r="K62" s="20">
        <v>0</v>
      </c>
      <c r="L62" s="4"/>
      <c r="M62" s="9" t="s">
        <v>1461</v>
      </c>
      <c r="N62" s="9"/>
      <c r="O62" s="8">
        <f>SUM(P62:AW62)</f>
        <v>0</v>
      </c>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9"/>
    </row>
    <row r="63" spans="1:50">
      <c r="A63" s="4">
        <v>54</v>
      </c>
      <c r="B63" s="5" t="s">
        <v>88</v>
      </c>
      <c r="C63" s="6"/>
      <c r="D63" s="37" t="s">
        <v>1623</v>
      </c>
      <c r="E63" s="37" t="s">
        <v>1624</v>
      </c>
      <c r="F63" s="7"/>
      <c r="G63" s="9"/>
      <c r="H63" s="9"/>
      <c r="I63" s="9"/>
      <c r="J63" s="9"/>
      <c r="K63" s="20">
        <v>0</v>
      </c>
      <c r="L63" s="4"/>
      <c r="M63" s="9" t="s">
        <v>1461</v>
      </c>
      <c r="N63" s="9"/>
      <c r="O63" s="8">
        <f>SUM(P63:AW63)</f>
        <v>0</v>
      </c>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9"/>
    </row>
    <row r="64" spans="1:50">
      <c r="A64" s="4">
        <v>55</v>
      </c>
      <c r="B64" s="11" t="s">
        <v>88</v>
      </c>
      <c r="C64" s="12"/>
      <c r="D64" s="12" t="s">
        <v>1625</v>
      </c>
      <c r="E64" s="12" t="s">
        <v>1626</v>
      </c>
      <c r="F64" s="18" t="s">
        <v>1627</v>
      </c>
      <c r="G64" s="34" t="s">
        <v>541</v>
      </c>
      <c r="H64" s="12" t="s">
        <v>1625</v>
      </c>
      <c r="I64" s="12" t="s">
        <v>1628</v>
      </c>
      <c r="J64" s="14"/>
      <c r="K64" s="27">
        <v>0</v>
      </c>
      <c r="L64" s="10"/>
      <c r="M64" s="12" t="s">
        <v>1461</v>
      </c>
      <c r="N64" s="12" t="s">
        <v>1462</v>
      </c>
      <c r="O64" s="8">
        <f>SUM(P64:AW64)</f>
        <v>0</v>
      </c>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4"/>
    </row>
    <row r="65" spans="1:50">
      <c r="A65" s="4">
        <v>56</v>
      </c>
      <c r="B65" s="11" t="s">
        <v>88</v>
      </c>
      <c r="C65" s="12"/>
      <c r="D65" s="12" t="s">
        <v>1629</v>
      </c>
      <c r="E65" s="12" t="s">
        <v>1630</v>
      </c>
      <c r="F65" s="18" t="s">
        <v>1631</v>
      </c>
      <c r="G65" s="34" t="s">
        <v>541</v>
      </c>
      <c r="H65" s="12" t="s">
        <v>1629</v>
      </c>
      <c r="I65" s="12" t="s">
        <v>1632</v>
      </c>
      <c r="J65" s="14"/>
      <c r="K65" s="27">
        <v>0</v>
      </c>
      <c r="L65" s="10"/>
      <c r="M65" s="12" t="s">
        <v>1461</v>
      </c>
      <c r="N65" s="12" t="s">
        <v>1462</v>
      </c>
      <c r="O65" s="8">
        <f>SUM(P65:AW65)</f>
        <v>0</v>
      </c>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4"/>
    </row>
    <row r="66" spans="1:50">
      <c r="A66" s="4">
        <v>57</v>
      </c>
      <c r="B66" s="11" t="s">
        <v>88</v>
      </c>
      <c r="C66" s="12"/>
      <c r="D66" s="12" t="s">
        <v>1633</v>
      </c>
      <c r="E66" s="12" t="s">
        <v>1634</v>
      </c>
      <c r="F66" s="18" t="s">
        <v>1635</v>
      </c>
      <c r="G66" s="34" t="s">
        <v>541</v>
      </c>
      <c r="H66" s="12" t="s">
        <v>1633</v>
      </c>
      <c r="I66" s="12" t="s">
        <v>1628</v>
      </c>
      <c r="J66" s="14"/>
      <c r="K66" s="27">
        <v>0</v>
      </c>
      <c r="L66" s="10"/>
      <c r="M66" s="12" t="s">
        <v>1461</v>
      </c>
      <c r="N66" s="12" t="s">
        <v>1462</v>
      </c>
      <c r="O66" s="8">
        <f>SUM(P66:AW66)</f>
        <v>0</v>
      </c>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4"/>
    </row>
    <row r="67" spans="1:50">
      <c r="A67" s="4">
        <v>58</v>
      </c>
      <c r="B67" s="11" t="s">
        <v>88</v>
      </c>
      <c r="C67" s="12"/>
      <c r="D67" s="12" t="s">
        <v>1636</v>
      </c>
      <c r="E67" s="12" t="s">
        <v>1637</v>
      </c>
      <c r="F67" s="18" t="s">
        <v>1638</v>
      </c>
      <c r="G67" s="34" t="s">
        <v>541</v>
      </c>
      <c r="H67" s="12" t="s">
        <v>1636</v>
      </c>
      <c r="I67" s="12" t="s">
        <v>1639</v>
      </c>
      <c r="J67" s="14"/>
      <c r="K67" s="27">
        <v>0</v>
      </c>
      <c r="L67" s="10"/>
      <c r="M67" s="12" t="s">
        <v>1461</v>
      </c>
      <c r="N67" s="12" t="s">
        <v>109</v>
      </c>
      <c r="O67" s="8">
        <f>SUM(P67:AW67)</f>
        <v>0</v>
      </c>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4"/>
    </row>
    <row r="68" spans="1:50">
      <c r="A68" s="4">
        <v>59</v>
      </c>
      <c r="B68" s="11" t="s">
        <v>88</v>
      </c>
      <c r="C68" s="12"/>
      <c r="D68" s="12" t="s">
        <v>1640</v>
      </c>
      <c r="E68" s="12" t="s">
        <v>1641</v>
      </c>
      <c r="F68" s="18" t="s">
        <v>1642</v>
      </c>
      <c r="G68" s="34" t="s">
        <v>541</v>
      </c>
      <c r="H68" s="12" t="s">
        <v>1640</v>
      </c>
      <c r="I68" s="12" t="s">
        <v>1570</v>
      </c>
      <c r="J68" s="14"/>
      <c r="K68" s="27">
        <v>0</v>
      </c>
      <c r="L68" s="10"/>
      <c r="M68" s="12" t="s">
        <v>1461</v>
      </c>
      <c r="N68" s="12" t="s">
        <v>1462</v>
      </c>
      <c r="O68" s="8">
        <f>SUM(P68:AW68)</f>
        <v>0</v>
      </c>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4"/>
    </row>
    <row r="69" spans="1:50">
      <c r="A69" s="4">
        <v>60</v>
      </c>
      <c r="B69" s="11" t="s">
        <v>88</v>
      </c>
      <c r="C69" s="12"/>
      <c r="D69" s="12" t="s">
        <v>1643</v>
      </c>
      <c r="E69" s="12" t="s">
        <v>1644</v>
      </c>
      <c r="F69" s="18" t="s">
        <v>1645</v>
      </c>
      <c r="G69" s="34" t="s">
        <v>541</v>
      </c>
      <c r="H69" s="12" t="s">
        <v>1643</v>
      </c>
      <c r="I69" s="12" t="s">
        <v>1570</v>
      </c>
      <c r="J69" s="14"/>
      <c r="K69" s="27">
        <v>0</v>
      </c>
      <c r="L69" s="10"/>
      <c r="M69" s="12" t="s">
        <v>1461</v>
      </c>
      <c r="N69" s="12" t="s">
        <v>1462</v>
      </c>
      <c r="O69" s="8">
        <f>SUM(P69:AW69)</f>
        <v>0</v>
      </c>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4"/>
    </row>
    <row r="70" spans="1:50">
      <c r="A70" s="4">
        <v>61</v>
      </c>
      <c r="B70" s="11" t="s">
        <v>88</v>
      </c>
      <c r="C70" s="12"/>
      <c r="D70" s="12" t="s">
        <v>1646</v>
      </c>
      <c r="E70" s="12" t="s">
        <v>1647</v>
      </c>
      <c r="F70" s="18" t="s">
        <v>1648</v>
      </c>
      <c r="G70" s="34" t="s">
        <v>541</v>
      </c>
      <c r="H70" s="12" t="s">
        <v>1646</v>
      </c>
      <c r="I70" s="12" t="s">
        <v>1649</v>
      </c>
      <c r="J70" s="34" t="s">
        <v>541</v>
      </c>
      <c r="K70" s="33">
        <v>2</v>
      </c>
      <c r="L70" s="13" t="s">
        <v>89</v>
      </c>
      <c r="M70" s="12" t="s">
        <v>1461</v>
      </c>
      <c r="N70" s="12" t="s">
        <v>1462</v>
      </c>
      <c r="O70" s="8">
        <f>SUM(P70:AW70)</f>
        <v>0</v>
      </c>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4"/>
    </row>
    <row r="71" spans="1:50">
      <c r="A71" s="4">
        <v>62</v>
      </c>
      <c r="B71" s="11" t="s">
        <v>88</v>
      </c>
      <c r="C71" s="12"/>
      <c r="D71" s="12" t="s">
        <v>1650</v>
      </c>
      <c r="E71" s="12" t="s">
        <v>1651</v>
      </c>
      <c r="F71" s="18" t="s">
        <v>1652</v>
      </c>
      <c r="G71" s="34" t="s">
        <v>541</v>
      </c>
      <c r="H71" s="12" t="s">
        <v>1650</v>
      </c>
      <c r="I71" s="12" t="s">
        <v>1628</v>
      </c>
      <c r="J71" s="14"/>
      <c r="K71" s="27">
        <v>0</v>
      </c>
      <c r="L71" s="10"/>
      <c r="M71" s="12" t="s">
        <v>1461</v>
      </c>
      <c r="N71" s="12" t="s">
        <v>1462</v>
      </c>
      <c r="O71" s="8">
        <f>SUM(P71:AW71)</f>
        <v>0</v>
      </c>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4"/>
    </row>
    <row r="72" spans="1:50">
      <c r="A72" s="4">
        <v>63</v>
      </c>
      <c r="B72" s="11" t="s">
        <v>88</v>
      </c>
      <c r="C72" s="12"/>
      <c r="D72" s="12" t="s">
        <v>1653</v>
      </c>
      <c r="E72" s="12" t="s">
        <v>1654</v>
      </c>
      <c r="F72" s="18" t="s">
        <v>1655</v>
      </c>
      <c r="G72" s="34" t="s">
        <v>541</v>
      </c>
      <c r="H72" s="12" t="s">
        <v>1653</v>
      </c>
      <c r="I72" s="12" t="s">
        <v>1628</v>
      </c>
      <c r="J72" s="14"/>
      <c r="K72" s="27">
        <v>0</v>
      </c>
      <c r="L72" s="10"/>
      <c r="M72" s="12" t="s">
        <v>1461</v>
      </c>
      <c r="N72" s="12" t="s">
        <v>1462</v>
      </c>
      <c r="O72" s="8">
        <f>SUM(P72:AW72)</f>
        <v>0</v>
      </c>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4"/>
    </row>
    <row r="73" spans="1:50">
      <c r="A73" s="4">
        <v>64</v>
      </c>
      <c r="B73" s="11" t="s">
        <v>88</v>
      </c>
      <c r="C73" s="12"/>
      <c r="D73" s="12" t="s">
        <v>1656</v>
      </c>
      <c r="E73" s="12" t="s">
        <v>1654</v>
      </c>
      <c r="F73" s="18" t="s">
        <v>1657</v>
      </c>
      <c r="G73" s="34" t="s">
        <v>541</v>
      </c>
      <c r="H73" s="12" t="s">
        <v>1656</v>
      </c>
      <c r="I73" s="12" t="s">
        <v>1628</v>
      </c>
      <c r="J73" s="14"/>
      <c r="K73" s="27">
        <v>0</v>
      </c>
      <c r="L73" s="10"/>
      <c r="M73" s="12" t="s">
        <v>1461</v>
      </c>
      <c r="N73" s="12" t="s">
        <v>1462</v>
      </c>
      <c r="O73" s="8">
        <f>SUM(P73:AW73)</f>
        <v>0</v>
      </c>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4"/>
    </row>
    <row r="74" spans="1:50">
      <c r="A74" s="4">
        <v>65</v>
      </c>
      <c r="B74" s="11" t="s">
        <v>88</v>
      </c>
      <c r="C74" s="12"/>
      <c r="D74" s="12" t="s">
        <v>1658</v>
      </c>
      <c r="E74" s="12" t="s">
        <v>1654</v>
      </c>
      <c r="F74" s="18" t="s">
        <v>1659</v>
      </c>
      <c r="G74" s="34" t="s">
        <v>541</v>
      </c>
      <c r="H74" s="12" t="s">
        <v>1658</v>
      </c>
      <c r="I74" s="12" t="s">
        <v>1628</v>
      </c>
      <c r="J74" s="14"/>
      <c r="K74" s="27">
        <v>0</v>
      </c>
      <c r="L74" s="10"/>
      <c r="M74" s="12" t="s">
        <v>1461</v>
      </c>
      <c r="N74" s="12" t="s">
        <v>1462</v>
      </c>
      <c r="O74" s="8">
        <f>SUM(P74:AW74)</f>
        <v>0</v>
      </c>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4"/>
    </row>
    <row r="75" spans="1:50">
      <c r="A75" s="4">
        <v>66</v>
      </c>
      <c r="B75" s="11" t="s">
        <v>88</v>
      </c>
      <c r="C75" s="12"/>
      <c r="D75" s="12" t="s">
        <v>1660</v>
      </c>
      <c r="E75" s="12" t="s">
        <v>1661</v>
      </c>
      <c r="F75" s="18" t="s">
        <v>1662</v>
      </c>
      <c r="G75" s="34" t="s">
        <v>541</v>
      </c>
      <c r="H75" s="12" t="s">
        <v>1660</v>
      </c>
      <c r="I75" s="12" t="s">
        <v>1489</v>
      </c>
      <c r="J75" s="14"/>
      <c r="K75" s="27">
        <v>0</v>
      </c>
      <c r="L75" s="10"/>
      <c r="M75" s="12" t="s">
        <v>1461</v>
      </c>
      <c r="N75" s="12" t="s">
        <v>1462</v>
      </c>
      <c r="O75" s="8">
        <f>SUM(P75:AW75)</f>
        <v>0</v>
      </c>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2"/>
    </row>
    <row r="76" spans="1:50">
      <c r="A76" s="4">
        <v>67</v>
      </c>
      <c r="B76" s="11" t="s">
        <v>88</v>
      </c>
      <c r="C76" s="12"/>
      <c r="D76" s="12" t="s">
        <v>1663</v>
      </c>
      <c r="E76" s="12" t="s">
        <v>1661</v>
      </c>
      <c r="F76" s="18" t="s">
        <v>1664</v>
      </c>
      <c r="G76" s="34" t="s">
        <v>541</v>
      </c>
      <c r="H76" s="12" t="s">
        <v>1663</v>
      </c>
      <c r="I76" s="12" t="s">
        <v>1570</v>
      </c>
      <c r="J76" s="14"/>
      <c r="K76" s="27">
        <v>0</v>
      </c>
      <c r="L76" s="10"/>
      <c r="M76" s="12" t="s">
        <v>1461</v>
      </c>
      <c r="N76" s="12" t="s">
        <v>1462</v>
      </c>
      <c r="O76" s="8">
        <f>SUM(P76:AW76)</f>
        <v>0</v>
      </c>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2"/>
    </row>
    <row r="77" spans="1:50" ht="26.45" customHeight="1">
      <c r="A77" s="4">
        <v>68</v>
      </c>
      <c r="B77" s="11" t="s">
        <v>88</v>
      </c>
      <c r="C77" s="12"/>
      <c r="D77" s="12" t="s">
        <v>1665</v>
      </c>
      <c r="E77" s="12" t="s">
        <v>1666</v>
      </c>
      <c r="F77" s="18" t="s">
        <v>1667</v>
      </c>
      <c r="G77" s="34" t="s">
        <v>541</v>
      </c>
      <c r="H77" s="12" t="s">
        <v>1665</v>
      </c>
      <c r="I77" s="12" t="s">
        <v>1628</v>
      </c>
      <c r="J77" s="14"/>
      <c r="K77" s="27">
        <v>0</v>
      </c>
      <c r="L77" s="10"/>
      <c r="M77" s="12" t="s">
        <v>1461</v>
      </c>
      <c r="N77" s="12" t="s">
        <v>1668</v>
      </c>
      <c r="O77" s="8">
        <f>SUM(P77:AW77)</f>
        <v>0</v>
      </c>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2"/>
    </row>
    <row r="78" spans="1:50">
      <c r="A78" s="4">
        <v>69</v>
      </c>
      <c r="B78" s="11" t="s">
        <v>88</v>
      </c>
      <c r="C78" s="12"/>
      <c r="D78" s="12" t="s">
        <v>1669</v>
      </c>
      <c r="E78" s="12" t="s">
        <v>1670</v>
      </c>
      <c r="F78" s="18" t="s">
        <v>1671</v>
      </c>
      <c r="G78" s="34" t="s">
        <v>541</v>
      </c>
      <c r="H78" s="12" t="s">
        <v>1669</v>
      </c>
      <c r="I78" s="12" t="s">
        <v>1628</v>
      </c>
      <c r="J78" s="14"/>
      <c r="K78" s="27">
        <v>0</v>
      </c>
      <c r="L78" s="10"/>
      <c r="M78" s="12" t="s">
        <v>1461</v>
      </c>
      <c r="N78" s="12" t="s">
        <v>1462</v>
      </c>
      <c r="O78" s="8">
        <f>SUM(P78:AW78)</f>
        <v>0</v>
      </c>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2"/>
    </row>
    <row r="79" spans="1:50">
      <c r="A79" s="4">
        <v>70</v>
      </c>
      <c r="B79" s="11" t="s">
        <v>88</v>
      </c>
      <c r="C79" s="12"/>
      <c r="D79" s="12" t="s">
        <v>1672</v>
      </c>
      <c r="E79" s="12" t="s">
        <v>1673</v>
      </c>
      <c r="F79" s="18" t="s">
        <v>1674</v>
      </c>
      <c r="G79" s="34" t="s">
        <v>541</v>
      </c>
      <c r="H79" s="12" t="s">
        <v>1672</v>
      </c>
      <c r="I79" s="12" t="s">
        <v>1628</v>
      </c>
      <c r="J79" s="14"/>
      <c r="K79" s="27">
        <v>0</v>
      </c>
      <c r="L79" s="10"/>
      <c r="M79" s="12" t="s">
        <v>1461</v>
      </c>
      <c r="N79" s="12" t="s">
        <v>1462</v>
      </c>
      <c r="O79" s="8">
        <f>SUM(P79:AW79)</f>
        <v>0</v>
      </c>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2"/>
    </row>
    <row r="80" spans="1:50">
      <c r="A80" s="4">
        <v>71</v>
      </c>
      <c r="B80" s="11" t="s">
        <v>88</v>
      </c>
      <c r="C80" s="12"/>
      <c r="D80" s="12" t="s">
        <v>1675</v>
      </c>
      <c r="E80" s="12" t="s">
        <v>1676</v>
      </c>
      <c r="F80" s="18" t="s">
        <v>1677</v>
      </c>
      <c r="G80" s="34" t="s">
        <v>541</v>
      </c>
      <c r="H80" s="12" t="s">
        <v>1675</v>
      </c>
      <c r="I80" s="12" t="s">
        <v>1628</v>
      </c>
      <c r="J80" s="14"/>
      <c r="K80" s="27">
        <v>0</v>
      </c>
      <c r="L80" s="10"/>
      <c r="M80" s="12" t="s">
        <v>1461</v>
      </c>
      <c r="N80" s="12" t="s">
        <v>1462</v>
      </c>
      <c r="O80" s="8">
        <f>SUM(P80:AW80)</f>
        <v>0</v>
      </c>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2"/>
    </row>
    <row r="81" spans="1:50">
      <c r="A81" s="4">
        <v>72</v>
      </c>
      <c r="B81" s="11" t="s">
        <v>88</v>
      </c>
      <c r="C81" s="12"/>
      <c r="D81" s="12" t="s">
        <v>1678</v>
      </c>
      <c r="E81" s="12" t="s">
        <v>1679</v>
      </c>
      <c r="F81" s="18" t="s">
        <v>1680</v>
      </c>
      <c r="G81" s="34" t="s">
        <v>541</v>
      </c>
      <c r="H81" s="12" t="s">
        <v>1678</v>
      </c>
      <c r="I81" s="12" t="s">
        <v>1628</v>
      </c>
      <c r="J81" s="14"/>
      <c r="K81" s="27">
        <v>0</v>
      </c>
      <c r="L81" s="10"/>
      <c r="M81" s="12" t="s">
        <v>1461</v>
      </c>
      <c r="N81" s="12" t="s">
        <v>1462</v>
      </c>
      <c r="O81" s="8">
        <f>SUM(P81:AW81)</f>
        <v>0</v>
      </c>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2"/>
    </row>
    <row r="82" spans="1:50">
      <c r="A82" s="4">
        <v>73</v>
      </c>
      <c r="B82" s="5" t="s">
        <v>88</v>
      </c>
      <c r="C82" s="6"/>
      <c r="D82" s="37" t="s">
        <v>1681</v>
      </c>
      <c r="E82" s="37" t="s">
        <v>1682</v>
      </c>
      <c r="F82" s="7"/>
      <c r="G82" s="9"/>
      <c r="H82" s="9"/>
      <c r="I82" s="9"/>
      <c r="J82" s="9"/>
      <c r="K82" s="20">
        <v>0</v>
      </c>
      <c r="L82" s="4"/>
      <c r="M82" s="9" t="s">
        <v>1461</v>
      </c>
      <c r="N82" s="9"/>
      <c r="O82" s="8">
        <f>SUM(P82:AW82)</f>
        <v>0</v>
      </c>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9"/>
    </row>
    <row r="83" spans="1:50">
      <c r="A83" s="4">
        <v>74</v>
      </c>
      <c r="B83" s="11" t="s">
        <v>88</v>
      </c>
      <c r="C83" s="12"/>
      <c r="D83" s="12" t="s">
        <v>1683</v>
      </c>
      <c r="E83" s="12" t="s">
        <v>1684</v>
      </c>
      <c r="F83" s="18" t="s">
        <v>1685</v>
      </c>
      <c r="G83" s="34" t="s">
        <v>541</v>
      </c>
      <c r="H83" s="12" t="s">
        <v>1683</v>
      </c>
      <c r="I83" s="12" t="s">
        <v>1686</v>
      </c>
      <c r="J83" s="14"/>
      <c r="K83" s="27">
        <v>0</v>
      </c>
      <c r="L83" s="10"/>
      <c r="M83" s="12" t="s">
        <v>1461</v>
      </c>
      <c r="N83" s="12" t="s">
        <v>1462</v>
      </c>
      <c r="O83" s="8">
        <f>SUM(P83:AW83)</f>
        <v>0</v>
      </c>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2"/>
    </row>
    <row r="84" spans="1:50">
      <c r="A84" s="4">
        <v>75</v>
      </c>
      <c r="B84" s="11" t="s">
        <v>88</v>
      </c>
      <c r="C84" s="12"/>
      <c r="D84" s="12" t="s">
        <v>1687</v>
      </c>
      <c r="E84" s="12" t="s">
        <v>1688</v>
      </c>
      <c r="F84" s="18" t="s">
        <v>1689</v>
      </c>
      <c r="G84" s="34" t="s">
        <v>541</v>
      </c>
      <c r="H84" s="12" t="s">
        <v>1687</v>
      </c>
      <c r="I84" s="12" t="s">
        <v>1686</v>
      </c>
      <c r="J84" s="14"/>
      <c r="K84" s="27">
        <v>0</v>
      </c>
      <c r="L84" s="10"/>
      <c r="M84" s="12" t="s">
        <v>1461</v>
      </c>
      <c r="N84" s="12" t="s">
        <v>1462</v>
      </c>
      <c r="O84" s="8">
        <f>SUM(P84:AW84)</f>
        <v>0</v>
      </c>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2"/>
    </row>
    <row r="85" spans="1:50">
      <c r="A85" s="4">
        <v>76</v>
      </c>
      <c r="B85" s="5" t="s">
        <v>88</v>
      </c>
      <c r="C85" s="6"/>
      <c r="D85" s="37" t="s">
        <v>1690</v>
      </c>
      <c r="E85" s="37" t="s">
        <v>1691</v>
      </c>
      <c r="F85" s="7"/>
      <c r="G85" s="9"/>
      <c r="H85" s="9"/>
      <c r="I85" s="9"/>
      <c r="J85" s="9"/>
      <c r="K85" s="20">
        <v>0</v>
      </c>
      <c r="L85" s="4"/>
      <c r="M85" s="9" t="s">
        <v>1461</v>
      </c>
      <c r="N85" s="9"/>
      <c r="O85" s="8">
        <f>SUM(P85:AW85)</f>
        <v>0</v>
      </c>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9"/>
    </row>
    <row r="86" spans="1:50">
      <c r="A86" s="4">
        <v>77</v>
      </c>
      <c r="B86" s="11" t="s">
        <v>88</v>
      </c>
      <c r="C86" s="12"/>
      <c r="D86" s="12" t="s">
        <v>1692</v>
      </c>
      <c r="E86" s="12" t="s">
        <v>1693</v>
      </c>
      <c r="F86" s="18" t="s">
        <v>1694</v>
      </c>
      <c r="G86" s="34" t="s">
        <v>541</v>
      </c>
      <c r="H86" s="12" t="s">
        <v>1692</v>
      </c>
      <c r="I86" s="12" t="s">
        <v>1695</v>
      </c>
      <c r="J86" s="14"/>
      <c r="K86" s="27">
        <v>0</v>
      </c>
      <c r="L86" s="10"/>
      <c r="M86" s="12" t="s">
        <v>1461</v>
      </c>
      <c r="N86" s="12" t="s">
        <v>1462</v>
      </c>
      <c r="O86" s="8">
        <f>SUM(P86:AW86)</f>
        <v>0</v>
      </c>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2"/>
    </row>
    <row r="87" spans="1:50">
      <c r="A87" s="4">
        <v>78</v>
      </c>
      <c r="B87" s="11" t="s">
        <v>88</v>
      </c>
      <c r="C87" s="12"/>
      <c r="D87" s="12" t="s">
        <v>1696</v>
      </c>
      <c r="E87" s="12" t="s">
        <v>1697</v>
      </c>
      <c r="F87" s="18" t="s">
        <v>1698</v>
      </c>
      <c r="G87" s="34" t="s">
        <v>541</v>
      </c>
      <c r="H87" s="12" t="s">
        <v>1696</v>
      </c>
      <c r="I87" s="12" t="s">
        <v>1695</v>
      </c>
      <c r="J87" s="14"/>
      <c r="K87" s="27">
        <v>0</v>
      </c>
      <c r="L87" s="10"/>
      <c r="M87" s="12" t="s">
        <v>1461</v>
      </c>
      <c r="N87" s="12" t="s">
        <v>1462</v>
      </c>
      <c r="O87" s="8">
        <f>SUM(P87:AW87)</f>
        <v>0</v>
      </c>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2"/>
    </row>
    <row r="88" spans="1:50" ht="26.45" customHeight="1">
      <c r="A88" s="4">
        <v>79</v>
      </c>
      <c r="B88" s="11" t="s">
        <v>88</v>
      </c>
      <c r="C88" s="12"/>
      <c r="D88" s="12" t="s">
        <v>1699</v>
      </c>
      <c r="E88" s="12" t="s">
        <v>1700</v>
      </c>
      <c r="F88" s="18" t="s">
        <v>1701</v>
      </c>
      <c r="G88" s="34" t="s">
        <v>541</v>
      </c>
      <c r="H88" s="12" t="s">
        <v>1699</v>
      </c>
      <c r="I88" s="12" t="s">
        <v>1695</v>
      </c>
      <c r="J88" s="14"/>
      <c r="K88" s="27">
        <v>0</v>
      </c>
      <c r="L88" s="10"/>
      <c r="M88" s="12" t="s">
        <v>1461</v>
      </c>
      <c r="N88" s="12" t="s">
        <v>1462</v>
      </c>
      <c r="O88" s="8">
        <f>SUM(P88:AW88)</f>
        <v>0</v>
      </c>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2"/>
    </row>
    <row r="89" spans="1:50">
      <c r="A89" s="4">
        <v>80</v>
      </c>
      <c r="B89" s="11" t="s">
        <v>88</v>
      </c>
      <c r="C89" s="12"/>
      <c r="D89" s="12" t="s">
        <v>1702</v>
      </c>
      <c r="E89" s="12" t="s">
        <v>1703</v>
      </c>
      <c r="F89" s="18" t="s">
        <v>1704</v>
      </c>
      <c r="G89" s="34" t="s">
        <v>541</v>
      </c>
      <c r="H89" s="12" t="s">
        <v>1702</v>
      </c>
      <c r="I89" s="12" t="s">
        <v>1632</v>
      </c>
      <c r="J89" s="14"/>
      <c r="K89" s="27">
        <v>0</v>
      </c>
      <c r="L89" s="10"/>
      <c r="M89" s="12" t="s">
        <v>1461</v>
      </c>
      <c r="N89" s="12" t="s">
        <v>1462</v>
      </c>
      <c r="O89" s="8">
        <f>SUM(P89:AW89)</f>
        <v>0</v>
      </c>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2"/>
    </row>
    <row r="90" spans="1:50">
      <c r="A90" s="4">
        <v>81</v>
      </c>
      <c r="B90" s="11" t="s">
        <v>88</v>
      </c>
      <c r="C90" s="12"/>
      <c r="D90" s="12" t="s">
        <v>1705</v>
      </c>
      <c r="E90" s="12" t="s">
        <v>1706</v>
      </c>
      <c r="F90" s="18" t="s">
        <v>1707</v>
      </c>
      <c r="G90" s="34" t="s">
        <v>541</v>
      </c>
      <c r="H90" s="12" t="s">
        <v>1705</v>
      </c>
      <c r="I90" s="12" t="s">
        <v>1708</v>
      </c>
      <c r="J90" s="14"/>
      <c r="K90" s="27">
        <v>0</v>
      </c>
      <c r="L90" s="10"/>
      <c r="M90" s="12" t="s">
        <v>1461</v>
      </c>
      <c r="N90" s="12" t="s">
        <v>1462</v>
      </c>
      <c r="O90" s="8">
        <f>SUM(P90:AW90)</f>
        <v>0</v>
      </c>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2"/>
    </row>
    <row r="91" spans="1:50">
      <c r="A91" s="4">
        <v>82</v>
      </c>
      <c r="B91" s="11" t="s">
        <v>88</v>
      </c>
      <c r="C91" s="12"/>
      <c r="D91" s="12" t="s">
        <v>1709</v>
      </c>
      <c r="E91" s="12" t="s">
        <v>1710</v>
      </c>
      <c r="F91" s="18" t="s">
        <v>1711</v>
      </c>
      <c r="G91" s="34" t="s">
        <v>541</v>
      </c>
      <c r="H91" s="12" t="s">
        <v>1709</v>
      </c>
      <c r="I91" s="12" t="s">
        <v>1628</v>
      </c>
      <c r="J91" s="14"/>
      <c r="K91" s="27">
        <v>0</v>
      </c>
      <c r="L91" s="10"/>
      <c r="M91" s="12" t="s">
        <v>1461</v>
      </c>
      <c r="N91" s="12" t="s">
        <v>1462</v>
      </c>
      <c r="O91" s="8">
        <f>SUM(P91:AW91)</f>
        <v>0</v>
      </c>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2"/>
    </row>
    <row r="92" spans="1:50">
      <c r="A92" s="4">
        <v>83</v>
      </c>
      <c r="B92" s="11" t="s">
        <v>88</v>
      </c>
      <c r="C92" s="12"/>
      <c r="D92" s="12" t="s">
        <v>1712</v>
      </c>
      <c r="E92" s="12" t="s">
        <v>1713</v>
      </c>
      <c r="F92" s="18" t="s">
        <v>1714</v>
      </c>
      <c r="G92" s="34" t="s">
        <v>541</v>
      </c>
      <c r="H92" s="12" t="s">
        <v>1712</v>
      </c>
      <c r="I92" s="12" t="s">
        <v>1715</v>
      </c>
      <c r="J92" s="14"/>
      <c r="K92" s="27">
        <v>0</v>
      </c>
      <c r="L92" s="10"/>
      <c r="M92" s="12" t="s">
        <v>1461</v>
      </c>
      <c r="N92" s="12" t="s">
        <v>1462</v>
      </c>
      <c r="O92" s="8">
        <f>SUM(P92:AW92)</f>
        <v>0</v>
      </c>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4"/>
    </row>
    <row r="93" spans="1:50">
      <c r="A93" s="4">
        <v>84</v>
      </c>
      <c r="B93" s="11" t="s">
        <v>88</v>
      </c>
      <c r="C93" s="12"/>
      <c r="D93" s="12" t="s">
        <v>1716</v>
      </c>
      <c r="E93" s="12" t="s">
        <v>1717</v>
      </c>
      <c r="F93" s="18" t="s">
        <v>1718</v>
      </c>
      <c r="G93" s="34" t="s">
        <v>541</v>
      </c>
      <c r="H93" s="12" t="s">
        <v>1716</v>
      </c>
      <c r="I93" s="12" t="s">
        <v>1639</v>
      </c>
      <c r="J93" s="14"/>
      <c r="K93" s="27">
        <v>0</v>
      </c>
      <c r="L93" s="10"/>
      <c r="M93" s="12" t="s">
        <v>1461</v>
      </c>
      <c r="N93" s="12" t="s">
        <v>109</v>
      </c>
      <c r="O93" s="8">
        <f>SUM(P93:AW93)</f>
        <v>0</v>
      </c>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2"/>
    </row>
    <row r="94" spans="1:50">
      <c r="A94" s="4">
        <v>85</v>
      </c>
      <c r="B94" s="11" t="s">
        <v>88</v>
      </c>
      <c r="C94" s="12"/>
      <c r="D94" s="12" t="s">
        <v>1719</v>
      </c>
      <c r="E94" s="12" t="s">
        <v>1720</v>
      </c>
      <c r="F94" s="18" t="s">
        <v>1721</v>
      </c>
      <c r="G94" s="34" t="s">
        <v>541</v>
      </c>
      <c r="H94" s="12" t="s">
        <v>1719</v>
      </c>
      <c r="I94" s="12" t="s">
        <v>1628</v>
      </c>
      <c r="J94" s="14"/>
      <c r="K94" s="27">
        <v>0</v>
      </c>
      <c r="L94" s="10"/>
      <c r="M94" s="12" t="s">
        <v>1461</v>
      </c>
      <c r="N94" s="12" t="s">
        <v>1462</v>
      </c>
      <c r="O94" s="8">
        <f>SUM(P94:AW94)</f>
        <v>0</v>
      </c>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4"/>
    </row>
    <row r="95" spans="1:50">
      <c r="A95" s="4">
        <v>86</v>
      </c>
      <c r="B95" s="11" t="s">
        <v>88</v>
      </c>
      <c r="C95" s="12"/>
      <c r="D95" s="12" t="s">
        <v>1722</v>
      </c>
      <c r="E95" s="12" t="s">
        <v>1723</v>
      </c>
      <c r="F95" s="18" t="s">
        <v>1724</v>
      </c>
      <c r="G95" s="34" t="s">
        <v>541</v>
      </c>
      <c r="H95" s="12" t="s">
        <v>1722</v>
      </c>
      <c r="I95" s="12" t="s">
        <v>1507</v>
      </c>
      <c r="J95" s="14"/>
      <c r="K95" s="27">
        <v>0</v>
      </c>
      <c r="L95" s="10"/>
      <c r="M95" s="12" t="s">
        <v>1461</v>
      </c>
      <c r="N95" s="12" t="s">
        <v>1462</v>
      </c>
      <c r="O95" s="8">
        <f>SUM(P95:AW95)</f>
        <v>0</v>
      </c>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2"/>
    </row>
    <row r="96" spans="1:50">
      <c r="A96" s="4">
        <v>87</v>
      </c>
      <c r="B96" s="11" t="s">
        <v>88</v>
      </c>
      <c r="C96" s="12"/>
      <c r="D96" s="12" t="s">
        <v>1725</v>
      </c>
      <c r="E96" s="12" t="s">
        <v>1726</v>
      </c>
      <c r="F96" s="18" t="s">
        <v>1727</v>
      </c>
      <c r="G96" s="34" t="s">
        <v>541</v>
      </c>
      <c r="H96" s="12" t="s">
        <v>1725</v>
      </c>
      <c r="I96" s="12" t="s">
        <v>1473</v>
      </c>
      <c r="J96" s="14"/>
      <c r="K96" s="27">
        <v>0</v>
      </c>
      <c r="L96" s="10"/>
      <c r="M96" s="12" t="s">
        <v>1461</v>
      </c>
      <c r="N96" s="12" t="s">
        <v>1462</v>
      </c>
      <c r="O96" s="8">
        <f>SUM(P96:AW96)</f>
        <v>0</v>
      </c>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2"/>
    </row>
    <row r="97" spans="1:50" ht="26.45" customHeight="1">
      <c r="A97" s="4">
        <v>88</v>
      </c>
      <c r="B97" s="11" t="s">
        <v>88</v>
      </c>
      <c r="C97" s="12"/>
      <c r="D97" s="12" t="s">
        <v>1728</v>
      </c>
      <c r="E97" s="12" t="s">
        <v>1729</v>
      </c>
      <c r="F97" s="18" t="s">
        <v>1730</v>
      </c>
      <c r="G97" s="34" t="s">
        <v>541</v>
      </c>
      <c r="H97" s="12" t="s">
        <v>1728</v>
      </c>
      <c r="I97" s="12" t="s">
        <v>1695</v>
      </c>
      <c r="J97" s="14"/>
      <c r="K97" s="27">
        <v>0</v>
      </c>
      <c r="L97" s="10"/>
      <c r="M97" s="12" t="s">
        <v>1461</v>
      </c>
      <c r="N97" s="12" t="s">
        <v>1462</v>
      </c>
      <c r="O97" s="8">
        <f>SUM(P97:AW97)</f>
        <v>0</v>
      </c>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2"/>
    </row>
    <row r="98" spans="1:50">
      <c r="A98" s="4">
        <v>89</v>
      </c>
      <c r="B98" s="5" t="s">
        <v>88</v>
      </c>
      <c r="C98" s="6"/>
      <c r="D98" s="35" t="s">
        <v>1731</v>
      </c>
      <c r="E98" s="35" t="s">
        <v>1732</v>
      </c>
      <c r="F98" s="7"/>
      <c r="G98" s="9"/>
      <c r="H98" s="9"/>
      <c r="I98" s="9"/>
      <c r="J98" s="9"/>
      <c r="K98" s="20">
        <v>0</v>
      </c>
      <c r="L98" s="4"/>
      <c r="M98" s="9" t="s">
        <v>1461</v>
      </c>
      <c r="N98" s="9"/>
      <c r="O98" s="8">
        <f>SUM(P98:AW98)</f>
        <v>0</v>
      </c>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9"/>
    </row>
    <row r="99" spans="1:50">
      <c r="A99" s="4">
        <v>90</v>
      </c>
      <c r="B99" s="11" t="s">
        <v>88</v>
      </c>
      <c r="C99" s="12"/>
      <c r="D99" s="12" t="s">
        <v>1733</v>
      </c>
      <c r="E99" s="12" t="s">
        <v>1734</v>
      </c>
      <c r="F99" s="18" t="s">
        <v>1735</v>
      </c>
      <c r="G99" s="34" t="s">
        <v>541</v>
      </c>
      <c r="H99" s="12" t="s">
        <v>1733</v>
      </c>
      <c r="I99" s="12" t="s">
        <v>1736</v>
      </c>
      <c r="J99" s="14"/>
      <c r="K99" s="27">
        <v>0</v>
      </c>
      <c r="L99" s="10"/>
      <c r="M99" s="12" t="s">
        <v>1461</v>
      </c>
      <c r="N99" s="12" t="s">
        <v>1462</v>
      </c>
      <c r="O99" s="8">
        <f>SUM(P99:AW99)</f>
        <v>0</v>
      </c>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6"/>
    </row>
    <row r="100" spans="1:50">
      <c r="A100" s="4">
        <v>91</v>
      </c>
      <c r="B100" s="11" t="s">
        <v>88</v>
      </c>
      <c r="C100" s="12"/>
      <c r="D100" s="12" t="s">
        <v>1737</v>
      </c>
      <c r="E100" s="12" t="s">
        <v>1738</v>
      </c>
      <c r="F100" s="18" t="s">
        <v>1739</v>
      </c>
      <c r="G100" s="34" t="s">
        <v>541</v>
      </c>
      <c r="H100" s="12" t="s">
        <v>1737</v>
      </c>
      <c r="I100" s="12" t="s">
        <v>1736</v>
      </c>
      <c r="J100" s="14"/>
      <c r="K100" s="27">
        <v>0</v>
      </c>
      <c r="L100" s="10"/>
      <c r="M100" s="12" t="s">
        <v>1461</v>
      </c>
      <c r="N100" s="12" t="s">
        <v>1462</v>
      </c>
      <c r="O100" s="8">
        <f>SUM(P100:AW100)</f>
        <v>0</v>
      </c>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row>
    <row r="101" spans="1:50">
      <c r="A101" s="4">
        <v>92</v>
      </c>
      <c r="B101" s="11" t="s">
        <v>88</v>
      </c>
      <c r="C101" s="12"/>
      <c r="D101" s="12" t="s">
        <v>1740</v>
      </c>
      <c r="E101" s="12" t="s">
        <v>1741</v>
      </c>
      <c r="F101" s="18" t="s">
        <v>1742</v>
      </c>
      <c r="G101" s="34" t="s">
        <v>541</v>
      </c>
      <c r="H101" s="12" t="s">
        <v>1740</v>
      </c>
      <c r="I101" s="12" t="s">
        <v>1736</v>
      </c>
      <c r="J101" s="14"/>
      <c r="K101" s="27">
        <v>0</v>
      </c>
      <c r="L101" s="10"/>
      <c r="M101" s="12" t="s">
        <v>1461</v>
      </c>
      <c r="N101" s="12" t="s">
        <v>1462</v>
      </c>
      <c r="O101" s="8">
        <f>SUM(P101:AW101)</f>
        <v>0</v>
      </c>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row>
    <row r="102" spans="1:50">
      <c r="A102" s="4">
        <v>93</v>
      </c>
      <c r="B102" s="5" t="s">
        <v>88</v>
      </c>
      <c r="C102" s="6"/>
      <c r="D102" s="35" t="s">
        <v>1743</v>
      </c>
      <c r="E102" s="35" t="s">
        <v>1744</v>
      </c>
      <c r="F102" s="7" t="s">
        <v>1745</v>
      </c>
      <c r="G102" s="9"/>
      <c r="H102" s="9"/>
      <c r="I102" s="9"/>
      <c r="J102" s="9"/>
      <c r="K102" s="20">
        <v>0</v>
      </c>
      <c r="L102" s="4"/>
      <c r="M102" s="9" t="s">
        <v>1461</v>
      </c>
      <c r="N102" s="9"/>
      <c r="O102" s="8">
        <f>SUM(P102:AW102)</f>
        <v>0</v>
      </c>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9"/>
    </row>
    <row r="103" spans="1:50">
      <c r="A103" s="4">
        <v>94</v>
      </c>
      <c r="B103" s="11" t="s">
        <v>88</v>
      </c>
      <c r="C103" s="12"/>
      <c r="D103" s="12" t="s">
        <v>1746</v>
      </c>
      <c r="E103" s="12" t="s">
        <v>1747</v>
      </c>
      <c r="F103" s="18" t="s">
        <v>1748</v>
      </c>
      <c r="G103" s="34" t="s">
        <v>541</v>
      </c>
      <c r="H103" s="12" t="s">
        <v>1746</v>
      </c>
      <c r="I103" s="12" t="s">
        <v>1736</v>
      </c>
      <c r="J103" s="14"/>
      <c r="K103" s="27">
        <v>0</v>
      </c>
      <c r="L103" s="10"/>
      <c r="M103" s="12" t="s">
        <v>1461</v>
      </c>
      <c r="N103" s="12" t="s">
        <v>1462</v>
      </c>
      <c r="O103" s="8">
        <f>SUM(P103:AW103)</f>
        <v>0</v>
      </c>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6"/>
    </row>
    <row r="104" spans="1:50" ht="26.45" customHeight="1">
      <c r="A104" s="4">
        <v>95</v>
      </c>
      <c r="B104" s="11" t="s">
        <v>88</v>
      </c>
      <c r="C104" s="12"/>
      <c r="D104" s="12" t="s">
        <v>1749</v>
      </c>
      <c r="E104" s="12" t="s">
        <v>1750</v>
      </c>
      <c r="F104" s="18" t="s">
        <v>1751</v>
      </c>
      <c r="G104" s="34" t="s">
        <v>541</v>
      </c>
      <c r="H104" s="12" t="s">
        <v>1749</v>
      </c>
      <c r="I104" s="12" t="s">
        <v>1736</v>
      </c>
      <c r="J104" s="14"/>
      <c r="K104" s="27">
        <v>0</v>
      </c>
      <c r="L104" s="10"/>
      <c r="M104" s="12" t="s">
        <v>1461</v>
      </c>
      <c r="N104" s="12" t="s">
        <v>1462</v>
      </c>
      <c r="O104" s="8">
        <f>SUM(P104:AW104)</f>
        <v>0</v>
      </c>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6"/>
    </row>
    <row r="105" spans="1:50">
      <c r="A105" s="4">
        <v>96</v>
      </c>
      <c r="B105" s="11" t="s">
        <v>88</v>
      </c>
      <c r="C105" s="12"/>
      <c r="D105" s="12" t="s">
        <v>1752</v>
      </c>
      <c r="E105" s="12" t="s">
        <v>1753</v>
      </c>
      <c r="F105" s="18" t="s">
        <v>1754</v>
      </c>
      <c r="G105" s="34" t="s">
        <v>541</v>
      </c>
      <c r="H105" s="12" t="s">
        <v>1752</v>
      </c>
      <c r="I105" s="12" t="s">
        <v>1736</v>
      </c>
      <c r="J105" s="14"/>
      <c r="K105" s="27">
        <v>0</v>
      </c>
      <c r="L105" s="10"/>
      <c r="M105" s="12" t="s">
        <v>1461</v>
      </c>
      <c r="N105" s="12" t="s">
        <v>1462</v>
      </c>
      <c r="O105" s="8">
        <f>SUM(P105:AW105)</f>
        <v>0</v>
      </c>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6"/>
    </row>
    <row r="106" spans="1:50">
      <c r="A106" s="4">
        <v>97</v>
      </c>
      <c r="B106" s="11" t="s">
        <v>88</v>
      </c>
      <c r="C106" s="12"/>
      <c r="D106" s="12" t="s">
        <v>1755</v>
      </c>
      <c r="E106" s="12" t="s">
        <v>1756</v>
      </c>
      <c r="F106" s="18" t="s">
        <v>1757</v>
      </c>
      <c r="G106" s="34" t="s">
        <v>541</v>
      </c>
      <c r="H106" s="12" t="s">
        <v>1755</v>
      </c>
      <c r="I106" s="12" t="s">
        <v>1758</v>
      </c>
      <c r="J106" s="34" t="s">
        <v>541</v>
      </c>
      <c r="K106" s="33">
        <v>2</v>
      </c>
      <c r="L106" s="13" t="s">
        <v>89</v>
      </c>
      <c r="M106" s="12" t="s">
        <v>1461</v>
      </c>
      <c r="N106" s="12" t="s">
        <v>109</v>
      </c>
      <c r="O106" s="8">
        <f>SUM(P106:AW106)</f>
        <v>0</v>
      </c>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6"/>
    </row>
    <row r="107" spans="1:50">
      <c r="A107" s="4">
        <v>98</v>
      </c>
      <c r="B107" s="11" t="s">
        <v>88</v>
      </c>
      <c r="C107" s="12"/>
      <c r="D107" s="12" t="s">
        <v>1759</v>
      </c>
      <c r="E107" s="12" t="s">
        <v>1760</v>
      </c>
      <c r="F107" s="18" t="s">
        <v>1761</v>
      </c>
      <c r="G107" s="34" t="s">
        <v>541</v>
      </c>
      <c r="H107" s="12" t="s">
        <v>1759</v>
      </c>
      <c r="I107" s="12" t="s">
        <v>1708</v>
      </c>
      <c r="J107" s="14"/>
      <c r="K107" s="27">
        <v>0</v>
      </c>
      <c r="L107" s="10"/>
      <c r="M107" s="12" t="s">
        <v>1461</v>
      </c>
      <c r="N107" s="12" t="s">
        <v>1462</v>
      </c>
      <c r="O107" s="8">
        <f>SUM(P107:AW107)</f>
        <v>0</v>
      </c>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6"/>
    </row>
    <row r="108" spans="1:50" ht="26.45" customHeight="1">
      <c r="A108" s="4">
        <v>99</v>
      </c>
      <c r="B108" s="11" t="s">
        <v>88</v>
      </c>
      <c r="C108" s="12"/>
      <c r="D108" s="12" t="s">
        <v>1762</v>
      </c>
      <c r="E108" s="12" t="s">
        <v>1763</v>
      </c>
      <c r="F108" s="18" t="s">
        <v>1764</v>
      </c>
      <c r="G108" s="34" t="s">
        <v>541</v>
      </c>
      <c r="H108" s="12" t="s">
        <v>1762</v>
      </c>
      <c r="I108" s="12" t="s">
        <v>1708</v>
      </c>
      <c r="J108" s="14"/>
      <c r="K108" s="27">
        <v>0</v>
      </c>
      <c r="L108" s="10"/>
      <c r="M108" s="12" t="s">
        <v>1461</v>
      </c>
      <c r="N108" s="12" t="s">
        <v>1462</v>
      </c>
      <c r="O108" s="8">
        <f>SUM(P108:AW108)</f>
        <v>0</v>
      </c>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6"/>
    </row>
    <row r="109" spans="1:50" ht="26.45" customHeight="1">
      <c r="A109" s="4">
        <v>100</v>
      </c>
      <c r="B109" s="11" t="s">
        <v>88</v>
      </c>
      <c r="C109" s="12"/>
      <c r="D109" s="12" t="s">
        <v>1765</v>
      </c>
      <c r="E109" s="12" t="s">
        <v>1766</v>
      </c>
      <c r="F109" s="18" t="s">
        <v>1764</v>
      </c>
      <c r="G109" s="34" t="s">
        <v>541</v>
      </c>
      <c r="H109" s="12" t="s">
        <v>1765</v>
      </c>
      <c r="I109" s="12" t="s">
        <v>1708</v>
      </c>
      <c r="J109" s="14"/>
      <c r="K109" s="27">
        <v>0</v>
      </c>
      <c r="L109" s="10"/>
      <c r="M109" s="12" t="s">
        <v>1461</v>
      </c>
      <c r="N109" s="12" t="s">
        <v>1462</v>
      </c>
      <c r="O109" s="8">
        <f>SUM(P109:AW109)</f>
        <v>0</v>
      </c>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6"/>
    </row>
    <row r="110" spans="1:50">
      <c r="A110" s="4">
        <v>101</v>
      </c>
      <c r="B110" s="11" t="s">
        <v>88</v>
      </c>
      <c r="C110" s="12"/>
      <c r="D110" s="12" t="s">
        <v>1767</v>
      </c>
      <c r="E110" s="12" t="s">
        <v>1768</v>
      </c>
      <c r="F110" s="18" t="s">
        <v>1769</v>
      </c>
      <c r="G110" s="34" t="s">
        <v>541</v>
      </c>
      <c r="H110" s="12" t="s">
        <v>1767</v>
      </c>
      <c r="I110" s="12" t="s">
        <v>1591</v>
      </c>
      <c r="J110" s="14"/>
      <c r="K110" s="27">
        <v>0</v>
      </c>
      <c r="L110" s="10"/>
      <c r="M110" s="12" t="s">
        <v>1461</v>
      </c>
      <c r="N110" s="12" t="s">
        <v>1462</v>
      </c>
      <c r="O110" s="8">
        <f>SUM(P110:AW110)</f>
        <v>0</v>
      </c>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6"/>
    </row>
    <row r="111" spans="1:50">
      <c r="A111" s="4">
        <v>102</v>
      </c>
      <c r="B111" s="5" t="s">
        <v>88</v>
      </c>
      <c r="C111" s="6"/>
      <c r="D111" s="6" t="s">
        <v>1770</v>
      </c>
      <c r="E111" s="6" t="s">
        <v>1771</v>
      </c>
      <c r="F111" s="7"/>
      <c r="G111" s="9"/>
      <c r="H111" s="9"/>
      <c r="I111" s="9"/>
      <c r="J111" s="9"/>
      <c r="K111" s="20">
        <v>0</v>
      </c>
      <c r="L111" s="4"/>
      <c r="M111" s="9" t="s">
        <v>1461</v>
      </c>
      <c r="N111" s="9"/>
      <c r="O111" s="8">
        <f>SUM(P111:AW111)</f>
        <v>0</v>
      </c>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row>
    <row r="112" spans="1:50">
      <c r="A112" s="4">
        <v>103</v>
      </c>
      <c r="B112" s="11" t="s">
        <v>88</v>
      </c>
      <c r="C112" s="12"/>
      <c r="D112" s="12" t="s">
        <v>1772</v>
      </c>
      <c r="E112" s="12" t="s">
        <v>1773</v>
      </c>
      <c r="F112" s="18" t="s">
        <v>1774</v>
      </c>
      <c r="G112" s="34" t="s">
        <v>541</v>
      </c>
      <c r="H112" s="12" t="s">
        <v>1772</v>
      </c>
      <c r="I112" s="12" t="s">
        <v>1580</v>
      </c>
      <c r="J112" s="14"/>
      <c r="K112" s="27">
        <v>0</v>
      </c>
      <c r="L112" s="10"/>
      <c r="M112" s="12" t="s">
        <v>1461</v>
      </c>
      <c r="N112" s="12" t="s">
        <v>1462</v>
      </c>
      <c r="O112" s="8">
        <f>SUM(P112:AW112)</f>
        <v>0</v>
      </c>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6"/>
    </row>
    <row r="113" spans="1:50">
      <c r="A113" s="4">
        <v>104</v>
      </c>
      <c r="B113" s="11" t="s">
        <v>88</v>
      </c>
      <c r="C113" s="12"/>
      <c r="D113" s="12" t="s">
        <v>1775</v>
      </c>
      <c r="E113" s="12" t="s">
        <v>1776</v>
      </c>
      <c r="F113" s="18" t="s">
        <v>1777</v>
      </c>
      <c r="G113" s="34" t="s">
        <v>541</v>
      </c>
      <c r="H113" s="12" t="s">
        <v>1775</v>
      </c>
      <c r="I113" s="12" t="s">
        <v>1580</v>
      </c>
      <c r="J113" s="14"/>
      <c r="K113" s="27">
        <v>0</v>
      </c>
      <c r="L113" s="10"/>
      <c r="M113" s="12" t="s">
        <v>1461</v>
      </c>
      <c r="N113" s="12" t="s">
        <v>1462</v>
      </c>
      <c r="O113" s="8">
        <f>SUM(P113:AW113)</f>
        <v>0</v>
      </c>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6"/>
    </row>
    <row r="114" spans="1:50">
      <c r="A114" s="4">
        <v>105</v>
      </c>
      <c r="B114" s="11" t="s">
        <v>88</v>
      </c>
      <c r="C114" s="12"/>
      <c r="D114" s="12" t="s">
        <v>1778</v>
      </c>
      <c r="E114" s="12" t="s">
        <v>1779</v>
      </c>
      <c r="F114" s="18" t="s">
        <v>1780</v>
      </c>
      <c r="G114" s="34" t="s">
        <v>541</v>
      </c>
      <c r="H114" s="12" t="s">
        <v>1778</v>
      </c>
      <c r="I114" s="12" t="s">
        <v>1591</v>
      </c>
      <c r="J114" s="14"/>
      <c r="K114" s="27">
        <v>0</v>
      </c>
      <c r="L114" s="10"/>
      <c r="M114" s="12" t="s">
        <v>1461</v>
      </c>
      <c r="N114" s="12" t="s">
        <v>1462</v>
      </c>
      <c r="O114" s="8">
        <f>SUM(P114:AW114)</f>
        <v>0</v>
      </c>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6"/>
    </row>
    <row r="115" spans="1:50" ht="26.45" customHeight="1">
      <c r="A115" s="4">
        <v>106</v>
      </c>
      <c r="B115" s="11" t="s">
        <v>88</v>
      </c>
      <c r="C115" s="12"/>
      <c r="D115" s="12" t="s">
        <v>1781</v>
      </c>
      <c r="E115" s="12" t="s">
        <v>1782</v>
      </c>
      <c r="F115" s="18" t="s">
        <v>1783</v>
      </c>
      <c r="G115" s="34" t="s">
        <v>541</v>
      </c>
      <c r="H115" s="12" t="s">
        <v>1781</v>
      </c>
      <c r="I115" s="12" t="s">
        <v>1591</v>
      </c>
      <c r="J115" s="14"/>
      <c r="K115" s="27">
        <v>0</v>
      </c>
      <c r="L115" s="10"/>
      <c r="M115" s="12" t="s">
        <v>1461</v>
      </c>
      <c r="N115" s="12" t="s">
        <v>1462</v>
      </c>
      <c r="O115" s="8">
        <f>SUM(P115:AW115)</f>
        <v>0</v>
      </c>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6"/>
    </row>
    <row r="116" spans="1:50" ht="26.45" customHeight="1">
      <c r="A116" s="4">
        <v>107</v>
      </c>
      <c r="B116" s="11" t="s">
        <v>88</v>
      </c>
      <c r="C116" s="12"/>
      <c r="D116" s="12" t="s">
        <v>1784</v>
      </c>
      <c r="E116" s="12" t="s">
        <v>1785</v>
      </c>
      <c r="F116" s="18" t="s">
        <v>1488</v>
      </c>
      <c r="G116" s="34" t="s">
        <v>541</v>
      </c>
      <c r="H116" s="12" t="s">
        <v>1784</v>
      </c>
      <c r="I116" s="12" t="s">
        <v>1580</v>
      </c>
      <c r="J116" s="14"/>
      <c r="K116" s="27">
        <v>0</v>
      </c>
      <c r="L116" s="10"/>
      <c r="M116" s="12" t="s">
        <v>1461</v>
      </c>
      <c r="N116" s="12" t="s">
        <v>1462</v>
      </c>
      <c r="O116" s="8">
        <f>SUM(P116:AW116)</f>
        <v>0</v>
      </c>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6"/>
    </row>
    <row r="117" spans="1:50">
      <c r="A117" s="4">
        <v>108</v>
      </c>
      <c r="B117" s="11" t="s">
        <v>88</v>
      </c>
      <c r="C117" s="12"/>
      <c r="D117" s="12" t="s">
        <v>1786</v>
      </c>
      <c r="E117" s="12" t="s">
        <v>1787</v>
      </c>
      <c r="F117" s="18" t="s">
        <v>1788</v>
      </c>
      <c r="G117" s="34" t="s">
        <v>541</v>
      </c>
      <c r="H117" s="12" t="s">
        <v>1786</v>
      </c>
      <c r="I117" s="12" t="s">
        <v>1489</v>
      </c>
      <c r="J117" s="14"/>
      <c r="K117" s="27">
        <v>0</v>
      </c>
      <c r="L117" s="10"/>
      <c r="M117" s="12" t="s">
        <v>1461</v>
      </c>
      <c r="N117" s="12" t="s">
        <v>1462</v>
      </c>
      <c r="O117" s="8">
        <f>SUM(P117:AW117)</f>
        <v>0</v>
      </c>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6"/>
    </row>
    <row r="118" spans="1:50">
      <c r="A118" s="4">
        <v>109</v>
      </c>
      <c r="B118" s="11" t="s">
        <v>88</v>
      </c>
      <c r="C118" s="12"/>
      <c r="D118" s="12" t="s">
        <v>1789</v>
      </c>
      <c r="E118" s="12" t="s">
        <v>1787</v>
      </c>
      <c r="F118" s="18" t="s">
        <v>1790</v>
      </c>
      <c r="G118" s="34" t="s">
        <v>541</v>
      </c>
      <c r="H118" s="12" t="s">
        <v>1789</v>
      </c>
      <c r="I118" s="12" t="s">
        <v>1570</v>
      </c>
      <c r="J118" s="14"/>
      <c r="K118" s="27">
        <v>0</v>
      </c>
      <c r="L118" s="10"/>
      <c r="M118" s="12" t="s">
        <v>1461</v>
      </c>
      <c r="N118" s="12" t="s">
        <v>1462</v>
      </c>
      <c r="O118" s="8">
        <f>SUM(P118:AW118)</f>
        <v>0</v>
      </c>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6"/>
    </row>
    <row r="119" spans="1:50">
      <c r="A119" s="4">
        <v>110</v>
      </c>
      <c r="B119" s="11" t="s">
        <v>88</v>
      </c>
      <c r="C119" s="12"/>
      <c r="D119" s="12" t="s">
        <v>1791</v>
      </c>
      <c r="E119" s="12" t="s">
        <v>1787</v>
      </c>
      <c r="F119" s="18" t="s">
        <v>1792</v>
      </c>
      <c r="G119" s="34" t="s">
        <v>541</v>
      </c>
      <c r="H119" s="12" t="s">
        <v>1791</v>
      </c>
      <c r="I119" s="12" t="s">
        <v>1570</v>
      </c>
      <c r="J119" s="14"/>
      <c r="K119" s="27">
        <v>0</v>
      </c>
      <c r="L119" s="10"/>
      <c r="M119" s="12" t="s">
        <v>1461</v>
      </c>
      <c r="N119" s="12" t="s">
        <v>1462</v>
      </c>
      <c r="O119" s="8">
        <f>SUM(P119:AW119)</f>
        <v>0</v>
      </c>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6"/>
    </row>
    <row r="120" spans="1:50">
      <c r="A120" s="4">
        <v>111</v>
      </c>
      <c r="B120" s="5" t="s">
        <v>88</v>
      </c>
      <c r="C120" s="6"/>
      <c r="D120" s="35" t="s">
        <v>1793</v>
      </c>
      <c r="E120" s="35" t="s">
        <v>1794</v>
      </c>
      <c r="F120" s="7"/>
      <c r="G120" s="9"/>
      <c r="H120" s="9"/>
      <c r="I120" s="9"/>
      <c r="J120" s="9"/>
      <c r="K120" s="20">
        <v>0</v>
      </c>
      <c r="L120" s="4"/>
      <c r="M120" s="9" t="s">
        <v>1795</v>
      </c>
      <c r="N120" s="9"/>
      <c r="O120" s="8">
        <f>SUM(P120:AW120)</f>
        <v>0</v>
      </c>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9"/>
    </row>
    <row r="121" spans="1:50">
      <c r="A121" s="4">
        <v>112</v>
      </c>
      <c r="B121" s="5" t="s">
        <v>88</v>
      </c>
      <c r="C121" s="6"/>
      <c r="D121" s="6" t="s">
        <v>1796</v>
      </c>
      <c r="E121" s="6" t="s">
        <v>1797</v>
      </c>
      <c r="F121" s="7"/>
      <c r="G121" s="9"/>
      <c r="H121" s="9"/>
      <c r="I121" s="9"/>
      <c r="J121" s="9"/>
      <c r="K121" s="20">
        <v>0</v>
      </c>
      <c r="L121" s="4"/>
      <c r="M121" s="9" t="s">
        <v>1795</v>
      </c>
      <c r="N121" s="9"/>
      <c r="O121" s="8">
        <f>SUM(P121:AW121)</f>
        <v>0</v>
      </c>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9"/>
    </row>
    <row r="122" spans="1:50" ht="26.45" customHeight="1">
      <c r="A122" s="4">
        <v>113</v>
      </c>
      <c r="B122" s="11" t="s">
        <v>88</v>
      </c>
      <c r="C122" s="12"/>
      <c r="D122" s="12" t="s">
        <v>1798</v>
      </c>
      <c r="E122" s="12" t="s">
        <v>1799</v>
      </c>
      <c r="F122" s="18" t="s">
        <v>1800</v>
      </c>
      <c r="G122" s="34" t="s">
        <v>541</v>
      </c>
      <c r="H122" s="12" t="s">
        <v>1798</v>
      </c>
      <c r="I122" s="12" t="s">
        <v>1801</v>
      </c>
      <c r="J122" s="14"/>
      <c r="K122" s="27">
        <v>0</v>
      </c>
      <c r="L122" s="10"/>
      <c r="M122" s="12" t="s">
        <v>1795</v>
      </c>
      <c r="N122" s="12" t="s">
        <v>1462</v>
      </c>
      <c r="O122" s="8">
        <f>SUM(P122:AW122)</f>
        <v>0</v>
      </c>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4"/>
    </row>
    <row r="123" spans="1:50" ht="26.45" customHeight="1">
      <c r="A123" s="4">
        <v>114</v>
      </c>
      <c r="B123" s="11" t="s">
        <v>88</v>
      </c>
      <c r="C123" s="12"/>
      <c r="D123" s="12" t="s">
        <v>1802</v>
      </c>
      <c r="E123" s="12" t="s">
        <v>1803</v>
      </c>
      <c r="F123" s="18" t="s">
        <v>1804</v>
      </c>
      <c r="G123" s="34" t="s">
        <v>541</v>
      </c>
      <c r="H123" s="12" t="s">
        <v>1802</v>
      </c>
      <c r="I123" s="12" t="s">
        <v>1805</v>
      </c>
      <c r="J123" s="14"/>
      <c r="K123" s="27">
        <v>0</v>
      </c>
      <c r="L123" s="10"/>
      <c r="M123" s="12" t="s">
        <v>1795</v>
      </c>
      <c r="N123" s="12" t="s">
        <v>1462</v>
      </c>
      <c r="O123" s="8">
        <f>SUM(P123:AW123)</f>
        <v>75</v>
      </c>
      <c r="P123" s="17"/>
      <c r="Q123" s="17"/>
      <c r="R123" s="17"/>
      <c r="S123" s="17"/>
      <c r="T123" s="17"/>
      <c r="U123" s="17"/>
      <c r="V123" s="17">
        <v>6</v>
      </c>
      <c r="W123" s="17">
        <v>52</v>
      </c>
      <c r="X123" s="17"/>
      <c r="Y123" s="17"/>
      <c r="Z123" s="17">
        <v>5</v>
      </c>
      <c r="AA123" s="17">
        <v>6</v>
      </c>
      <c r="AB123" s="17">
        <v>6</v>
      </c>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4"/>
    </row>
    <row r="124" spans="1:50" ht="26.45" customHeight="1">
      <c r="A124" s="4">
        <v>115</v>
      </c>
      <c r="B124" s="11" t="s">
        <v>88</v>
      </c>
      <c r="C124" s="12"/>
      <c r="D124" s="12" t="s">
        <v>1806</v>
      </c>
      <c r="E124" s="12" t="s">
        <v>1807</v>
      </c>
      <c r="F124" s="18" t="s">
        <v>1808</v>
      </c>
      <c r="G124" s="34" t="s">
        <v>541</v>
      </c>
      <c r="H124" s="12" t="s">
        <v>1806</v>
      </c>
      <c r="I124" s="12" t="s">
        <v>1801</v>
      </c>
      <c r="J124" s="14"/>
      <c r="K124" s="27">
        <v>0</v>
      </c>
      <c r="L124" s="10"/>
      <c r="M124" s="12" t="s">
        <v>1795</v>
      </c>
      <c r="N124" s="12" t="s">
        <v>1462</v>
      </c>
      <c r="O124" s="8">
        <f>SUM(P124:AW124)</f>
        <v>0</v>
      </c>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4"/>
    </row>
    <row r="125" spans="1:50" ht="26.45" customHeight="1">
      <c r="A125" s="4">
        <v>116</v>
      </c>
      <c r="B125" s="11" t="s">
        <v>88</v>
      </c>
      <c r="C125" s="12"/>
      <c r="D125" s="12" t="s">
        <v>1809</v>
      </c>
      <c r="E125" s="12" t="s">
        <v>1810</v>
      </c>
      <c r="F125" s="18" t="s">
        <v>1811</v>
      </c>
      <c r="G125" s="34" t="s">
        <v>541</v>
      </c>
      <c r="H125" s="12" t="s">
        <v>1809</v>
      </c>
      <c r="I125" s="12" t="s">
        <v>1805</v>
      </c>
      <c r="J125" s="14"/>
      <c r="K125" s="27">
        <v>0</v>
      </c>
      <c r="L125" s="10"/>
      <c r="M125" s="12" t="s">
        <v>1795</v>
      </c>
      <c r="N125" s="12" t="s">
        <v>1462</v>
      </c>
      <c r="O125" s="8">
        <f>SUM(P125:AW125)</f>
        <v>27</v>
      </c>
      <c r="P125" s="17"/>
      <c r="Q125" s="17"/>
      <c r="R125" s="17"/>
      <c r="S125" s="17"/>
      <c r="T125" s="17"/>
      <c r="U125" s="17"/>
      <c r="V125" s="17">
        <v>5</v>
      </c>
      <c r="W125" s="17">
        <v>8</v>
      </c>
      <c r="X125" s="17"/>
      <c r="Y125" s="17"/>
      <c r="Z125" s="17">
        <v>4</v>
      </c>
      <c r="AA125" s="17">
        <v>5</v>
      </c>
      <c r="AB125" s="17">
        <v>5</v>
      </c>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4"/>
    </row>
    <row r="126" spans="1:50">
      <c r="A126" s="4">
        <v>117</v>
      </c>
      <c r="B126" s="11" t="s">
        <v>88</v>
      </c>
      <c r="C126" s="12"/>
      <c r="D126" s="12" t="s">
        <v>1812</v>
      </c>
      <c r="E126" s="12" t="s">
        <v>1813</v>
      </c>
      <c r="F126" s="18" t="s">
        <v>1814</v>
      </c>
      <c r="G126" s="34" t="s">
        <v>541</v>
      </c>
      <c r="H126" s="12" t="s">
        <v>1812</v>
      </c>
      <c r="I126" s="12" t="s">
        <v>1805</v>
      </c>
      <c r="J126" s="14"/>
      <c r="K126" s="27">
        <v>0</v>
      </c>
      <c r="L126" s="10"/>
      <c r="M126" s="12" t="s">
        <v>1795</v>
      </c>
      <c r="N126" s="12" t="s">
        <v>1462</v>
      </c>
      <c r="O126" s="8">
        <f>SUM(P126:AW126)</f>
        <v>0</v>
      </c>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4"/>
    </row>
    <row r="127" spans="1:50">
      <c r="A127" s="4">
        <v>118</v>
      </c>
      <c r="B127" s="5" t="s">
        <v>88</v>
      </c>
      <c r="C127" s="6"/>
      <c r="D127" s="6"/>
      <c r="E127" s="6" t="s">
        <v>1815</v>
      </c>
      <c r="F127" s="7"/>
      <c r="G127" s="9"/>
      <c r="H127" s="9"/>
      <c r="I127" s="9"/>
      <c r="J127" s="9"/>
      <c r="K127" s="20">
        <v>0</v>
      </c>
      <c r="L127" s="4"/>
      <c r="M127" s="9" t="s">
        <v>1461</v>
      </c>
      <c r="N127" s="9"/>
      <c r="O127" s="8">
        <f>SUM(P127:AW127)</f>
        <v>0</v>
      </c>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9"/>
    </row>
    <row r="128" spans="1:50">
      <c r="A128" s="4">
        <v>119</v>
      </c>
      <c r="B128" s="5" t="s">
        <v>88</v>
      </c>
      <c r="C128" s="6"/>
      <c r="D128" s="35" t="s">
        <v>1816</v>
      </c>
      <c r="E128" s="35" t="s">
        <v>1817</v>
      </c>
      <c r="F128" s="7"/>
      <c r="G128" s="9"/>
      <c r="H128" s="9"/>
      <c r="I128" s="9"/>
      <c r="J128" s="9"/>
      <c r="K128" s="20">
        <v>0</v>
      </c>
      <c r="L128" s="4"/>
      <c r="M128" s="9" t="s">
        <v>1461</v>
      </c>
      <c r="N128" s="9"/>
      <c r="O128" s="8">
        <f>SUM(P128:AW128)</f>
        <v>0</v>
      </c>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9"/>
    </row>
    <row r="129" spans="1:50">
      <c r="A129" s="4">
        <v>120</v>
      </c>
      <c r="B129" s="11" t="s">
        <v>88</v>
      </c>
      <c r="C129" s="12"/>
      <c r="D129" s="12" t="s">
        <v>1818</v>
      </c>
      <c r="E129" s="12" t="s">
        <v>1819</v>
      </c>
      <c r="F129" s="18" t="s">
        <v>1820</v>
      </c>
      <c r="G129" s="34" t="s">
        <v>541</v>
      </c>
      <c r="H129" s="12" t="s">
        <v>1818</v>
      </c>
      <c r="I129" s="12" t="s">
        <v>1821</v>
      </c>
      <c r="J129" s="14"/>
      <c r="K129" s="27">
        <v>0</v>
      </c>
      <c r="L129" s="10"/>
      <c r="M129" s="12" t="s">
        <v>1461</v>
      </c>
      <c r="N129" s="12" t="s">
        <v>1462</v>
      </c>
      <c r="O129" s="8">
        <f>SUM(P129:AW129)</f>
        <v>0</v>
      </c>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4"/>
    </row>
    <row r="130" spans="1:50">
      <c r="A130" s="4">
        <v>121</v>
      </c>
      <c r="B130" s="11" t="s">
        <v>88</v>
      </c>
      <c r="C130" s="12"/>
      <c r="D130" s="12" t="s">
        <v>1822</v>
      </c>
      <c r="E130" s="12" t="s">
        <v>1823</v>
      </c>
      <c r="F130" s="18" t="s">
        <v>1824</v>
      </c>
      <c r="G130" s="34" t="s">
        <v>541</v>
      </c>
      <c r="H130" s="12" t="s">
        <v>1822</v>
      </c>
      <c r="I130" s="12" t="s">
        <v>1825</v>
      </c>
      <c r="J130" s="14"/>
      <c r="K130" s="27">
        <v>0</v>
      </c>
      <c r="L130" s="10"/>
      <c r="M130" s="12" t="s">
        <v>1461</v>
      </c>
      <c r="N130" s="12" t="s">
        <v>1462</v>
      </c>
      <c r="O130" s="8">
        <f>SUM(P130:AW130)</f>
        <v>0</v>
      </c>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4"/>
    </row>
    <row r="131" spans="1:50">
      <c r="A131" s="4">
        <v>122</v>
      </c>
      <c r="B131" s="11" t="s">
        <v>88</v>
      </c>
      <c r="C131" s="12"/>
      <c r="D131" s="12" t="s">
        <v>1826</v>
      </c>
      <c r="E131" s="12" t="s">
        <v>1827</v>
      </c>
      <c r="F131" s="18" t="s">
        <v>1828</v>
      </c>
      <c r="G131" s="34" t="s">
        <v>541</v>
      </c>
      <c r="H131" s="12" t="s">
        <v>1826</v>
      </c>
      <c r="I131" s="12" t="s">
        <v>1829</v>
      </c>
      <c r="J131" s="14"/>
      <c r="K131" s="27">
        <v>0</v>
      </c>
      <c r="L131" s="10"/>
      <c r="M131" s="12" t="s">
        <v>1461</v>
      </c>
      <c r="N131" s="12" t="s">
        <v>1462</v>
      </c>
      <c r="O131" s="8">
        <f>SUM(P131:AW131)</f>
        <v>0</v>
      </c>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4"/>
    </row>
    <row r="132" spans="1:50">
      <c r="A132" s="4">
        <v>123</v>
      </c>
      <c r="B132" s="11" t="s">
        <v>88</v>
      </c>
      <c r="C132" s="12"/>
      <c r="D132" s="12" t="s">
        <v>1830</v>
      </c>
      <c r="E132" s="12" t="s">
        <v>1831</v>
      </c>
      <c r="F132" s="18" t="s">
        <v>1832</v>
      </c>
      <c r="G132" s="34" t="s">
        <v>541</v>
      </c>
      <c r="H132" s="12" t="s">
        <v>1830</v>
      </c>
      <c r="I132" s="12" t="s">
        <v>1833</v>
      </c>
      <c r="J132" s="14"/>
      <c r="K132" s="27">
        <v>0</v>
      </c>
      <c r="L132" s="10"/>
      <c r="M132" s="12" t="s">
        <v>1461</v>
      </c>
      <c r="N132" s="12" t="s">
        <v>1462</v>
      </c>
      <c r="O132" s="8">
        <f>SUM(P132:AW132)</f>
        <v>0</v>
      </c>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4"/>
    </row>
    <row r="133" spans="1:50">
      <c r="A133" s="4">
        <v>124</v>
      </c>
      <c r="B133" s="11" t="s">
        <v>88</v>
      </c>
      <c r="C133" s="12"/>
      <c r="D133" s="12" t="s">
        <v>1834</v>
      </c>
      <c r="E133" s="12" t="s">
        <v>1835</v>
      </c>
      <c r="F133" s="18" t="s">
        <v>1836</v>
      </c>
      <c r="G133" s="34" t="s">
        <v>541</v>
      </c>
      <c r="H133" s="12" t="s">
        <v>1834</v>
      </c>
      <c r="I133" s="12" t="s">
        <v>1837</v>
      </c>
      <c r="J133" s="14"/>
      <c r="K133" s="27">
        <v>0</v>
      </c>
      <c r="L133" s="10"/>
      <c r="M133" s="12" t="s">
        <v>1461</v>
      </c>
      <c r="N133" s="12" t="s">
        <v>1462</v>
      </c>
      <c r="O133" s="8">
        <f>SUM(P133:AW133)</f>
        <v>0</v>
      </c>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4"/>
    </row>
    <row r="134" spans="1:50">
      <c r="A134" s="4">
        <v>125</v>
      </c>
      <c r="B134" s="11" t="s">
        <v>88</v>
      </c>
      <c r="C134" s="12"/>
      <c r="D134" s="12" t="s">
        <v>1838</v>
      </c>
      <c r="E134" s="12" t="s">
        <v>1839</v>
      </c>
      <c r="F134" s="18" t="s">
        <v>1840</v>
      </c>
      <c r="G134" s="34" t="s">
        <v>541</v>
      </c>
      <c r="H134" s="12" t="s">
        <v>1838</v>
      </c>
      <c r="I134" s="12" t="s">
        <v>1841</v>
      </c>
      <c r="J134" s="14"/>
      <c r="K134" s="27">
        <v>0</v>
      </c>
      <c r="L134" s="10"/>
      <c r="M134" s="12" t="s">
        <v>1461</v>
      </c>
      <c r="N134" s="12" t="s">
        <v>1462</v>
      </c>
      <c r="O134" s="8">
        <f>SUM(P134:AW134)</f>
        <v>0</v>
      </c>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4"/>
    </row>
    <row r="135" spans="1:50">
      <c r="A135" s="4">
        <v>126</v>
      </c>
      <c r="B135" s="11" t="s">
        <v>88</v>
      </c>
      <c r="C135" s="12"/>
      <c r="D135" s="12" t="s">
        <v>1842</v>
      </c>
      <c r="E135" s="12" t="s">
        <v>1843</v>
      </c>
      <c r="F135" s="18" t="s">
        <v>1844</v>
      </c>
      <c r="G135" s="34" t="s">
        <v>541</v>
      </c>
      <c r="H135" s="12" t="s">
        <v>1842</v>
      </c>
      <c r="I135" s="12" t="s">
        <v>1845</v>
      </c>
      <c r="J135" s="14"/>
      <c r="K135" s="27">
        <v>0</v>
      </c>
      <c r="L135" s="10"/>
      <c r="M135" s="12" t="s">
        <v>1461</v>
      </c>
      <c r="N135" s="12" t="s">
        <v>1462</v>
      </c>
      <c r="O135" s="8">
        <f>SUM(P135:AW135)</f>
        <v>0</v>
      </c>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4"/>
    </row>
    <row r="136" spans="1:50">
      <c r="A136" s="4">
        <v>127</v>
      </c>
      <c r="B136" s="11" t="s">
        <v>88</v>
      </c>
      <c r="C136" s="12"/>
      <c r="D136" s="12" t="s">
        <v>1846</v>
      </c>
      <c r="E136" s="12" t="s">
        <v>1843</v>
      </c>
      <c r="F136" s="18" t="s">
        <v>1847</v>
      </c>
      <c r="G136" s="34" t="s">
        <v>541</v>
      </c>
      <c r="H136" s="12" t="s">
        <v>1846</v>
      </c>
      <c r="I136" s="12" t="s">
        <v>1848</v>
      </c>
      <c r="J136" s="14"/>
      <c r="K136" s="27">
        <v>0</v>
      </c>
      <c r="L136" s="10"/>
      <c r="M136" s="12" t="s">
        <v>1461</v>
      </c>
      <c r="N136" s="12" t="s">
        <v>1462</v>
      </c>
      <c r="O136" s="8">
        <f>SUM(P136:AW136)</f>
        <v>0</v>
      </c>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4"/>
    </row>
    <row r="137" spans="1:50">
      <c r="A137" s="4">
        <v>128</v>
      </c>
      <c r="B137" s="11" t="s">
        <v>88</v>
      </c>
      <c r="C137" s="12"/>
      <c r="D137" s="12" t="s">
        <v>1849</v>
      </c>
      <c r="E137" s="12" t="s">
        <v>1843</v>
      </c>
      <c r="F137" s="18" t="s">
        <v>1850</v>
      </c>
      <c r="G137" s="34" t="s">
        <v>541</v>
      </c>
      <c r="H137" s="12" t="s">
        <v>1849</v>
      </c>
      <c r="I137" s="12" t="s">
        <v>1851</v>
      </c>
      <c r="J137" s="14"/>
      <c r="K137" s="27">
        <v>0</v>
      </c>
      <c r="L137" s="10"/>
      <c r="M137" s="12" t="s">
        <v>1461</v>
      </c>
      <c r="N137" s="12" t="s">
        <v>1462</v>
      </c>
      <c r="O137" s="8">
        <f>SUM(P137:AW137)</f>
        <v>0</v>
      </c>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4"/>
    </row>
    <row r="138" spans="1:50">
      <c r="A138" s="4">
        <v>129</v>
      </c>
      <c r="B138" s="11" t="s">
        <v>88</v>
      </c>
      <c r="C138" s="12"/>
      <c r="D138" s="12" t="s">
        <v>1852</v>
      </c>
      <c r="E138" s="12" t="s">
        <v>1853</v>
      </c>
      <c r="F138" s="18" t="s">
        <v>1844</v>
      </c>
      <c r="G138" s="34" t="s">
        <v>541</v>
      </c>
      <c r="H138" s="12" t="s">
        <v>1852</v>
      </c>
      <c r="I138" s="12" t="s">
        <v>1854</v>
      </c>
      <c r="J138" s="14"/>
      <c r="K138" s="27">
        <v>0</v>
      </c>
      <c r="L138" s="10"/>
      <c r="M138" s="12" t="s">
        <v>1461</v>
      </c>
      <c r="N138" s="12" t="s">
        <v>1462</v>
      </c>
      <c r="O138" s="8">
        <f>SUM(P138:AW138)</f>
        <v>0</v>
      </c>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4"/>
    </row>
    <row r="139" spans="1:50">
      <c r="A139" s="4">
        <v>130</v>
      </c>
      <c r="B139" s="11" t="s">
        <v>88</v>
      </c>
      <c r="C139" s="12"/>
      <c r="D139" s="12" t="s">
        <v>1855</v>
      </c>
      <c r="E139" s="12" t="s">
        <v>1853</v>
      </c>
      <c r="F139" s="18" t="s">
        <v>1856</v>
      </c>
      <c r="G139" s="34" t="s">
        <v>541</v>
      </c>
      <c r="H139" s="12" t="s">
        <v>1855</v>
      </c>
      <c r="I139" s="12" t="s">
        <v>1857</v>
      </c>
      <c r="J139" s="14"/>
      <c r="K139" s="27">
        <v>0</v>
      </c>
      <c r="L139" s="10"/>
      <c r="M139" s="12" t="s">
        <v>1461</v>
      </c>
      <c r="N139" s="12" t="s">
        <v>1462</v>
      </c>
      <c r="O139" s="8">
        <f>SUM(P139:AW139)</f>
        <v>0</v>
      </c>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4"/>
    </row>
    <row r="140" spans="1:50">
      <c r="A140" s="4">
        <v>131</v>
      </c>
      <c r="B140" s="11" t="s">
        <v>88</v>
      </c>
      <c r="C140" s="12"/>
      <c r="D140" s="12" t="s">
        <v>1858</v>
      </c>
      <c r="E140" s="12" t="s">
        <v>1853</v>
      </c>
      <c r="F140" s="18" t="s">
        <v>1859</v>
      </c>
      <c r="G140" s="34" t="s">
        <v>541</v>
      </c>
      <c r="H140" s="12" t="s">
        <v>1858</v>
      </c>
      <c r="I140" s="12" t="s">
        <v>1860</v>
      </c>
      <c r="J140" s="14"/>
      <c r="K140" s="27">
        <v>0</v>
      </c>
      <c r="L140" s="10"/>
      <c r="M140" s="12" t="s">
        <v>1461</v>
      </c>
      <c r="N140" s="12" t="s">
        <v>1462</v>
      </c>
      <c r="O140" s="8">
        <f>SUM(P140:AW140)</f>
        <v>0</v>
      </c>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4"/>
    </row>
    <row r="141" spans="1:50">
      <c r="A141" s="4">
        <v>133</v>
      </c>
      <c r="B141" s="11" t="s">
        <v>88</v>
      </c>
      <c r="C141" s="12"/>
      <c r="D141" s="12" t="s">
        <v>1861</v>
      </c>
      <c r="E141" s="12" t="s">
        <v>1862</v>
      </c>
      <c r="F141" s="18" t="s">
        <v>1863</v>
      </c>
      <c r="G141" s="34" t="s">
        <v>541</v>
      </c>
      <c r="H141" s="12" t="s">
        <v>1861</v>
      </c>
      <c r="I141" s="12" t="s">
        <v>1864</v>
      </c>
      <c r="J141" s="14"/>
      <c r="K141" s="27">
        <v>0</v>
      </c>
      <c r="L141" s="10"/>
      <c r="M141" s="12" t="s">
        <v>1461</v>
      </c>
      <c r="N141" s="12" t="s">
        <v>1462</v>
      </c>
      <c r="O141" s="8">
        <f>SUM(P141:AW141)</f>
        <v>0</v>
      </c>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4"/>
    </row>
    <row r="142" spans="1:50">
      <c r="A142" s="4"/>
      <c r="B142" s="11"/>
      <c r="C142" s="12"/>
      <c r="D142" s="12" t="s">
        <v>1861</v>
      </c>
      <c r="E142" s="12" t="s">
        <v>1862</v>
      </c>
      <c r="F142" s="18" t="s">
        <v>1865</v>
      </c>
      <c r="G142" s="34"/>
      <c r="H142" s="12"/>
      <c r="I142" s="12"/>
      <c r="J142" s="14"/>
      <c r="K142" s="27"/>
      <c r="L142" s="10"/>
      <c r="M142" s="12"/>
      <c r="N142" s="12" t="s">
        <v>1462</v>
      </c>
      <c r="O142" s="8">
        <f>SUM(P142:AW142)</f>
        <v>0</v>
      </c>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4"/>
    </row>
    <row r="143" spans="1:50">
      <c r="A143" s="4">
        <v>134</v>
      </c>
      <c r="B143" s="11" t="s">
        <v>88</v>
      </c>
      <c r="C143" s="12"/>
      <c r="D143" s="12" t="s">
        <v>1866</v>
      </c>
      <c r="E143" s="12" t="s">
        <v>1867</v>
      </c>
      <c r="F143" s="18" t="s">
        <v>1844</v>
      </c>
      <c r="G143" s="34" t="s">
        <v>541</v>
      </c>
      <c r="H143" s="12" t="s">
        <v>1866</v>
      </c>
      <c r="I143" s="12" t="s">
        <v>1868</v>
      </c>
      <c r="J143" s="14"/>
      <c r="K143" s="27">
        <v>0</v>
      </c>
      <c r="L143" s="10"/>
      <c r="M143" s="12" t="s">
        <v>1461</v>
      </c>
      <c r="N143" s="12" t="s">
        <v>1462</v>
      </c>
      <c r="O143" s="8">
        <f>SUM(P143:AW143)</f>
        <v>0</v>
      </c>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4"/>
    </row>
    <row r="144" spans="1:50">
      <c r="A144" s="4">
        <v>132</v>
      </c>
      <c r="B144" s="11" t="s">
        <v>88</v>
      </c>
      <c r="C144" s="12"/>
      <c r="D144" s="12" t="s">
        <v>1869</v>
      </c>
      <c r="E144" s="12" t="s">
        <v>1870</v>
      </c>
      <c r="F144" s="18" t="s">
        <v>1871</v>
      </c>
      <c r="G144" s="34" t="s">
        <v>541</v>
      </c>
      <c r="H144" s="12" t="s">
        <v>1869</v>
      </c>
      <c r="I144" s="12" t="s">
        <v>1872</v>
      </c>
      <c r="J144" s="14"/>
      <c r="K144" s="27">
        <v>0</v>
      </c>
      <c r="L144" s="10"/>
      <c r="M144" s="12" t="s">
        <v>1461</v>
      </c>
      <c r="N144" s="12" t="s">
        <v>1462</v>
      </c>
      <c r="O144" s="8">
        <f>SUM(P144:AW144)</f>
        <v>0</v>
      </c>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4"/>
    </row>
    <row r="145" spans="1:50">
      <c r="A145" s="4">
        <v>135</v>
      </c>
      <c r="B145" s="11" t="s">
        <v>88</v>
      </c>
      <c r="C145" s="12"/>
      <c r="D145" s="12" t="s">
        <v>1873</v>
      </c>
      <c r="E145" s="12" t="s">
        <v>1867</v>
      </c>
      <c r="F145" s="18" t="s">
        <v>1847</v>
      </c>
      <c r="G145" s="34" t="s">
        <v>541</v>
      </c>
      <c r="H145" s="12" t="s">
        <v>1873</v>
      </c>
      <c r="I145" s="12" t="s">
        <v>1874</v>
      </c>
      <c r="J145" s="14"/>
      <c r="K145" s="27">
        <v>0</v>
      </c>
      <c r="L145" s="10"/>
      <c r="M145" s="12" t="s">
        <v>1461</v>
      </c>
      <c r="N145" s="12" t="s">
        <v>1462</v>
      </c>
      <c r="O145" s="8">
        <f>SUM(P145:AW145)</f>
        <v>0</v>
      </c>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4"/>
    </row>
    <row r="146" spans="1:50">
      <c r="A146" s="4">
        <v>136</v>
      </c>
      <c r="B146" s="11" t="s">
        <v>88</v>
      </c>
      <c r="C146" s="12"/>
      <c r="D146" s="12" t="s">
        <v>1875</v>
      </c>
      <c r="E146" s="12" t="s">
        <v>1876</v>
      </c>
      <c r="F146" s="18" t="s">
        <v>1850</v>
      </c>
      <c r="G146" s="34" t="s">
        <v>541</v>
      </c>
      <c r="H146" s="12" t="s">
        <v>1875</v>
      </c>
      <c r="I146" s="12" t="s">
        <v>1877</v>
      </c>
      <c r="J146" s="14"/>
      <c r="K146" s="27">
        <v>0</v>
      </c>
      <c r="L146" s="10"/>
      <c r="M146" s="12" t="s">
        <v>1461</v>
      </c>
      <c r="N146" s="12" t="s">
        <v>1462</v>
      </c>
      <c r="O146" s="8">
        <f>SUM(P146:AW146)</f>
        <v>0</v>
      </c>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4"/>
    </row>
    <row r="147" spans="1:50">
      <c r="A147" s="4">
        <v>137</v>
      </c>
      <c r="B147" s="11" t="s">
        <v>88</v>
      </c>
      <c r="C147" s="12"/>
      <c r="D147" s="12" t="s">
        <v>1878</v>
      </c>
      <c r="E147" s="12" t="s">
        <v>1879</v>
      </c>
      <c r="F147" s="18" t="s">
        <v>1880</v>
      </c>
      <c r="G147" s="34" t="s">
        <v>541</v>
      </c>
      <c r="H147" s="12" t="s">
        <v>1878</v>
      </c>
      <c r="I147" s="12" t="s">
        <v>1881</v>
      </c>
      <c r="J147" s="12" t="s">
        <v>746</v>
      </c>
      <c r="K147" s="27">
        <v>0</v>
      </c>
      <c r="L147" s="30" t="s">
        <v>541</v>
      </c>
      <c r="M147" s="12" t="s">
        <v>1461</v>
      </c>
      <c r="N147" s="12" t="s">
        <v>1462</v>
      </c>
      <c r="O147" s="8">
        <f>SUM(P147:AW147)</f>
        <v>0</v>
      </c>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4"/>
    </row>
    <row r="148" spans="1:50" ht="38.25">
      <c r="A148" s="4">
        <v>138</v>
      </c>
      <c r="B148" s="11" t="s">
        <v>88</v>
      </c>
      <c r="C148" s="12"/>
      <c r="D148" s="12" t="s">
        <v>1882</v>
      </c>
      <c r="E148" s="12" t="s">
        <v>1879</v>
      </c>
      <c r="F148" s="106" t="s">
        <v>1883</v>
      </c>
      <c r="G148" s="34" t="s">
        <v>541</v>
      </c>
      <c r="H148" s="12" t="s">
        <v>1882</v>
      </c>
      <c r="I148" s="12" t="s">
        <v>1881</v>
      </c>
      <c r="J148" s="14"/>
      <c r="K148" s="27">
        <v>0</v>
      </c>
      <c r="L148" s="10"/>
      <c r="M148" s="12" t="s">
        <v>1461</v>
      </c>
      <c r="N148" s="12" t="s">
        <v>1462</v>
      </c>
      <c r="O148" s="8">
        <f>SUM(P148:AW148)</f>
        <v>0</v>
      </c>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4"/>
    </row>
    <row r="149" spans="1:50">
      <c r="A149" s="4">
        <v>139</v>
      </c>
      <c r="B149" s="11" t="s">
        <v>88</v>
      </c>
      <c r="C149" s="12"/>
      <c r="D149" s="12" t="s">
        <v>1884</v>
      </c>
      <c r="E149" s="12" t="s">
        <v>1879</v>
      </c>
      <c r="F149" s="18" t="s">
        <v>1885</v>
      </c>
      <c r="G149" s="34" t="s">
        <v>541</v>
      </c>
      <c r="H149" s="12" t="s">
        <v>1884</v>
      </c>
      <c r="I149" s="12" t="s">
        <v>1881</v>
      </c>
      <c r="J149" s="14"/>
      <c r="K149" s="27">
        <v>0</v>
      </c>
      <c r="L149" s="10"/>
      <c r="M149" s="12" t="s">
        <v>1461</v>
      </c>
      <c r="N149" s="12" t="s">
        <v>1462</v>
      </c>
      <c r="O149" s="8">
        <f>SUM(P149:AW149)</f>
        <v>0</v>
      </c>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4"/>
    </row>
    <row r="150" spans="1:50">
      <c r="A150" s="4">
        <v>140</v>
      </c>
      <c r="B150" s="11" t="s">
        <v>88</v>
      </c>
      <c r="C150" s="12"/>
      <c r="D150" s="12" t="s">
        <v>1886</v>
      </c>
      <c r="E150" s="12" t="s">
        <v>1887</v>
      </c>
      <c r="F150" s="18" t="s">
        <v>1888</v>
      </c>
      <c r="G150" s="34"/>
      <c r="H150" s="12" t="s">
        <v>1886</v>
      </c>
      <c r="I150" s="12" t="s">
        <v>1889</v>
      </c>
      <c r="J150" s="14"/>
      <c r="K150" s="27">
        <v>0</v>
      </c>
      <c r="L150" s="10"/>
      <c r="M150" s="12" t="s">
        <v>1461</v>
      </c>
      <c r="N150" s="12" t="s">
        <v>1462</v>
      </c>
      <c r="O150" s="8">
        <f>SUM(P150:AW150)</f>
        <v>0</v>
      </c>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4"/>
    </row>
    <row r="151" spans="1:50">
      <c r="A151" s="4"/>
      <c r="B151" s="11"/>
      <c r="C151" s="12"/>
      <c r="D151" s="12" t="s">
        <v>1890</v>
      </c>
      <c r="E151" s="12" t="s">
        <v>1891</v>
      </c>
      <c r="F151" s="18" t="s">
        <v>1892</v>
      </c>
      <c r="G151" s="34"/>
      <c r="H151" s="12" t="s">
        <v>1890</v>
      </c>
      <c r="I151" s="12" t="s">
        <v>1889</v>
      </c>
      <c r="J151" s="14"/>
      <c r="K151" s="27">
        <v>0</v>
      </c>
      <c r="L151" s="10"/>
      <c r="M151" s="12" t="s">
        <v>1461</v>
      </c>
      <c r="N151" s="12" t="s">
        <v>1462</v>
      </c>
      <c r="O151" s="8">
        <f>SUM(P151:AW151)</f>
        <v>0</v>
      </c>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4"/>
    </row>
    <row r="152" spans="1:50">
      <c r="A152" s="4"/>
      <c r="B152" s="11"/>
      <c r="C152" s="12"/>
      <c r="D152" s="12" t="s">
        <v>1893</v>
      </c>
      <c r="E152" s="12" t="s">
        <v>1891</v>
      </c>
      <c r="F152" s="18" t="s">
        <v>1894</v>
      </c>
      <c r="G152" s="34"/>
      <c r="H152" s="12" t="s">
        <v>1893</v>
      </c>
      <c r="I152" s="12" t="s">
        <v>1889</v>
      </c>
      <c r="J152" s="14"/>
      <c r="K152" s="27">
        <v>0</v>
      </c>
      <c r="L152" s="10"/>
      <c r="M152" s="12" t="s">
        <v>1461</v>
      </c>
      <c r="N152" s="12" t="s">
        <v>1462</v>
      </c>
      <c r="O152" s="8">
        <f>SUM(P152:AW152)</f>
        <v>0</v>
      </c>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4"/>
    </row>
    <row r="153" spans="1:50">
      <c r="A153" s="4"/>
      <c r="B153" s="11"/>
      <c r="C153" s="12"/>
      <c r="D153" s="12"/>
      <c r="E153" s="12" t="s">
        <v>1895</v>
      </c>
      <c r="F153" s="18" t="s">
        <v>1894</v>
      </c>
      <c r="G153" s="34"/>
      <c r="H153" s="12"/>
      <c r="I153" s="12"/>
      <c r="J153" s="14"/>
      <c r="K153" s="27"/>
      <c r="L153" s="10"/>
      <c r="M153" s="12"/>
      <c r="N153" s="12" t="s">
        <v>1462</v>
      </c>
      <c r="O153" s="8">
        <f>SUM(P153:AW153)</f>
        <v>0</v>
      </c>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4"/>
    </row>
    <row r="154" spans="1:50">
      <c r="A154" s="4"/>
      <c r="B154" s="11"/>
      <c r="C154" s="12"/>
      <c r="D154" s="12" t="s">
        <v>1896</v>
      </c>
      <c r="E154" s="12" t="s">
        <v>1897</v>
      </c>
      <c r="F154" s="18" t="s">
        <v>1898</v>
      </c>
      <c r="G154" s="34"/>
      <c r="H154" s="12" t="s">
        <v>1896</v>
      </c>
      <c r="I154" s="12" t="s">
        <v>1889</v>
      </c>
      <c r="J154" s="14"/>
      <c r="K154" s="27">
        <v>0</v>
      </c>
      <c r="L154" s="10"/>
      <c r="M154" s="12" t="s">
        <v>1461</v>
      </c>
      <c r="N154" s="12" t="s">
        <v>1462</v>
      </c>
      <c r="O154" s="8">
        <f>SUM(P154:AW154)</f>
        <v>0</v>
      </c>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4"/>
    </row>
    <row r="155" spans="1:50" s="43" customFormat="1">
      <c r="A155" s="4"/>
      <c r="B155" s="11"/>
      <c r="C155" s="12"/>
      <c r="D155" s="12" t="s">
        <v>1899</v>
      </c>
      <c r="E155" s="12" t="s">
        <v>1897</v>
      </c>
      <c r="F155" s="18" t="s">
        <v>1900</v>
      </c>
      <c r="G155" s="34"/>
      <c r="H155" s="12" t="s">
        <v>1899</v>
      </c>
      <c r="I155" s="12" t="s">
        <v>1889</v>
      </c>
      <c r="J155" s="14"/>
      <c r="K155" s="27">
        <v>0</v>
      </c>
      <c r="L155" s="10"/>
      <c r="M155" s="12" t="s">
        <v>1461</v>
      </c>
      <c r="N155" s="12" t="s">
        <v>1462</v>
      </c>
      <c r="O155" s="8">
        <f>SUM(P155:AW155)</f>
        <v>0</v>
      </c>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4"/>
    </row>
    <row r="156" spans="1:50" s="43" customFormat="1">
      <c r="A156" s="4"/>
      <c r="B156" s="11"/>
      <c r="C156" s="12"/>
      <c r="D156" s="12" t="s">
        <v>1901</v>
      </c>
      <c r="E156" s="12" t="s">
        <v>1897</v>
      </c>
      <c r="F156" s="18" t="s">
        <v>1902</v>
      </c>
      <c r="G156" s="34"/>
      <c r="H156" s="12" t="s">
        <v>1901</v>
      </c>
      <c r="I156" s="12" t="s">
        <v>1903</v>
      </c>
      <c r="J156" s="14"/>
      <c r="K156" s="27">
        <v>1</v>
      </c>
      <c r="L156" s="10"/>
      <c r="M156" s="12" t="s">
        <v>1461</v>
      </c>
      <c r="N156" s="12" t="s">
        <v>1462</v>
      </c>
      <c r="O156" s="8">
        <f>SUM(P156:AW156)</f>
        <v>0</v>
      </c>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4"/>
    </row>
    <row r="157" spans="1:50" s="43" customFormat="1">
      <c r="A157" s="4"/>
      <c r="B157" s="11"/>
      <c r="C157" s="12"/>
      <c r="D157" s="12" t="s">
        <v>1904</v>
      </c>
      <c r="E157" s="12" t="s">
        <v>1897</v>
      </c>
      <c r="F157" s="18" t="s">
        <v>1905</v>
      </c>
      <c r="G157" s="34"/>
      <c r="H157" s="12" t="s">
        <v>1904</v>
      </c>
      <c r="I157" s="12" t="s">
        <v>1906</v>
      </c>
      <c r="J157" s="14"/>
      <c r="K157" s="27">
        <v>2</v>
      </c>
      <c r="L157" s="10"/>
      <c r="M157" s="12" t="s">
        <v>1461</v>
      </c>
      <c r="N157" s="12" t="s">
        <v>1462</v>
      </c>
      <c r="O157" s="8">
        <f>SUM(P157:AW157)</f>
        <v>0</v>
      </c>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4"/>
    </row>
    <row r="158" spans="1:50" s="43" customFormat="1">
      <c r="A158" s="4">
        <v>141</v>
      </c>
      <c r="B158" s="11" t="s">
        <v>88</v>
      </c>
      <c r="C158" s="38"/>
      <c r="D158" s="39" t="s">
        <v>1907</v>
      </c>
      <c r="E158" s="39" t="s">
        <v>1908</v>
      </c>
      <c r="F158" s="40"/>
      <c r="G158" s="38"/>
      <c r="H158" s="38" t="s">
        <v>1907</v>
      </c>
      <c r="I158" s="38" t="s">
        <v>1909</v>
      </c>
      <c r="J158" s="55"/>
      <c r="K158" s="41"/>
      <c r="L158" s="56"/>
      <c r="M158" s="38" t="s">
        <v>1461</v>
      </c>
      <c r="N158" s="38" t="s">
        <v>1462</v>
      </c>
      <c r="O158" s="8">
        <f>SUM(P158:AW158)</f>
        <v>0</v>
      </c>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42"/>
      <c r="AV158" s="42"/>
      <c r="AW158" s="42"/>
      <c r="AX158" s="55"/>
    </row>
    <row r="159" spans="1:50" s="43" customFormat="1">
      <c r="A159" s="4">
        <v>142</v>
      </c>
      <c r="B159" s="11" t="s">
        <v>88</v>
      </c>
      <c r="C159" s="38"/>
      <c r="D159" s="38" t="s">
        <v>1910</v>
      </c>
      <c r="E159" s="38" t="s">
        <v>1911</v>
      </c>
      <c r="F159" s="40" t="s">
        <v>1912</v>
      </c>
      <c r="G159" s="38"/>
      <c r="H159" s="38" t="s">
        <v>1910</v>
      </c>
      <c r="I159" s="38" t="s">
        <v>1913</v>
      </c>
      <c r="J159" s="55"/>
      <c r="K159" s="41"/>
      <c r="L159" s="56"/>
      <c r="M159" s="38" t="s">
        <v>1461</v>
      </c>
      <c r="N159" s="38" t="s">
        <v>1462</v>
      </c>
      <c r="O159" s="8">
        <f>SUM(P159:AW159)</f>
        <v>0</v>
      </c>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42"/>
      <c r="AV159" s="42"/>
      <c r="AW159" s="42"/>
      <c r="AX159" s="55"/>
    </row>
    <row r="160" spans="1:50" s="43" customFormat="1">
      <c r="A160" s="4">
        <v>143</v>
      </c>
      <c r="B160" s="11" t="s">
        <v>88</v>
      </c>
      <c r="C160" s="38"/>
      <c r="D160" s="38" t="s">
        <v>1914</v>
      </c>
      <c r="E160" s="38" t="s">
        <v>1915</v>
      </c>
      <c r="F160" s="40" t="s">
        <v>1916</v>
      </c>
      <c r="G160" s="38"/>
      <c r="H160" s="38" t="s">
        <v>1914</v>
      </c>
      <c r="I160" s="38" t="s">
        <v>1917</v>
      </c>
      <c r="J160" s="55"/>
      <c r="K160" s="41"/>
      <c r="L160" s="56"/>
      <c r="M160" s="38" t="s">
        <v>1461</v>
      </c>
      <c r="N160" s="38" t="s">
        <v>1462</v>
      </c>
      <c r="O160" s="8">
        <f>SUM(P160:AW160)</f>
        <v>0</v>
      </c>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42"/>
      <c r="AV160" s="42"/>
      <c r="AW160" s="42"/>
      <c r="AX160" s="55"/>
    </row>
    <row r="161" spans="1:50" s="43" customFormat="1" ht="26.45" customHeight="1">
      <c r="A161" s="4">
        <v>144</v>
      </c>
      <c r="B161" s="11" t="s">
        <v>88</v>
      </c>
      <c r="C161" s="38"/>
      <c r="D161" s="38" t="s">
        <v>1918</v>
      </c>
      <c r="E161" s="38" t="s">
        <v>1919</v>
      </c>
      <c r="F161" s="40" t="s">
        <v>1920</v>
      </c>
      <c r="G161" s="38"/>
      <c r="H161" s="38" t="s">
        <v>1918</v>
      </c>
      <c r="I161" s="38" t="s">
        <v>1917</v>
      </c>
      <c r="J161" s="55"/>
      <c r="K161" s="41"/>
      <c r="L161" s="56"/>
      <c r="M161" s="38" t="s">
        <v>1461</v>
      </c>
      <c r="N161" s="38" t="s">
        <v>1462</v>
      </c>
      <c r="O161" s="8">
        <f>SUM(P161:AW161)</f>
        <v>0</v>
      </c>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42"/>
      <c r="AV161" s="42"/>
      <c r="AW161" s="42"/>
      <c r="AX161" s="55"/>
    </row>
    <row r="162" spans="1:50" s="43" customFormat="1">
      <c r="A162" s="4">
        <v>145</v>
      </c>
      <c r="B162" s="11" t="s">
        <v>88</v>
      </c>
      <c r="C162" s="38"/>
      <c r="D162" s="38" t="s">
        <v>1921</v>
      </c>
      <c r="E162" s="38" t="s">
        <v>1922</v>
      </c>
      <c r="F162" s="40" t="s">
        <v>1923</v>
      </c>
      <c r="G162" s="38"/>
      <c r="H162" s="38" t="s">
        <v>1921</v>
      </c>
      <c r="I162" s="38" t="s">
        <v>1917</v>
      </c>
      <c r="J162" s="55"/>
      <c r="K162" s="41"/>
      <c r="L162" s="56"/>
      <c r="M162" s="38" t="s">
        <v>1461</v>
      </c>
      <c r="N162" s="38" t="s">
        <v>1462</v>
      </c>
      <c r="O162" s="8">
        <f>SUM(P162:AW162)</f>
        <v>0</v>
      </c>
      <c r="P162" s="42"/>
      <c r="Q162" s="42"/>
      <c r="R162" s="17"/>
      <c r="S162" s="42"/>
      <c r="T162" s="42"/>
      <c r="U162" s="42"/>
      <c r="V162" s="17"/>
      <c r="W162" s="17"/>
      <c r="X162" s="17"/>
      <c r="Y162" s="17"/>
      <c r="Z162" s="17"/>
      <c r="AA162" s="17"/>
      <c r="AB162" s="17"/>
      <c r="AC162" s="17"/>
      <c r="AD162" s="17"/>
      <c r="AE162" s="17"/>
      <c r="AF162" s="42"/>
      <c r="AG162" s="42"/>
      <c r="AH162" s="42"/>
      <c r="AI162" s="42"/>
      <c r="AJ162" s="42"/>
      <c r="AK162" s="42"/>
      <c r="AL162" s="42"/>
      <c r="AM162" s="42"/>
      <c r="AN162" s="42"/>
      <c r="AO162" s="42"/>
      <c r="AP162" s="42"/>
      <c r="AQ162" s="42"/>
      <c r="AR162" s="42"/>
      <c r="AS162" s="42"/>
      <c r="AT162" s="42"/>
      <c r="AU162" s="42"/>
      <c r="AV162" s="42"/>
      <c r="AW162" s="42"/>
      <c r="AX162" s="55"/>
    </row>
    <row r="163" spans="1:50" s="43" customFormat="1" ht="51">
      <c r="A163" s="4">
        <v>146</v>
      </c>
      <c r="B163" s="11" t="s">
        <v>88</v>
      </c>
      <c r="C163" s="38"/>
      <c r="D163" s="38" t="s">
        <v>1924</v>
      </c>
      <c r="E163" s="38" t="s">
        <v>1925</v>
      </c>
      <c r="F163" s="106" t="s">
        <v>1926</v>
      </c>
      <c r="G163" s="38"/>
      <c r="H163" s="38" t="s">
        <v>1924</v>
      </c>
      <c r="I163" s="38" t="s">
        <v>1917</v>
      </c>
      <c r="J163" s="55"/>
      <c r="K163" s="41"/>
      <c r="L163" s="56"/>
      <c r="M163" s="38" t="s">
        <v>1461</v>
      </c>
      <c r="N163" s="38" t="s">
        <v>1462</v>
      </c>
      <c r="O163" s="8">
        <f>SUM(P163:AW163)</f>
        <v>0</v>
      </c>
      <c r="P163" s="42"/>
      <c r="Q163" s="42"/>
      <c r="R163" s="17"/>
      <c r="S163" s="42"/>
      <c r="T163" s="42"/>
      <c r="U163" s="42"/>
      <c r="V163" s="17"/>
      <c r="W163" s="17"/>
      <c r="X163" s="17"/>
      <c r="Y163" s="17"/>
      <c r="Z163" s="17"/>
      <c r="AA163" s="17"/>
      <c r="AB163" s="17"/>
      <c r="AC163" s="17"/>
      <c r="AD163" s="17"/>
      <c r="AE163" s="17"/>
      <c r="AF163" s="42"/>
      <c r="AG163" s="42"/>
      <c r="AH163" s="42"/>
      <c r="AI163" s="42"/>
      <c r="AJ163" s="42"/>
      <c r="AK163" s="42"/>
      <c r="AL163" s="42"/>
      <c r="AM163" s="42"/>
      <c r="AN163" s="42"/>
      <c r="AO163" s="42"/>
      <c r="AP163" s="42"/>
      <c r="AQ163" s="42"/>
      <c r="AR163" s="42"/>
      <c r="AS163" s="42"/>
      <c r="AT163" s="42"/>
      <c r="AU163" s="42"/>
      <c r="AV163" s="42"/>
      <c r="AW163" s="42"/>
      <c r="AX163" s="55"/>
    </row>
    <row r="164" spans="1:50" s="43" customFormat="1">
      <c r="A164" s="4">
        <v>147</v>
      </c>
      <c r="B164" s="11" t="s">
        <v>88</v>
      </c>
      <c r="C164" s="38"/>
      <c r="D164" s="38" t="s">
        <v>1927</v>
      </c>
      <c r="E164" s="38" t="s">
        <v>1928</v>
      </c>
      <c r="F164" s="40" t="s">
        <v>1929</v>
      </c>
      <c r="G164" s="38"/>
      <c r="H164" s="38" t="s">
        <v>1927</v>
      </c>
      <c r="I164" s="38" t="s">
        <v>1917</v>
      </c>
      <c r="J164" s="55"/>
      <c r="K164" s="41"/>
      <c r="L164" s="56"/>
      <c r="M164" s="38" t="s">
        <v>1461</v>
      </c>
      <c r="N164" s="38" t="s">
        <v>1462</v>
      </c>
      <c r="O164" s="8">
        <f>SUM(P164:AW164)</f>
        <v>0</v>
      </c>
      <c r="P164" s="42"/>
      <c r="Q164" s="42"/>
      <c r="R164" s="42"/>
      <c r="S164" s="42"/>
      <c r="T164" s="42"/>
      <c r="U164" s="42"/>
      <c r="V164" s="42"/>
      <c r="W164" s="42"/>
      <c r="X164" s="42"/>
      <c r="Y164" s="42"/>
      <c r="Z164" s="42"/>
      <c r="AA164" s="42"/>
      <c r="AB164" s="42"/>
      <c r="AC164" s="42"/>
      <c r="AD164" s="42"/>
      <c r="AE164" s="42"/>
      <c r="AF164" s="42"/>
      <c r="AG164" s="42"/>
      <c r="AH164" s="42"/>
      <c r="AI164" s="42"/>
      <c r="AJ164" s="42"/>
      <c r="AK164" s="42"/>
      <c r="AL164" s="42"/>
      <c r="AM164" s="42"/>
      <c r="AN164" s="42"/>
      <c r="AO164" s="42"/>
      <c r="AP164" s="42"/>
      <c r="AQ164" s="42"/>
      <c r="AR164" s="42"/>
      <c r="AS164" s="42"/>
      <c r="AT164" s="42"/>
      <c r="AU164" s="42"/>
      <c r="AV164" s="42"/>
      <c r="AW164" s="42"/>
      <c r="AX164" s="55"/>
    </row>
    <row r="165" spans="1:50" s="43" customFormat="1">
      <c r="A165" s="4">
        <v>148</v>
      </c>
      <c r="B165" s="11" t="s">
        <v>88</v>
      </c>
      <c r="C165" s="38"/>
      <c r="D165" s="38" t="s">
        <v>1930</v>
      </c>
      <c r="E165" s="38" t="s">
        <v>1928</v>
      </c>
      <c r="F165" s="40" t="s">
        <v>1931</v>
      </c>
      <c r="G165" s="38"/>
      <c r="H165" s="38" t="s">
        <v>1930</v>
      </c>
      <c r="I165" s="38" t="s">
        <v>1917</v>
      </c>
      <c r="J165" s="55"/>
      <c r="K165" s="41"/>
      <c r="L165" s="56"/>
      <c r="M165" s="38" t="s">
        <v>1461</v>
      </c>
      <c r="N165" s="38" t="s">
        <v>1462</v>
      </c>
      <c r="O165" s="8">
        <f>SUM(P165:AW165)</f>
        <v>0</v>
      </c>
      <c r="P165" s="42"/>
      <c r="Q165" s="42"/>
      <c r="R165" s="42"/>
      <c r="S165" s="42"/>
      <c r="T165" s="42"/>
      <c r="U165" s="42"/>
      <c r="V165" s="42"/>
      <c r="W165" s="42"/>
      <c r="X165" s="42"/>
      <c r="Y165" s="42"/>
      <c r="Z165" s="42"/>
      <c r="AA165" s="42"/>
      <c r="AB165" s="42"/>
      <c r="AC165" s="42"/>
      <c r="AD165" s="42"/>
      <c r="AE165" s="42"/>
      <c r="AF165" s="42"/>
      <c r="AG165" s="42"/>
      <c r="AH165" s="42"/>
      <c r="AI165" s="42"/>
      <c r="AJ165" s="42"/>
      <c r="AK165" s="42"/>
      <c r="AL165" s="42"/>
      <c r="AM165" s="42"/>
      <c r="AN165" s="42"/>
      <c r="AO165" s="42"/>
      <c r="AP165" s="42"/>
      <c r="AQ165" s="42"/>
      <c r="AR165" s="42"/>
      <c r="AS165" s="42"/>
      <c r="AT165" s="42"/>
      <c r="AU165" s="42"/>
      <c r="AV165" s="42"/>
      <c r="AW165" s="42"/>
      <c r="AX165" s="55"/>
    </row>
    <row r="166" spans="1:50" ht="66" customHeight="1">
      <c r="A166" s="4">
        <v>149</v>
      </c>
      <c r="B166" s="11" t="s">
        <v>88</v>
      </c>
      <c r="C166" s="38"/>
      <c r="D166" s="38" t="s">
        <v>1932</v>
      </c>
      <c r="E166" s="38" t="s">
        <v>1933</v>
      </c>
      <c r="F166" s="106" t="s">
        <v>1934</v>
      </c>
      <c r="G166" s="38"/>
      <c r="H166" s="38" t="s">
        <v>1932</v>
      </c>
      <c r="I166" s="38" t="s">
        <v>1917</v>
      </c>
      <c r="J166" s="55"/>
      <c r="K166" s="41"/>
      <c r="L166" s="56"/>
      <c r="M166" s="38" t="s">
        <v>1461</v>
      </c>
      <c r="N166" s="38" t="s">
        <v>1462</v>
      </c>
      <c r="O166" s="8">
        <f>SUM(P166:AW166)</f>
        <v>0</v>
      </c>
      <c r="P166" s="42"/>
      <c r="Q166" s="42"/>
      <c r="R166" s="42"/>
      <c r="S166" s="42"/>
      <c r="T166" s="42"/>
      <c r="U166" s="42"/>
      <c r="V166" s="42"/>
      <c r="W166" s="42"/>
      <c r="X166" s="42"/>
      <c r="Y166" s="42"/>
      <c r="Z166" s="42"/>
      <c r="AA166" s="42"/>
      <c r="AB166" s="42"/>
      <c r="AC166" s="42"/>
      <c r="AD166" s="42"/>
      <c r="AE166" s="42"/>
      <c r="AF166" s="42"/>
      <c r="AG166" s="42"/>
      <c r="AH166" s="42"/>
      <c r="AI166" s="42"/>
      <c r="AJ166" s="42"/>
      <c r="AK166" s="42"/>
      <c r="AL166" s="42"/>
      <c r="AM166" s="42"/>
      <c r="AN166" s="42"/>
      <c r="AO166" s="42"/>
      <c r="AP166" s="42"/>
      <c r="AQ166" s="42"/>
      <c r="AR166" s="42"/>
      <c r="AS166" s="42"/>
      <c r="AT166" s="42"/>
      <c r="AU166" s="42"/>
      <c r="AV166" s="42"/>
      <c r="AW166" s="42"/>
      <c r="AX166" s="55"/>
    </row>
    <row r="167" spans="1:50">
      <c r="A167" s="4">
        <v>150</v>
      </c>
      <c r="B167" s="11" t="s">
        <v>88</v>
      </c>
      <c r="C167" s="38"/>
      <c r="D167" s="38" t="s">
        <v>1935</v>
      </c>
      <c r="E167" s="38" t="s">
        <v>1936</v>
      </c>
      <c r="F167" s="40" t="s">
        <v>1937</v>
      </c>
      <c r="G167" s="38"/>
      <c r="H167" s="38" t="s">
        <v>1935</v>
      </c>
      <c r="I167" s="38" t="s">
        <v>1938</v>
      </c>
      <c r="J167" s="55"/>
      <c r="K167" s="41"/>
      <c r="L167" s="56"/>
      <c r="M167" s="38" t="s">
        <v>1461</v>
      </c>
      <c r="N167" s="38" t="s">
        <v>1462</v>
      </c>
      <c r="O167" s="8">
        <f>SUM(P167:AW167)</f>
        <v>0</v>
      </c>
      <c r="P167" s="42"/>
      <c r="Q167" s="42"/>
      <c r="R167" s="42"/>
      <c r="S167" s="42"/>
      <c r="T167" s="42"/>
      <c r="U167" s="42"/>
      <c r="V167" s="42"/>
      <c r="W167" s="42"/>
      <c r="X167" s="42"/>
      <c r="Y167" s="42"/>
      <c r="Z167" s="42"/>
      <c r="AA167" s="42"/>
      <c r="AB167" s="42"/>
      <c r="AC167" s="42"/>
      <c r="AD167" s="42"/>
      <c r="AE167" s="42"/>
      <c r="AF167" s="42"/>
      <c r="AG167" s="42"/>
      <c r="AH167" s="42"/>
      <c r="AI167" s="42"/>
      <c r="AJ167" s="42"/>
      <c r="AK167" s="42"/>
      <c r="AL167" s="42"/>
      <c r="AM167" s="42"/>
      <c r="AN167" s="42"/>
      <c r="AO167" s="42"/>
      <c r="AP167" s="42"/>
      <c r="AQ167" s="42"/>
      <c r="AR167" s="42"/>
      <c r="AS167" s="42"/>
      <c r="AT167" s="42"/>
      <c r="AU167" s="42"/>
      <c r="AV167" s="42"/>
      <c r="AW167" s="42"/>
      <c r="AX167" s="55"/>
    </row>
    <row r="168" spans="1:50">
      <c r="A168" s="4">
        <v>151</v>
      </c>
      <c r="B168" s="11" t="s">
        <v>88</v>
      </c>
      <c r="C168" s="38"/>
      <c r="D168" s="38" t="s">
        <v>1939</v>
      </c>
      <c r="E168" s="38" t="s">
        <v>1940</v>
      </c>
      <c r="F168" s="40"/>
      <c r="G168" s="38"/>
      <c r="H168" s="38" t="s">
        <v>1939</v>
      </c>
      <c r="I168" s="38" t="s">
        <v>1917</v>
      </c>
      <c r="J168" s="55"/>
      <c r="K168" s="41"/>
      <c r="L168" s="56"/>
      <c r="M168" s="38" t="s">
        <v>1461</v>
      </c>
      <c r="N168" s="38" t="s">
        <v>1462</v>
      </c>
      <c r="O168" s="8">
        <f>SUM(P168:AW168)</f>
        <v>0</v>
      </c>
      <c r="P168" s="42"/>
      <c r="Q168" s="42"/>
      <c r="R168" s="42"/>
      <c r="S168" s="42"/>
      <c r="T168" s="42"/>
      <c r="U168" s="42"/>
      <c r="V168" s="42"/>
      <c r="W168" s="42"/>
      <c r="X168" s="42"/>
      <c r="Y168" s="42"/>
      <c r="Z168" s="42"/>
      <c r="AA168" s="42"/>
      <c r="AB168" s="42"/>
      <c r="AC168" s="42"/>
      <c r="AD168" s="42"/>
      <c r="AE168" s="42"/>
      <c r="AF168" s="42"/>
      <c r="AG168" s="42"/>
      <c r="AH168" s="42"/>
      <c r="AI168" s="42"/>
      <c r="AJ168" s="42"/>
      <c r="AK168" s="42"/>
      <c r="AL168" s="42"/>
      <c r="AM168" s="42"/>
      <c r="AN168" s="42"/>
      <c r="AO168" s="42"/>
      <c r="AP168" s="42"/>
      <c r="AQ168" s="42"/>
      <c r="AR168" s="42"/>
      <c r="AS168" s="42"/>
      <c r="AT168" s="42"/>
      <c r="AU168" s="42"/>
      <c r="AV168" s="42"/>
      <c r="AW168" s="42"/>
      <c r="AX168" s="55"/>
    </row>
    <row r="169" spans="1:50">
      <c r="A169" s="4">
        <v>152</v>
      </c>
      <c r="B169" s="11" t="s">
        <v>88</v>
      </c>
      <c r="C169" s="6"/>
      <c r="D169" s="36" t="s">
        <v>1941</v>
      </c>
      <c r="E169" s="36" t="s">
        <v>1942</v>
      </c>
      <c r="F169" s="7"/>
      <c r="G169" s="9"/>
      <c r="H169" s="9"/>
      <c r="I169" s="9"/>
      <c r="J169" s="9"/>
      <c r="K169" s="20">
        <v>0</v>
      </c>
      <c r="L169" s="4"/>
      <c r="M169" s="9" t="s">
        <v>1461</v>
      </c>
      <c r="N169" s="9"/>
      <c r="O169" s="8">
        <f>SUM(P169:AW169)</f>
        <v>0</v>
      </c>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9"/>
    </row>
    <row r="170" spans="1:50" ht="26.45" customHeight="1">
      <c r="A170" s="4">
        <v>153</v>
      </c>
      <c r="B170" s="11" t="s">
        <v>88</v>
      </c>
      <c r="C170" s="12"/>
      <c r="D170" s="12" t="s">
        <v>1943</v>
      </c>
      <c r="E170" s="12" t="s">
        <v>1944</v>
      </c>
      <c r="F170" s="18" t="s">
        <v>1945</v>
      </c>
      <c r="G170" s="34" t="s">
        <v>541</v>
      </c>
      <c r="H170" s="12" t="s">
        <v>1943</v>
      </c>
      <c r="I170" s="12" t="s">
        <v>1946</v>
      </c>
      <c r="J170" s="14"/>
      <c r="K170" s="27">
        <v>0</v>
      </c>
      <c r="L170" s="10"/>
      <c r="M170" s="12" t="s">
        <v>1461</v>
      </c>
      <c r="N170" s="12" t="s">
        <v>1462</v>
      </c>
      <c r="O170" s="8">
        <f>SUM(P170:AW170)</f>
        <v>0</v>
      </c>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4"/>
    </row>
    <row r="171" spans="1:50">
      <c r="A171" s="4">
        <v>154</v>
      </c>
      <c r="B171" s="11" t="s">
        <v>88</v>
      </c>
      <c r="C171" s="12"/>
      <c r="D171" s="12" t="s">
        <v>1947</v>
      </c>
      <c r="E171" s="12" t="s">
        <v>1948</v>
      </c>
      <c r="F171" s="18" t="s">
        <v>1949</v>
      </c>
      <c r="G171" s="34" t="s">
        <v>541</v>
      </c>
      <c r="H171" s="12" t="s">
        <v>1947</v>
      </c>
      <c r="I171" s="12" t="s">
        <v>1950</v>
      </c>
      <c r="J171" s="14"/>
      <c r="K171" s="27">
        <v>0</v>
      </c>
      <c r="L171" s="10"/>
      <c r="M171" s="12" t="s">
        <v>1461</v>
      </c>
      <c r="N171" s="12" t="s">
        <v>1462</v>
      </c>
      <c r="O171" s="8">
        <f>SUM(P171:AW171)</f>
        <v>0</v>
      </c>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2"/>
    </row>
    <row r="172" spans="1:50">
      <c r="A172" s="4">
        <v>155</v>
      </c>
      <c r="B172" s="11" t="s">
        <v>88</v>
      </c>
      <c r="C172" s="12"/>
      <c r="D172" s="12" t="s">
        <v>1951</v>
      </c>
      <c r="E172" s="12" t="s">
        <v>1948</v>
      </c>
      <c r="F172" s="18" t="s">
        <v>1952</v>
      </c>
      <c r="G172" s="34" t="s">
        <v>541</v>
      </c>
      <c r="H172" s="12" t="s">
        <v>1951</v>
      </c>
      <c r="I172" s="12" t="s">
        <v>1507</v>
      </c>
      <c r="J172" s="14"/>
      <c r="K172" s="27">
        <v>0</v>
      </c>
      <c r="L172" s="10"/>
      <c r="M172" s="12" t="s">
        <v>1461</v>
      </c>
      <c r="N172" s="12" t="s">
        <v>1462</v>
      </c>
      <c r="O172" s="8">
        <f>SUM(P172:AW172)</f>
        <v>0</v>
      </c>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2"/>
    </row>
    <row r="173" spans="1:50">
      <c r="A173" s="4">
        <v>156</v>
      </c>
      <c r="B173" s="11" t="s">
        <v>88</v>
      </c>
      <c r="C173" s="12"/>
      <c r="D173" s="12" t="s">
        <v>1953</v>
      </c>
      <c r="E173" s="12" t="s">
        <v>1954</v>
      </c>
      <c r="F173" s="18" t="s">
        <v>1955</v>
      </c>
      <c r="G173" s="34" t="s">
        <v>541</v>
      </c>
      <c r="H173" s="12" t="s">
        <v>1953</v>
      </c>
      <c r="I173" s="12" t="s">
        <v>1570</v>
      </c>
      <c r="J173" s="14"/>
      <c r="K173" s="27">
        <v>0</v>
      </c>
      <c r="L173" s="10"/>
      <c r="M173" s="12" t="s">
        <v>1461</v>
      </c>
      <c r="N173" s="12" t="s">
        <v>1462</v>
      </c>
      <c r="O173" s="8">
        <f>SUM(P173:AW173)</f>
        <v>0</v>
      </c>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2"/>
    </row>
    <row r="174" spans="1:50">
      <c r="A174" s="4">
        <v>157</v>
      </c>
      <c r="B174" s="11" t="s">
        <v>88</v>
      </c>
      <c r="C174" s="12"/>
      <c r="D174" s="12" t="s">
        <v>1956</v>
      </c>
      <c r="E174" s="12" t="s">
        <v>1954</v>
      </c>
      <c r="F174" s="18" t="s">
        <v>1957</v>
      </c>
      <c r="G174" s="34" t="s">
        <v>541</v>
      </c>
      <c r="H174" s="12" t="s">
        <v>1956</v>
      </c>
      <c r="I174" s="12" t="s">
        <v>1566</v>
      </c>
      <c r="J174" s="14"/>
      <c r="K174" s="27">
        <v>0</v>
      </c>
      <c r="L174" s="10"/>
      <c r="M174" s="12" t="s">
        <v>1461</v>
      </c>
      <c r="N174" s="12" t="s">
        <v>1462</v>
      </c>
      <c r="O174" s="8">
        <f>SUM(P174:AW174)</f>
        <v>0</v>
      </c>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2"/>
    </row>
    <row r="175" spans="1:50">
      <c r="A175" s="4">
        <v>158</v>
      </c>
      <c r="B175" s="11" t="s">
        <v>88</v>
      </c>
      <c r="C175" s="12"/>
      <c r="D175" s="12" t="s">
        <v>1958</v>
      </c>
      <c r="E175" s="12" t="s">
        <v>1959</v>
      </c>
      <c r="F175" s="18" t="s">
        <v>1960</v>
      </c>
      <c r="G175" s="34" t="s">
        <v>541</v>
      </c>
      <c r="H175" s="12" t="s">
        <v>1958</v>
      </c>
      <c r="I175" s="12" t="s">
        <v>1961</v>
      </c>
      <c r="J175" s="14"/>
      <c r="K175" s="27">
        <v>0</v>
      </c>
      <c r="L175" s="10"/>
      <c r="M175" s="12" t="s">
        <v>1461</v>
      </c>
      <c r="N175" s="12" t="s">
        <v>1462</v>
      </c>
      <c r="O175" s="8">
        <f>SUM(P175:AW175)</f>
        <v>0</v>
      </c>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4"/>
    </row>
    <row r="176" spans="1:50">
      <c r="A176" s="4">
        <v>159</v>
      </c>
      <c r="B176" s="11" t="s">
        <v>88</v>
      </c>
      <c r="C176" s="12"/>
      <c r="D176" s="12" t="s">
        <v>1962</v>
      </c>
      <c r="E176" s="12" t="s">
        <v>1959</v>
      </c>
      <c r="F176" s="18" t="s">
        <v>1963</v>
      </c>
      <c r="G176" s="34" t="s">
        <v>541</v>
      </c>
      <c r="H176" s="12" t="s">
        <v>1962</v>
      </c>
      <c r="I176" s="12" t="s">
        <v>1591</v>
      </c>
      <c r="J176" s="14"/>
      <c r="K176" s="27">
        <v>0</v>
      </c>
      <c r="L176" s="10"/>
      <c r="M176" s="12" t="s">
        <v>1461</v>
      </c>
      <c r="N176" s="12" t="s">
        <v>1462</v>
      </c>
      <c r="O176" s="8">
        <f>SUM(P176:AW176)</f>
        <v>0</v>
      </c>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4"/>
    </row>
    <row r="177" spans="1:50">
      <c r="A177" s="4">
        <v>160</v>
      </c>
      <c r="B177" s="11" t="s">
        <v>88</v>
      </c>
      <c r="C177" s="12"/>
      <c r="D177" s="12" t="s">
        <v>1964</v>
      </c>
      <c r="E177" s="12" t="s">
        <v>1965</v>
      </c>
      <c r="F177" s="18" t="s">
        <v>1966</v>
      </c>
      <c r="G177" s="34" t="s">
        <v>541</v>
      </c>
      <c r="H177" s="12" t="s">
        <v>1964</v>
      </c>
      <c r="I177" s="12" t="s">
        <v>1967</v>
      </c>
      <c r="J177" s="14"/>
      <c r="K177" s="27">
        <v>0</v>
      </c>
      <c r="L177" s="10"/>
      <c r="M177" s="12" t="s">
        <v>1461</v>
      </c>
      <c r="N177" s="12" t="s">
        <v>1462</v>
      </c>
      <c r="O177" s="8">
        <f>SUM(P177:AW177)</f>
        <v>0</v>
      </c>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4"/>
    </row>
    <row r="178" spans="1:50">
      <c r="A178" s="4">
        <v>161</v>
      </c>
      <c r="B178" s="11" t="s">
        <v>88</v>
      </c>
      <c r="C178" s="12"/>
      <c r="D178" s="12" t="s">
        <v>1968</v>
      </c>
      <c r="E178" s="12" t="s">
        <v>1969</v>
      </c>
      <c r="F178" s="18" t="s">
        <v>1970</v>
      </c>
      <c r="G178" s="34" t="s">
        <v>541</v>
      </c>
      <c r="H178" s="12" t="s">
        <v>1968</v>
      </c>
      <c r="I178" s="12" t="s">
        <v>1971</v>
      </c>
      <c r="J178" s="14"/>
      <c r="K178" s="27">
        <v>0</v>
      </c>
      <c r="L178" s="10"/>
      <c r="M178" s="12" t="s">
        <v>1461</v>
      </c>
      <c r="N178" s="12" t="s">
        <v>1462</v>
      </c>
      <c r="O178" s="8">
        <f>SUM(P178:AW178)</f>
        <v>0</v>
      </c>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4"/>
    </row>
    <row r="179" spans="1:50">
      <c r="A179" s="4">
        <v>162</v>
      </c>
      <c r="B179" s="11" t="s">
        <v>88</v>
      </c>
      <c r="C179" s="12"/>
      <c r="D179" s="12" t="s">
        <v>1972</v>
      </c>
      <c r="E179" s="12" t="s">
        <v>1969</v>
      </c>
      <c r="F179" s="18" t="s">
        <v>1973</v>
      </c>
      <c r="G179" s="34" t="s">
        <v>541</v>
      </c>
      <c r="H179" s="12" t="s">
        <v>1972</v>
      </c>
      <c r="I179" s="12" t="s">
        <v>1639</v>
      </c>
      <c r="J179" s="14"/>
      <c r="K179" s="27">
        <v>0</v>
      </c>
      <c r="L179" s="10"/>
      <c r="M179" s="12" t="s">
        <v>1461</v>
      </c>
      <c r="N179" s="12" t="s">
        <v>1462</v>
      </c>
      <c r="O179" s="8">
        <f>SUM(P179:AW179)</f>
        <v>0</v>
      </c>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4"/>
    </row>
    <row r="180" spans="1:50">
      <c r="A180" s="4">
        <v>163</v>
      </c>
      <c r="B180" s="11" t="s">
        <v>88</v>
      </c>
      <c r="C180" s="12"/>
      <c r="D180" s="12" t="s">
        <v>1974</v>
      </c>
      <c r="E180" s="12" t="s">
        <v>1975</v>
      </c>
      <c r="F180" s="18" t="s">
        <v>1976</v>
      </c>
      <c r="G180" s="34" t="s">
        <v>541</v>
      </c>
      <c r="H180" s="12" t="s">
        <v>1974</v>
      </c>
      <c r="I180" s="12" t="s">
        <v>1639</v>
      </c>
      <c r="J180" s="14"/>
      <c r="K180" s="27">
        <v>0</v>
      </c>
      <c r="L180" s="10"/>
      <c r="M180" s="12" t="s">
        <v>1461</v>
      </c>
      <c r="N180" s="12" t="s">
        <v>109</v>
      </c>
      <c r="O180" s="8">
        <f>SUM(P180:AW180)</f>
        <v>0</v>
      </c>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4"/>
    </row>
    <row r="181" spans="1:50">
      <c r="A181" s="4">
        <v>164</v>
      </c>
      <c r="B181" s="11" t="s">
        <v>88</v>
      </c>
      <c r="C181" s="12"/>
      <c r="D181" s="12" t="s">
        <v>1977</v>
      </c>
      <c r="E181" s="12" t="s">
        <v>1975</v>
      </c>
      <c r="F181" s="18" t="s">
        <v>1978</v>
      </c>
      <c r="G181" s="34" t="s">
        <v>541</v>
      </c>
      <c r="H181" s="12" t="s">
        <v>1977</v>
      </c>
      <c r="I181" s="12" t="s">
        <v>1639</v>
      </c>
      <c r="J181" s="14"/>
      <c r="K181" s="27">
        <v>0</v>
      </c>
      <c r="L181" s="10"/>
      <c r="M181" s="12" t="s">
        <v>1461</v>
      </c>
      <c r="N181" s="12" t="s">
        <v>109</v>
      </c>
      <c r="O181" s="8">
        <f>SUM(P181:AW181)</f>
        <v>0</v>
      </c>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4"/>
    </row>
    <row r="182" spans="1:50" ht="26.45" customHeight="1">
      <c r="A182" s="4">
        <v>165</v>
      </c>
      <c r="B182" s="11" t="s">
        <v>88</v>
      </c>
      <c r="C182" s="12"/>
      <c r="D182" s="12" t="s">
        <v>1979</v>
      </c>
      <c r="E182" s="12" t="s">
        <v>1980</v>
      </c>
      <c r="F182" s="18" t="s">
        <v>1981</v>
      </c>
      <c r="G182" s="34" t="s">
        <v>541</v>
      </c>
      <c r="H182" s="12" t="s">
        <v>1979</v>
      </c>
      <c r="I182" s="12" t="s">
        <v>1758</v>
      </c>
      <c r="J182" s="14"/>
      <c r="K182" s="27">
        <v>0</v>
      </c>
      <c r="L182" s="10"/>
      <c r="M182" s="12" t="s">
        <v>1461</v>
      </c>
      <c r="N182" s="12" t="s">
        <v>109</v>
      </c>
      <c r="O182" s="8">
        <f>SUM(P182:AW182)</f>
        <v>0</v>
      </c>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4"/>
    </row>
    <row r="183" spans="1:50">
      <c r="A183" s="4">
        <v>166</v>
      </c>
      <c r="B183" s="11" t="s">
        <v>88</v>
      </c>
      <c r="C183" s="12"/>
      <c r="D183" s="12" t="s">
        <v>1982</v>
      </c>
      <c r="E183" s="12" t="s">
        <v>1980</v>
      </c>
      <c r="F183" s="18" t="s">
        <v>1983</v>
      </c>
      <c r="G183" s="34" t="s">
        <v>541</v>
      </c>
      <c r="H183" s="12" t="s">
        <v>1982</v>
      </c>
      <c r="I183" s="12" t="s">
        <v>1649</v>
      </c>
      <c r="J183" s="14"/>
      <c r="K183" s="27">
        <v>0</v>
      </c>
      <c r="L183" s="10"/>
      <c r="M183" s="12" t="s">
        <v>1461</v>
      </c>
      <c r="N183" s="12" t="s">
        <v>1462</v>
      </c>
      <c r="O183" s="8">
        <f>SUM(P183:AW183)</f>
        <v>0</v>
      </c>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4"/>
    </row>
    <row r="184" spans="1:50">
      <c r="A184" s="4">
        <v>167</v>
      </c>
      <c r="B184" s="11" t="s">
        <v>88</v>
      </c>
      <c r="C184" s="12"/>
      <c r="D184" s="12" t="s">
        <v>1984</v>
      </c>
      <c r="E184" s="12" t="s">
        <v>1985</v>
      </c>
      <c r="F184" s="18" t="s">
        <v>1986</v>
      </c>
      <c r="G184" s="34" t="s">
        <v>541</v>
      </c>
      <c r="H184" s="12" t="s">
        <v>1984</v>
      </c>
      <c r="I184" s="12" t="s">
        <v>1987</v>
      </c>
      <c r="J184" s="14"/>
      <c r="K184" s="27">
        <v>0</v>
      </c>
      <c r="L184" s="10"/>
      <c r="M184" s="12" t="s">
        <v>1461</v>
      </c>
      <c r="N184" s="12" t="s">
        <v>1462</v>
      </c>
      <c r="O184" s="8">
        <f>SUM(P184:AW184)</f>
        <v>0</v>
      </c>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4"/>
    </row>
    <row r="185" spans="1:50">
      <c r="A185" s="57">
        <v>168</v>
      </c>
      <c r="B185" s="58" t="s">
        <v>88</v>
      </c>
      <c r="C185" s="59"/>
      <c r="D185" s="59" t="s">
        <v>1988</v>
      </c>
      <c r="E185" s="59" t="s">
        <v>1989</v>
      </c>
      <c r="F185" s="60" t="s">
        <v>1990</v>
      </c>
      <c r="G185" s="61" t="s">
        <v>541</v>
      </c>
      <c r="H185" s="59" t="s">
        <v>1988</v>
      </c>
      <c r="I185" s="59" t="s">
        <v>1489</v>
      </c>
      <c r="J185" s="62"/>
      <c r="K185" s="63">
        <v>0</v>
      </c>
      <c r="L185" s="64"/>
      <c r="M185" s="59" t="s">
        <v>1461</v>
      </c>
      <c r="N185" s="59" t="s">
        <v>1462</v>
      </c>
      <c r="O185" s="65">
        <f>SUM(P185:AW185)</f>
        <v>0</v>
      </c>
      <c r="P185" s="66"/>
      <c r="Q185" s="66"/>
      <c r="R185" s="66"/>
      <c r="S185" s="66"/>
      <c r="T185" s="66"/>
      <c r="U185" s="66"/>
      <c r="V185" s="66"/>
      <c r="W185" s="66"/>
      <c r="X185" s="66"/>
      <c r="Y185" s="66"/>
      <c r="Z185" s="66"/>
      <c r="AA185" s="66"/>
      <c r="AB185" s="66"/>
      <c r="AC185" s="66"/>
      <c r="AD185" s="66"/>
      <c r="AE185" s="66"/>
      <c r="AF185" s="66"/>
      <c r="AG185" s="66"/>
      <c r="AH185" s="66"/>
      <c r="AI185" s="66"/>
      <c r="AJ185" s="66"/>
      <c r="AK185" s="66"/>
      <c r="AL185" s="66"/>
      <c r="AM185" s="66"/>
      <c r="AN185" s="66"/>
      <c r="AO185" s="66"/>
      <c r="AP185" s="66"/>
      <c r="AQ185" s="66"/>
      <c r="AR185" s="66"/>
      <c r="AS185" s="66"/>
      <c r="AT185" s="66"/>
      <c r="AU185" s="66"/>
      <c r="AV185" s="66"/>
      <c r="AW185" s="66"/>
      <c r="AX185" s="62"/>
    </row>
    <row r="186" spans="1:50">
      <c r="A186" s="4">
        <v>169</v>
      </c>
      <c r="B186" s="11" t="s">
        <v>88</v>
      </c>
      <c r="C186" s="6"/>
      <c r="D186" s="36" t="s">
        <v>1991</v>
      </c>
      <c r="E186" s="36" t="s">
        <v>1992</v>
      </c>
      <c r="F186" s="7"/>
      <c r="G186" s="9"/>
      <c r="H186" s="9" t="s">
        <v>1991</v>
      </c>
      <c r="I186" s="9"/>
      <c r="J186" s="9"/>
      <c r="K186" s="20">
        <v>0</v>
      </c>
      <c r="L186" s="4"/>
      <c r="M186" s="9"/>
      <c r="N186" s="9"/>
      <c r="O186" s="8">
        <f>SUM(P186:AW186)</f>
        <v>0</v>
      </c>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9"/>
    </row>
    <row r="187" spans="1:50">
      <c r="A187" s="57">
        <v>170</v>
      </c>
      <c r="B187" s="58" t="s">
        <v>88</v>
      </c>
      <c r="C187" s="59"/>
      <c r="D187" s="59" t="s">
        <v>1993</v>
      </c>
      <c r="E187" s="59" t="s">
        <v>1994</v>
      </c>
      <c r="F187" s="60"/>
      <c r="G187" s="61"/>
      <c r="H187" s="59" t="s">
        <v>1993</v>
      </c>
      <c r="I187" s="59" t="s">
        <v>1489</v>
      </c>
      <c r="J187" s="62"/>
      <c r="K187" s="63">
        <v>0</v>
      </c>
      <c r="L187" s="64"/>
      <c r="M187" s="59" t="s">
        <v>1461</v>
      </c>
      <c r="N187" s="59" t="s">
        <v>1995</v>
      </c>
      <c r="O187" s="65">
        <f>SUM(P187:AW187)</f>
        <v>0</v>
      </c>
      <c r="P187" s="66"/>
      <c r="Q187" s="66"/>
      <c r="R187" s="66"/>
      <c r="S187" s="66"/>
      <c r="T187" s="66"/>
      <c r="U187" s="66"/>
      <c r="V187" s="66"/>
      <c r="W187" s="66"/>
      <c r="X187" s="66"/>
      <c r="Y187" s="66"/>
      <c r="Z187" s="66"/>
      <c r="AA187" s="66"/>
      <c r="AB187" s="66"/>
      <c r="AC187" s="66"/>
      <c r="AD187" s="66"/>
      <c r="AE187" s="66"/>
      <c r="AF187" s="66"/>
      <c r="AG187" s="66"/>
      <c r="AH187" s="66"/>
      <c r="AI187" s="66"/>
      <c r="AJ187" s="66"/>
      <c r="AK187" s="66"/>
      <c r="AL187" s="66"/>
      <c r="AM187" s="66"/>
      <c r="AN187" s="66"/>
      <c r="AO187" s="66"/>
      <c r="AP187" s="66"/>
      <c r="AQ187" s="66"/>
      <c r="AR187" s="66"/>
      <c r="AS187" s="66"/>
      <c r="AT187" s="66"/>
      <c r="AU187" s="66"/>
      <c r="AV187" s="66"/>
      <c r="AW187" s="66"/>
      <c r="AX187" s="62"/>
    </row>
    <row r="188" spans="1:50">
      <c r="A188" s="57">
        <v>171</v>
      </c>
      <c r="B188" s="58" t="s">
        <v>88</v>
      </c>
      <c r="C188" s="59"/>
      <c r="D188" s="59" t="s">
        <v>1996</v>
      </c>
      <c r="E188" s="59" t="s">
        <v>1997</v>
      </c>
      <c r="F188" s="60"/>
      <c r="G188" s="61"/>
      <c r="H188" s="59" t="s">
        <v>1996</v>
      </c>
      <c r="I188" s="59" t="s">
        <v>1489</v>
      </c>
      <c r="J188" s="62"/>
      <c r="K188" s="63">
        <v>0</v>
      </c>
      <c r="L188" s="64"/>
      <c r="M188" s="59" t="s">
        <v>1461</v>
      </c>
      <c r="N188" s="59" t="s">
        <v>1995</v>
      </c>
      <c r="O188" s="65">
        <f>SUM(P188:AW188)</f>
        <v>0</v>
      </c>
      <c r="P188" s="66"/>
      <c r="Q188" s="66"/>
      <c r="R188" s="66"/>
      <c r="S188" s="66"/>
      <c r="T188" s="66"/>
      <c r="U188" s="66"/>
      <c r="V188" s="66"/>
      <c r="W188" s="66"/>
      <c r="X188" s="66"/>
      <c r="Y188" s="66"/>
      <c r="Z188" s="66"/>
      <c r="AA188" s="66"/>
      <c r="AB188" s="66"/>
      <c r="AC188" s="66"/>
      <c r="AD188" s="66"/>
      <c r="AE188" s="66"/>
      <c r="AF188" s="66"/>
      <c r="AG188" s="66"/>
      <c r="AH188" s="66"/>
      <c r="AI188" s="66"/>
      <c r="AJ188" s="66"/>
      <c r="AK188" s="66"/>
      <c r="AL188" s="66"/>
      <c r="AM188" s="66"/>
      <c r="AN188" s="66"/>
      <c r="AO188" s="66"/>
      <c r="AP188" s="66"/>
      <c r="AQ188" s="66"/>
      <c r="AR188" s="66"/>
      <c r="AS188" s="66"/>
      <c r="AT188" s="66"/>
      <c r="AU188" s="66"/>
      <c r="AV188" s="66"/>
      <c r="AW188" s="66"/>
      <c r="AX188" s="62"/>
    </row>
    <row r="189" spans="1:50">
      <c r="A189" s="57">
        <v>172</v>
      </c>
      <c r="B189" s="58" t="s">
        <v>88</v>
      </c>
      <c r="C189" s="59"/>
      <c r="D189" s="59" t="s">
        <v>1998</v>
      </c>
      <c r="E189" s="59" t="s">
        <v>1999</v>
      </c>
      <c r="F189" s="60"/>
      <c r="G189" s="61"/>
      <c r="H189" s="59" t="s">
        <v>1998</v>
      </c>
      <c r="I189" s="59" t="s">
        <v>1489</v>
      </c>
      <c r="J189" s="62"/>
      <c r="K189" s="63">
        <v>0</v>
      </c>
      <c r="L189" s="64"/>
      <c r="M189" s="59" t="s">
        <v>1461</v>
      </c>
      <c r="N189" s="59" t="s">
        <v>1995</v>
      </c>
      <c r="O189" s="65">
        <f>SUM(P189:AW189)</f>
        <v>0</v>
      </c>
      <c r="P189" s="66"/>
      <c r="Q189" s="66"/>
      <c r="R189" s="66"/>
      <c r="S189" s="66"/>
      <c r="T189" s="66"/>
      <c r="U189" s="66"/>
      <c r="V189" s="66"/>
      <c r="W189" s="66"/>
      <c r="X189" s="66"/>
      <c r="Y189" s="66"/>
      <c r="Z189" s="66"/>
      <c r="AA189" s="66"/>
      <c r="AB189" s="66"/>
      <c r="AC189" s="66"/>
      <c r="AD189" s="66"/>
      <c r="AE189" s="66"/>
      <c r="AF189" s="66"/>
      <c r="AG189" s="66"/>
      <c r="AH189" s="66"/>
      <c r="AI189" s="66"/>
      <c r="AJ189" s="66"/>
      <c r="AK189" s="66"/>
      <c r="AL189" s="66"/>
      <c r="AM189" s="66"/>
      <c r="AN189" s="66"/>
      <c r="AO189" s="66"/>
      <c r="AP189" s="66"/>
      <c r="AQ189" s="66"/>
      <c r="AR189" s="66"/>
      <c r="AS189" s="66"/>
      <c r="AT189" s="66"/>
      <c r="AU189" s="66"/>
      <c r="AV189" s="66"/>
      <c r="AW189" s="66"/>
      <c r="AX189" s="62"/>
    </row>
    <row r="190" spans="1:50">
      <c r="A190" s="57">
        <v>173</v>
      </c>
      <c r="B190" s="58" t="s">
        <v>88</v>
      </c>
      <c r="C190" s="59"/>
      <c r="D190" s="59" t="s">
        <v>2000</v>
      </c>
      <c r="E190" s="59" t="s">
        <v>2001</v>
      </c>
      <c r="F190" s="60"/>
      <c r="G190" s="61"/>
      <c r="H190" s="59" t="s">
        <v>2000</v>
      </c>
      <c r="I190" s="59" t="s">
        <v>1489</v>
      </c>
      <c r="J190" s="62"/>
      <c r="K190" s="63">
        <v>0</v>
      </c>
      <c r="L190" s="64"/>
      <c r="M190" s="59" t="s">
        <v>1461</v>
      </c>
      <c r="N190" s="59" t="s">
        <v>1995</v>
      </c>
      <c r="O190" s="65">
        <f>SUM(P190:AW190)</f>
        <v>0</v>
      </c>
      <c r="P190" s="66"/>
      <c r="Q190" s="66"/>
      <c r="R190" s="66"/>
      <c r="S190" s="66"/>
      <c r="T190" s="66"/>
      <c r="U190" s="66"/>
      <c r="V190" s="66"/>
      <c r="W190" s="66"/>
      <c r="X190" s="66"/>
      <c r="Y190" s="66"/>
      <c r="Z190" s="66"/>
      <c r="AA190" s="66"/>
      <c r="AB190" s="66"/>
      <c r="AC190" s="66"/>
      <c r="AD190" s="66"/>
      <c r="AE190" s="66"/>
      <c r="AF190" s="66"/>
      <c r="AG190" s="66"/>
      <c r="AH190" s="66"/>
      <c r="AI190" s="66"/>
      <c r="AJ190" s="66"/>
      <c r="AK190" s="66"/>
      <c r="AL190" s="66"/>
      <c r="AM190" s="66"/>
      <c r="AN190" s="66"/>
      <c r="AO190" s="66"/>
      <c r="AP190" s="66"/>
      <c r="AQ190" s="66"/>
      <c r="AR190" s="66"/>
      <c r="AS190" s="66"/>
      <c r="AT190" s="66"/>
      <c r="AU190" s="66"/>
      <c r="AV190" s="66"/>
      <c r="AW190" s="66"/>
      <c r="AX190" s="62"/>
    </row>
    <row r="191" spans="1:50">
      <c r="A191" s="57">
        <v>174</v>
      </c>
      <c r="B191" s="58" t="s">
        <v>88</v>
      </c>
      <c r="C191" s="59"/>
      <c r="D191" s="59" t="s">
        <v>2002</v>
      </c>
      <c r="E191" s="59" t="s">
        <v>2003</v>
      </c>
      <c r="F191" s="60"/>
      <c r="G191" s="61"/>
      <c r="H191" s="59" t="s">
        <v>2002</v>
      </c>
      <c r="I191" s="59" t="s">
        <v>1489</v>
      </c>
      <c r="J191" s="62"/>
      <c r="K191" s="63">
        <v>0</v>
      </c>
      <c r="L191" s="64"/>
      <c r="M191" s="59" t="s">
        <v>1461</v>
      </c>
      <c r="N191" s="59" t="s">
        <v>1995</v>
      </c>
      <c r="O191" s="65">
        <f>SUM(P191:AW191)</f>
        <v>0</v>
      </c>
      <c r="P191" s="66"/>
      <c r="Q191" s="66"/>
      <c r="R191" s="66"/>
      <c r="S191" s="66"/>
      <c r="T191" s="66"/>
      <c r="U191" s="66"/>
      <c r="V191" s="66"/>
      <c r="W191" s="66"/>
      <c r="X191" s="66"/>
      <c r="Y191" s="66"/>
      <c r="Z191" s="66"/>
      <c r="AA191" s="66"/>
      <c r="AB191" s="66"/>
      <c r="AC191" s="66"/>
      <c r="AD191" s="66"/>
      <c r="AE191" s="66"/>
      <c r="AF191" s="66"/>
      <c r="AG191" s="66"/>
      <c r="AH191" s="66"/>
      <c r="AI191" s="66"/>
      <c r="AJ191" s="66"/>
      <c r="AK191" s="66"/>
      <c r="AL191" s="66"/>
      <c r="AM191" s="66"/>
      <c r="AN191" s="66"/>
      <c r="AO191" s="66"/>
      <c r="AP191" s="66"/>
      <c r="AQ191" s="66"/>
      <c r="AR191" s="66"/>
      <c r="AS191" s="66"/>
      <c r="AT191" s="66"/>
      <c r="AU191" s="66"/>
      <c r="AV191" s="66"/>
      <c r="AW191" s="66"/>
      <c r="AX191" s="62"/>
    </row>
    <row r="192" spans="1:50">
      <c r="A192" s="57">
        <v>175</v>
      </c>
      <c r="B192" s="58" t="s">
        <v>88</v>
      </c>
      <c r="C192" s="59"/>
      <c r="D192" s="59" t="s">
        <v>2004</v>
      </c>
      <c r="E192" s="59" t="s">
        <v>2005</v>
      </c>
      <c r="F192" s="60"/>
      <c r="G192" s="61"/>
      <c r="H192" s="59" t="s">
        <v>2004</v>
      </c>
      <c r="I192" s="59" t="s">
        <v>1489</v>
      </c>
      <c r="J192" s="62"/>
      <c r="K192" s="63">
        <v>0</v>
      </c>
      <c r="L192" s="64"/>
      <c r="M192" s="59" t="s">
        <v>1461</v>
      </c>
      <c r="N192" s="59" t="s">
        <v>1995</v>
      </c>
      <c r="O192" s="65">
        <f>SUM(P192:AW192)</f>
        <v>0</v>
      </c>
      <c r="P192" s="66"/>
      <c r="Q192" s="66"/>
      <c r="R192" s="66"/>
      <c r="S192" s="66"/>
      <c r="T192" s="66"/>
      <c r="U192" s="66"/>
      <c r="V192" s="66"/>
      <c r="W192" s="66"/>
      <c r="X192" s="66"/>
      <c r="Y192" s="66"/>
      <c r="Z192" s="66"/>
      <c r="AA192" s="66"/>
      <c r="AB192" s="66"/>
      <c r="AC192" s="66"/>
      <c r="AD192" s="66"/>
      <c r="AE192" s="66"/>
      <c r="AF192" s="66"/>
      <c r="AG192" s="66"/>
      <c r="AH192" s="66"/>
      <c r="AI192" s="66"/>
      <c r="AJ192" s="66"/>
      <c r="AK192" s="66"/>
      <c r="AL192" s="66"/>
      <c r="AM192" s="66"/>
      <c r="AN192" s="66"/>
      <c r="AO192" s="66"/>
      <c r="AP192" s="66"/>
      <c r="AQ192" s="66"/>
      <c r="AR192" s="66"/>
      <c r="AS192" s="66"/>
      <c r="AT192" s="66"/>
      <c r="AU192" s="66"/>
      <c r="AV192" s="66"/>
      <c r="AW192" s="66"/>
      <c r="AX192" s="62"/>
    </row>
    <row r="193" spans="1:50">
      <c r="A193" s="57">
        <v>176</v>
      </c>
      <c r="B193" s="58" t="s">
        <v>88</v>
      </c>
      <c r="C193" s="59"/>
      <c r="D193" s="59" t="s">
        <v>2006</v>
      </c>
      <c r="E193" s="59" t="s">
        <v>2007</v>
      </c>
      <c r="F193" s="60"/>
      <c r="G193" s="61"/>
      <c r="H193" s="59" t="s">
        <v>2006</v>
      </c>
      <c r="I193" s="59" t="s">
        <v>1489</v>
      </c>
      <c r="J193" s="62"/>
      <c r="K193" s="63">
        <v>0</v>
      </c>
      <c r="L193" s="64"/>
      <c r="M193" s="59" t="s">
        <v>1461</v>
      </c>
      <c r="N193" s="59" t="s">
        <v>1995</v>
      </c>
      <c r="O193" s="65">
        <f>SUM(P193:AW193)</f>
        <v>0</v>
      </c>
      <c r="P193" s="66"/>
      <c r="Q193" s="66"/>
      <c r="R193" s="66"/>
      <c r="S193" s="66"/>
      <c r="T193" s="66"/>
      <c r="U193" s="66"/>
      <c r="V193" s="66"/>
      <c r="W193" s="66"/>
      <c r="X193" s="66"/>
      <c r="Y193" s="66"/>
      <c r="Z193" s="66"/>
      <c r="AA193" s="66"/>
      <c r="AB193" s="66"/>
      <c r="AC193" s="66"/>
      <c r="AD193" s="66"/>
      <c r="AE193" s="66"/>
      <c r="AF193" s="66"/>
      <c r="AG193" s="66"/>
      <c r="AH193" s="66"/>
      <c r="AI193" s="66"/>
      <c r="AJ193" s="66"/>
      <c r="AK193" s="66"/>
      <c r="AL193" s="66"/>
      <c r="AM193" s="66"/>
      <c r="AN193" s="66"/>
      <c r="AO193" s="66"/>
      <c r="AP193" s="66"/>
      <c r="AQ193" s="66"/>
      <c r="AR193" s="66"/>
      <c r="AS193" s="66"/>
      <c r="AT193" s="66"/>
      <c r="AU193" s="66"/>
      <c r="AV193" s="66"/>
      <c r="AW193" s="66"/>
      <c r="AX193" s="62"/>
    </row>
    <row r="194" spans="1:50">
      <c r="A194" s="57">
        <v>177</v>
      </c>
      <c r="B194" s="58" t="s">
        <v>88</v>
      </c>
      <c r="C194" s="59"/>
      <c r="D194" s="59" t="s">
        <v>2008</v>
      </c>
      <c r="E194" s="59" t="s">
        <v>2009</v>
      </c>
      <c r="F194" s="60"/>
      <c r="G194" s="61"/>
      <c r="H194" s="59" t="s">
        <v>2008</v>
      </c>
      <c r="I194" s="59" t="s">
        <v>1489</v>
      </c>
      <c r="J194" s="62"/>
      <c r="K194" s="63">
        <v>0</v>
      </c>
      <c r="L194" s="64"/>
      <c r="M194" s="59" t="s">
        <v>1461</v>
      </c>
      <c r="N194" s="59" t="s">
        <v>1995</v>
      </c>
      <c r="O194" s="65">
        <f>SUM(P194:AW194)</f>
        <v>0</v>
      </c>
      <c r="P194" s="66"/>
      <c r="Q194" s="66"/>
      <c r="R194" s="66"/>
      <c r="S194" s="66"/>
      <c r="T194" s="66"/>
      <c r="U194" s="66"/>
      <c r="V194" s="66"/>
      <c r="W194" s="66"/>
      <c r="X194" s="66"/>
      <c r="Y194" s="66"/>
      <c r="Z194" s="66"/>
      <c r="AA194" s="66"/>
      <c r="AB194" s="66"/>
      <c r="AC194" s="66"/>
      <c r="AD194" s="66"/>
      <c r="AE194" s="66"/>
      <c r="AF194" s="66"/>
      <c r="AG194" s="66"/>
      <c r="AH194" s="66"/>
      <c r="AI194" s="66"/>
      <c r="AJ194" s="66"/>
      <c r="AK194" s="66"/>
      <c r="AL194" s="66"/>
      <c r="AM194" s="66"/>
      <c r="AN194" s="66"/>
      <c r="AO194" s="66"/>
      <c r="AP194" s="66"/>
      <c r="AQ194" s="66"/>
      <c r="AR194" s="66"/>
      <c r="AS194" s="66"/>
      <c r="AT194" s="66"/>
      <c r="AU194" s="66"/>
      <c r="AV194" s="66"/>
      <c r="AW194" s="66"/>
      <c r="AX194" s="62"/>
    </row>
    <row r="195" spans="1:50">
      <c r="A195" s="57"/>
      <c r="B195" s="58"/>
      <c r="C195" s="59"/>
      <c r="D195" s="59" t="s">
        <v>2010</v>
      </c>
      <c r="E195" s="59" t="s">
        <v>2011</v>
      </c>
      <c r="F195" s="60"/>
      <c r="G195" s="61"/>
      <c r="H195" s="59" t="s">
        <v>2010</v>
      </c>
      <c r="I195" s="59" t="s">
        <v>1489</v>
      </c>
      <c r="J195" s="62"/>
      <c r="K195" s="63">
        <v>0</v>
      </c>
      <c r="L195" s="64"/>
      <c r="M195" s="59" t="s">
        <v>1461</v>
      </c>
      <c r="N195" s="59" t="s">
        <v>1995</v>
      </c>
      <c r="O195" s="65">
        <f>SUM(P195:AW195)</f>
        <v>0</v>
      </c>
      <c r="P195" s="66"/>
      <c r="Q195" s="66"/>
      <c r="R195" s="66"/>
      <c r="S195" s="66"/>
      <c r="T195" s="66"/>
      <c r="U195" s="66"/>
      <c r="V195" s="66"/>
      <c r="W195" s="66"/>
      <c r="X195" s="66"/>
      <c r="Y195" s="66"/>
      <c r="Z195" s="66"/>
      <c r="AA195" s="66"/>
      <c r="AB195" s="66"/>
      <c r="AC195" s="66"/>
      <c r="AD195" s="66"/>
      <c r="AE195" s="66"/>
      <c r="AF195" s="66"/>
      <c r="AG195" s="66"/>
      <c r="AH195" s="66"/>
      <c r="AI195" s="66"/>
      <c r="AJ195" s="66"/>
      <c r="AK195" s="66"/>
      <c r="AL195" s="66"/>
      <c r="AM195" s="66"/>
      <c r="AN195" s="66"/>
      <c r="AO195" s="66"/>
      <c r="AP195" s="66"/>
      <c r="AQ195" s="66"/>
      <c r="AR195" s="66"/>
      <c r="AS195" s="66"/>
      <c r="AT195" s="66"/>
      <c r="AU195" s="66"/>
      <c r="AV195" s="66"/>
      <c r="AW195" s="66"/>
      <c r="AX195" s="62"/>
    </row>
    <row r="196" spans="1:50">
      <c r="A196" s="67">
        <v>178</v>
      </c>
      <c r="B196" s="68" t="s">
        <v>88</v>
      </c>
      <c r="C196" s="69"/>
      <c r="D196" s="70" t="s">
        <v>2012</v>
      </c>
      <c r="E196" s="70" t="s">
        <v>2013</v>
      </c>
      <c r="F196" s="71"/>
      <c r="G196" s="72"/>
      <c r="H196" s="72"/>
      <c r="I196" s="72"/>
      <c r="J196" s="72"/>
      <c r="K196" s="73">
        <v>0</v>
      </c>
      <c r="L196" s="67"/>
      <c r="M196" s="72" t="s">
        <v>1461</v>
      </c>
      <c r="N196" s="72"/>
      <c r="O196" s="74">
        <f>SUM(P196:AW196)</f>
        <v>0</v>
      </c>
      <c r="P196" s="74"/>
      <c r="Q196" s="74"/>
      <c r="R196" s="74"/>
      <c r="S196" s="74"/>
      <c r="T196" s="74"/>
      <c r="U196" s="74"/>
      <c r="V196" s="74"/>
      <c r="W196" s="74"/>
      <c r="X196" s="74"/>
      <c r="Y196" s="74"/>
      <c r="Z196" s="74"/>
      <c r="AA196" s="74"/>
      <c r="AB196" s="74"/>
      <c r="AC196" s="74"/>
      <c r="AD196" s="74"/>
      <c r="AE196" s="74"/>
      <c r="AF196" s="74"/>
      <c r="AG196" s="74"/>
      <c r="AH196" s="74"/>
      <c r="AI196" s="74"/>
      <c r="AJ196" s="74"/>
      <c r="AK196" s="74"/>
      <c r="AL196" s="74"/>
      <c r="AM196" s="74"/>
      <c r="AN196" s="74"/>
      <c r="AO196" s="74"/>
      <c r="AP196" s="74"/>
      <c r="AQ196" s="74"/>
      <c r="AR196" s="74"/>
      <c r="AS196" s="74"/>
      <c r="AT196" s="74"/>
      <c r="AU196" s="74"/>
      <c r="AV196" s="74"/>
      <c r="AW196" s="74"/>
      <c r="AX196" s="72"/>
    </row>
    <row r="197" spans="1:50" ht="26.45" customHeight="1">
      <c r="A197" s="4">
        <v>179</v>
      </c>
      <c r="B197" s="11" t="s">
        <v>88</v>
      </c>
      <c r="C197" s="12"/>
      <c r="D197" s="12" t="s">
        <v>2014</v>
      </c>
      <c r="E197" s="12" t="s">
        <v>2015</v>
      </c>
      <c r="F197" s="18" t="s">
        <v>2016</v>
      </c>
      <c r="G197" s="34" t="s">
        <v>541</v>
      </c>
      <c r="H197" s="12" t="s">
        <v>2014</v>
      </c>
      <c r="I197" s="12" t="s">
        <v>2017</v>
      </c>
      <c r="J197" s="14"/>
      <c r="K197" s="27">
        <v>0</v>
      </c>
      <c r="L197" s="10"/>
      <c r="M197" s="12" t="s">
        <v>1461</v>
      </c>
      <c r="N197" s="12" t="s">
        <v>1462</v>
      </c>
      <c r="O197" s="8">
        <f>SUM(P197:AW197)</f>
        <v>0</v>
      </c>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2"/>
    </row>
    <row r="198" spans="1:50" ht="26.45" customHeight="1">
      <c r="A198" s="4">
        <v>180</v>
      </c>
      <c r="B198" s="11" t="s">
        <v>88</v>
      </c>
      <c r="C198" s="12"/>
      <c r="D198" s="12" t="s">
        <v>2018</v>
      </c>
      <c r="E198" s="12" t="s">
        <v>2019</v>
      </c>
      <c r="F198" s="18" t="s">
        <v>2020</v>
      </c>
      <c r="G198" s="34" t="s">
        <v>541</v>
      </c>
      <c r="H198" s="12" t="s">
        <v>2018</v>
      </c>
      <c r="I198" s="12" t="s">
        <v>2021</v>
      </c>
      <c r="J198" s="14"/>
      <c r="K198" s="27">
        <v>0</v>
      </c>
      <c r="L198" s="10"/>
      <c r="M198" s="12" t="s">
        <v>1461</v>
      </c>
      <c r="N198" s="12" t="s">
        <v>1462</v>
      </c>
      <c r="O198" s="8">
        <f>SUM(P198:AW198)</f>
        <v>0</v>
      </c>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2"/>
    </row>
    <row r="199" spans="1:50" ht="26.45" customHeight="1">
      <c r="A199" s="4">
        <v>181</v>
      </c>
      <c r="B199" s="11" t="s">
        <v>88</v>
      </c>
      <c r="C199" s="12"/>
      <c r="D199" s="12" t="s">
        <v>2022</v>
      </c>
      <c r="E199" s="12" t="s">
        <v>2023</v>
      </c>
      <c r="F199" s="18" t="s">
        <v>2024</v>
      </c>
      <c r="G199" s="34" t="s">
        <v>541</v>
      </c>
      <c r="H199" s="12" t="s">
        <v>2022</v>
      </c>
      <c r="I199" s="12" t="s">
        <v>2017</v>
      </c>
      <c r="J199" s="14"/>
      <c r="K199" s="27">
        <v>0</v>
      </c>
      <c r="L199" s="10"/>
      <c r="M199" s="12" t="s">
        <v>1461</v>
      </c>
      <c r="N199" s="12" t="s">
        <v>1462</v>
      </c>
      <c r="O199" s="8">
        <f>SUM(P199:AW199)</f>
        <v>0</v>
      </c>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2"/>
    </row>
    <row r="200" spans="1:50">
      <c r="A200" s="4">
        <v>182</v>
      </c>
      <c r="B200" s="11" t="s">
        <v>88</v>
      </c>
      <c r="C200" s="12"/>
      <c r="D200" s="12" t="s">
        <v>2025</v>
      </c>
      <c r="E200" s="12" t="s">
        <v>2026</v>
      </c>
      <c r="F200" s="18" t="s">
        <v>2027</v>
      </c>
      <c r="G200" s="34" t="s">
        <v>541</v>
      </c>
      <c r="H200" s="12" t="s">
        <v>2025</v>
      </c>
      <c r="I200" s="12" t="s">
        <v>2028</v>
      </c>
      <c r="J200" s="12" t="s">
        <v>2029</v>
      </c>
      <c r="K200" s="27">
        <v>0</v>
      </c>
      <c r="L200" s="30" t="s">
        <v>541</v>
      </c>
      <c r="M200" s="12" t="s">
        <v>1461</v>
      </c>
      <c r="N200" s="12" t="s">
        <v>1462</v>
      </c>
      <c r="O200" s="8">
        <f>SUM(P200:AW200)</f>
        <v>0</v>
      </c>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4"/>
    </row>
    <row r="201" spans="1:50">
      <c r="A201" s="4">
        <v>183</v>
      </c>
      <c r="B201" s="11" t="s">
        <v>88</v>
      </c>
      <c r="C201" s="12"/>
      <c r="D201" s="12" t="s">
        <v>2030</v>
      </c>
      <c r="E201" s="12" t="s">
        <v>2031</v>
      </c>
      <c r="F201" s="18" t="s">
        <v>2032</v>
      </c>
      <c r="G201" s="34" t="s">
        <v>541</v>
      </c>
      <c r="H201" s="12" t="s">
        <v>2030</v>
      </c>
      <c r="I201" s="12" t="s">
        <v>2028</v>
      </c>
      <c r="J201" s="12" t="s">
        <v>2033</v>
      </c>
      <c r="K201" s="27">
        <v>0</v>
      </c>
      <c r="L201" s="30" t="s">
        <v>541</v>
      </c>
      <c r="M201" s="12" t="s">
        <v>1461</v>
      </c>
      <c r="N201" s="12" t="s">
        <v>1462</v>
      </c>
      <c r="O201" s="8">
        <f>SUM(P201:AW201)</f>
        <v>0</v>
      </c>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4"/>
    </row>
    <row r="202" spans="1:50">
      <c r="A202" s="4">
        <v>184</v>
      </c>
      <c r="B202" s="11" t="s">
        <v>88</v>
      </c>
      <c r="C202" s="12"/>
      <c r="D202" s="12" t="s">
        <v>2034</v>
      </c>
      <c r="E202" s="12" t="s">
        <v>2035</v>
      </c>
      <c r="F202" s="18" t="s">
        <v>2036</v>
      </c>
      <c r="G202" s="34" t="s">
        <v>541</v>
      </c>
      <c r="H202" s="12" t="s">
        <v>2034</v>
      </c>
      <c r="I202" s="12" t="s">
        <v>2037</v>
      </c>
      <c r="J202" s="14"/>
      <c r="K202" s="27">
        <v>0</v>
      </c>
      <c r="L202" s="10"/>
      <c r="M202" s="12" t="s">
        <v>1461</v>
      </c>
      <c r="N202" s="12" t="s">
        <v>1462</v>
      </c>
      <c r="O202" s="8">
        <f>SUM(P202:AW202)</f>
        <v>0</v>
      </c>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2"/>
    </row>
    <row r="203" spans="1:50">
      <c r="A203" s="4">
        <v>185</v>
      </c>
      <c r="B203" s="11" t="s">
        <v>88</v>
      </c>
      <c r="C203" s="12"/>
      <c r="D203" s="12" t="s">
        <v>2038</v>
      </c>
      <c r="E203" s="12" t="s">
        <v>2035</v>
      </c>
      <c r="F203" s="18" t="s">
        <v>2039</v>
      </c>
      <c r="G203" s="34" t="s">
        <v>541</v>
      </c>
      <c r="H203" s="12" t="s">
        <v>2038</v>
      </c>
      <c r="I203" s="12" t="s">
        <v>2037</v>
      </c>
      <c r="J203" s="14"/>
      <c r="K203" s="27">
        <v>0</v>
      </c>
      <c r="L203" s="10"/>
      <c r="M203" s="12" t="s">
        <v>1461</v>
      </c>
      <c r="N203" s="12" t="s">
        <v>1462</v>
      </c>
      <c r="O203" s="8">
        <f>SUM(P203:AW203)</f>
        <v>0</v>
      </c>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2"/>
    </row>
    <row r="204" spans="1:50">
      <c r="A204" s="4">
        <v>186</v>
      </c>
      <c r="B204" s="11" t="s">
        <v>88</v>
      </c>
      <c r="C204" s="12"/>
      <c r="D204" s="12" t="s">
        <v>2040</v>
      </c>
      <c r="E204" s="12" t="s">
        <v>2035</v>
      </c>
      <c r="F204" s="18" t="s">
        <v>2041</v>
      </c>
      <c r="G204" s="34" t="s">
        <v>541</v>
      </c>
      <c r="H204" s="12" t="s">
        <v>2040</v>
      </c>
      <c r="I204" s="12" t="s">
        <v>2037</v>
      </c>
      <c r="J204" s="14"/>
      <c r="K204" s="27">
        <v>0</v>
      </c>
      <c r="L204" s="10"/>
      <c r="M204" s="12" t="s">
        <v>1461</v>
      </c>
      <c r="N204" s="12" t="s">
        <v>1462</v>
      </c>
      <c r="O204" s="8">
        <f>SUM(P204:AW204)</f>
        <v>0</v>
      </c>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2"/>
    </row>
    <row r="205" spans="1:50">
      <c r="A205" s="4">
        <v>187</v>
      </c>
      <c r="B205" s="11" t="s">
        <v>88</v>
      </c>
      <c r="C205" s="12"/>
      <c r="D205" s="12" t="s">
        <v>2042</v>
      </c>
      <c r="E205" s="12" t="s">
        <v>2043</v>
      </c>
      <c r="F205" s="18" t="s">
        <v>2044</v>
      </c>
      <c r="G205" s="34" t="s">
        <v>541</v>
      </c>
      <c r="H205" s="12" t="s">
        <v>2042</v>
      </c>
      <c r="I205" s="12" t="s">
        <v>2045</v>
      </c>
      <c r="J205" s="14"/>
      <c r="K205" s="27">
        <v>0</v>
      </c>
      <c r="L205" s="10"/>
      <c r="M205" s="12" t="s">
        <v>1461</v>
      </c>
      <c r="N205" s="12" t="s">
        <v>109</v>
      </c>
      <c r="O205" s="8">
        <f>SUM(P205:AW205)</f>
        <v>0</v>
      </c>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2"/>
    </row>
    <row r="206" spans="1:50" ht="26.45" customHeight="1">
      <c r="A206" s="4">
        <v>188</v>
      </c>
      <c r="B206" s="11" t="s">
        <v>88</v>
      </c>
      <c r="C206" s="12"/>
      <c r="D206" s="12" t="s">
        <v>2046</v>
      </c>
      <c r="E206" s="12" t="s">
        <v>2043</v>
      </c>
      <c r="F206" s="18" t="s">
        <v>2047</v>
      </c>
      <c r="G206" s="34" t="s">
        <v>541</v>
      </c>
      <c r="H206" s="12" t="s">
        <v>2046</v>
      </c>
      <c r="I206" s="12" t="s">
        <v>2048</v>
      </c>
      <c r="J206" s="14"/>
      <c r="K206" s="27">
        <v>0</v>
      </c>
      <c r="L206" s="10"/>
      <c r="M206" s="12" t="s">
        <v>1461</v>
      </c>
      <c r="N206" s="12" t="s">
        <v>1462</v>
      </c>
      <c r="O206" s="8">
        <f>SUM(P206:AW206)</f>
        <v>0</v>
      </c>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2"/>
    </row>
    <row r="207" spans="1:50">
      <c r="A207" s="4">
        <v>189</v>
      </c>
      <c r="B207" s="11" t="s">
        <v>88</v>
      </c>
      <c r="C207" s="12"/>
      <c r="D207" s="12" t="s">
        <v>2049</v>
      </c>
      <c r="E207" s="12" t="s">
        <v>2050</v>
      </c>
      <c r="F207" s="18" t="s">
        <v>2051</v>
      </c>
      <c r="G207" s="34" t="s">
        <v>541</v>
      </c>
      <c r="H207" s="12" t="s">
        <v>2049</v>
      </c>
      <c r="I207" s="12" t="s">
        <v>2037</v>
      </c>
      <c r="J207" s="14"/>
      <c r="K207" s="27">
        <v>0</v>
      </c>
      <c r="L207" s="10"/>
      <c r="M207" s="12" t="s">
        <v>1461</v>
      </c>
      <c r="N207" s="12" t="s">
        <v>1462</v>
      </c>
      <c r="O207" s="8">
        <f>SUM(P207:AW207)</f>
        <v>0</v>
      </c>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7"/>
      <c r="AS207" s="17"/>
      <c r="AT207" s="17"/>
      <c r="AU207" s="17"/>
      <c r="AV207" s="17"/>
      <c r="AW207" s="17"/>
      <c r="AX207" s="12"/>
    </row>
    <row r="208" spans="1:50" ht="39.6" customHeight="1">
      <c r="A208" s="4">
        <v>190</v>
      </c>
      <c r="B208" s="11" t="s">
        <v>88</v>
      </c>
      <c r="C208" s="12"/>
      <c r="D208" s="12" t="s">
        <v>2052</v>
      </c>
      <c r="E208" s="12" t="s">
        <v>2050</v>
      </c>
      <c r="F208" s="18" t="s">
        <v>2053</v>
      </c>
      <c r="G208" s="34" t="s">
        <v>541</v>
      </c>
      <c r="H208" s="12" t="s">
        <v>2052</v>
      </c>
      <c r="I208" s="12" t="s">
        <v>2054</v>
      </c>
      <c r="J208" s="14"/>
      <c r="K208" s="27">
        <v>0</v>
      </c>
      <c r="L208" s="10"/>
      <c r="M208" s="12" t="s">
        <v>1461</v>
      </c>
      <c r="N208" s="12" t="s">
        <v>1462</v>
      </c>
      <c r="O208" s="8">
        <f>SUM(P208:AW208)</f>
        <v>0</v>
      </c>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2"/>
    </row>
    <row r="209" spans="1:50" ht="26.45" customHeight="1">
      <c r="A209" s="4">
        <v>191</v>
      </c>
      <c r="B209" s="11" t="s">
        <v>88</v>
      </c>
      <c r="C209" s="12"/>
      <c r="D209" s="12" t="s">
        <v>2055</v>
      </c>
      <c r="E209" s="12" t="s">
        <v>2050</v>
      </c>
      <c r="F209" s="18" t="s">
        <v>1495</v>
      </c>
      <c r="G209" s="34" t="s">
        <v>541</v>
      </c>
      <c r="H209" s="12" t="s">
        <v>2055</v>
      </c>
      <c r="I209" s="12" t="s">
        <v>1489</v>
      </c>
      <c r="J209" s="14"/>
      <c r="K209" s="27">
        <v>0</v>
      </c>
      <c r="L209" s="10"/>
      <c r="M209" s="12" t="s">
        <v>1461</v>
      </c>
      <c r="N209" s="12" t="s">
        <v>1462</v>
      </c>
      <c r="O209" s="8">
        <f>SUM(P209:AW209)</f>
        <v>0</v>
      </c>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2"/>
    </row>
    <row r="210" spans="1:50">
      <c r="A210" s="4">
        <v>192</v>
      </c>
      <c r="B210" s="11" t="s">
        <v>88</v>
      </c>
      <c r="C210" s="12"/>
      <c r="D210" s="12" t="s">
        <v>2056</v>
      </c>
      <c r="E210" s="12" t="s">
        <v>2057</v>
      </c>
      <c r="F210" s="18" t="s">
        <v>2058</v>
      </c>
      <c r="G210" s="34" t="s">
        <v>541</v>
      </c>
      <c r="H210" s="12" t="s">
        <v>2056</v>
      </c>
      <c r="I210" s="12" t="s">
        <v>2028</v>
      </c>
      <c r="J210" s="12" t="s">
        <v>2059</v>
      </c>
      <c r="K210" s="27">
        <v>0</v>
      </c>
      <c r="L210" s="30" t="s">
        <v>541</v>
      </c>
      <c r="M210" s="12" t="s">
        <v>1461</v>
      </c>
      <c r="N210" s="12" t="s">
        <v>1462</v>
      </c>
      <c r="O210" s="8">
        <f>SUM(P210:AW210)</f>
        <v>0</v>
      </c>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4"/>
    </row>
    <row r="211" spans="1:50">
      <c r="A211" s="4">
        <v>193</v>
      </c>
      <c r="B211" s="11" t="s">
        <v>88</v>
      </c>
      <c r="C211" s="12"/>
      <c r="D211" s="12" t="s">
        <v>2060</v>
      </c>
      <c r="E211" s="12" t="s">
        <v>2061</v>
      </c>
      <c r="F211" s="18" t="s">
        <v>2062</v>
      </c>
      <c r="G211" s="34" t="s">
        <v>541</v>
      </c>
      <c r="H211" s="12" t="s">
        <v>2060</v>
      </c>
      <c r="I211" s="12" t="s">
        <v>2028</v>
      </c>
      <c r="J211" s="12" t="s">
        <v>2059</v>
      </c>
      <c r="K211" s="27">
        <v>0</v>
      </c>
      <c r="L211" s="30" t="s">
        <v>541</v>
      </c>
      <c r="M211" s="12" t="s">
        <v>1461</v>
      </c>
      <c r="N211" s="12" t="s">
        <v>1462</v>
      </c>
      <c r="O211" s="8">
        <f>SUM(P211:AW211)</f>
        <v>0</v>
      </c>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4"/>
    </row>
    <row r="212" spans="1:50">
      <c r="A212" s="4">
        <v>194</v>
      </c>
      <c r="B212" s="11" t="s">
        <v>88</v>
      </c>
      <c r="C212" s="12"/>
      <c r="D212" s="12" t="s">
        <v>2063</v>
      </c>
      <c r="E212" s="12" t="s">
        <v>2064</v>
      </c>
      <c r="F212" s="18" t="s">
        <v>2065</v>
      </c>
      <c r="G212" s="34" t="s">
        <v>541</v>
      </c>
      <c r="H212" s="12" t="s">
        <v>2063</v>
      </c>
      <c r="I212" s="12" t="s">
        <v>2066</v>
      </c>
      <c r="J212" s="14"/>
      <c r="K212" s="27">
        <v>0</v>
      </c>
      <c r="L212" s="10"/>
      <c r="M212" s="12" t="s">
        <v>1461</v>
      </c>
      <c r="N212" s="12" t="s">
        <v>1462</v>
      </c>
      <c r="O212" s="8">
        <f>SUM(P212:AW212)</f>
        <v>0</v>
      </c>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4"/>
    </row>
    <row r="213" spans="1:50">
      <c r="A213" s="4">
        <v>195</v>
      </c>
      <c r="B213" s="11" t="s">
        <v>88</v>
      </c>
      <c r="C213" s="12"/>
      <c r="D213" s="12" t="s">
        <v>2067</v>
      </c>
      <c r="E213" s="12" t="s">
        <v>2068</v>
      </c>
      <c r="F213" s="18" t="s">
        <v>2069</v>
      </c>
      <c r="G213" s="34" t="s">
        <v>541</v>
      </c>
      <c r="H213" s="12" t="s">
        <v>2067</v>
      </c>
      <c r="I213" s="12" t="s">
        <v>1489</v>
      </c>
      <c r="J213" s="14"/>
      <c r="K213" s="27">
        <v>0</v>
      </c>
      <c r="L213" s="10"/>
      <c r="M213" s="12" t="s">
        <v>1461</v>
      </c>
      <c r="N213" s="12" t="s">
        <v>1462</v>
      </c>
      <c r="O213" s="8">
        <f>SUM(P213:AW213)</f>
        <v>0</v>
      </c>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4"/>
    </row>
    <row r="214" spans="1:50">
      <c r="A214" s="4">
        <v>196</v>
      </c>
      <c r="B214" s="5" t="s">
        <v>88</v>
      </c>
      <c r="C214" s="6"/>
      <c r="D214" s="36" t="s">
        <v>2070</v>
      </c>
      <c r="E214" s="36" t="s">
        <v>2071</v>
      </c>
      <c r="F214" s="7"/>
      <c r="G214" s="9"/>
      <c r="H214" s="9"/>
      <c r="I214" s="9"/>
      <c r="J214" s="9"/>
      <c r="K214" s="20">
        <v>0</v>
      </c>
      <c r="L214" s="4"/>
      <c r="M214" s="9" t="s">
        <v>1795</v>
      </c>
      <c r="N214" s="9"/>
      <c r="O214" s="8">
        <f>SUM(P214:AW214)</f>
        <v>0</v>
      </c>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9"/>
    </row>
    <row r="215" spans="1:50" ht="79.150000000000006" customHeight="1">
      <c r="A215" s="4">
        <v>197</v>
      </c>
      <c r="B215" s="11" t="s">
        <v>88</v>
      </c>
      <c r="C215" s="12"/>
      <c r="D215" s="12" t="s">
        <v>2072</v>
      </c>
      <c r="E215" s="78" t="s">
        <v>2073</v>
      </c>
      <c r="F215" s="79" t="s">
        <v>2074</v>
      </c>
      <c r="G215" s="34" t="s">
        <v>541</v>
      </c>
      <c r="H215" s="12" t="s">
        <v>2072</v>
      </c>
      <c r="I215" s="12" t="s">
        <v>2075</v>
      </c>
      <c r="J215" s="14"/>
      <c r="K215" s="27">
        <v>0</v>
      </c>
      <c r="L215" s="10"/>
      <c r="M215" s="12" t="s">
        <v>1795</v>
      </c>
      <c r="N215" s="12" t="s">
        <v>1462</v>
      </c>
      <c r="O215" s="8">
        <f>SUM(P215:AW215)</f>
        <v>3</v>
      </c>
      <c r="P215" s="17"/>
      <c r="Q215" s="17"/>
      <c r="R215" s="17"/>
      <c r="S215" s="17"/>
      <c r="T215" s="17"/>
      <c r="U215" s="17"/>
      <c r="V215" s="17">
        <v>1</v>
      </c>
      <c r="W215" s="17">
        <v>1</v>
      </c>
      <c r="X215" s="17"/>
      <c r="Y215" s="17"/>
      <c r="Z215" s="17">
        <v>1</v>
      </c>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c r="AW215" s="17"/>
      <c r="AX215" s="14"/>
    </row>
    <row r="216" spans="1:50">
      <c r="A216" s="4">
        <v>198</v>
      </c>
      <c r="B216" s="11" t="s">
        <v>88</v>
      </c>
      <c r="C216" s="12"/>
      <c r="D216" s="12" t="s">
        <v>2076</v>
      </c>
      <c r="E216" s="12" t="s">
        <v>2077</v>
      </c>
      <c r="F216" s="18" t="s">
        <v>1506</v>
      </c>
      <c r="G216" s="34" t="s">
        <v>541</v>
      </c>
      <c r="H216" s="12" t="s">
        <v>2076</v>
      </c>
      <c r="I216" s="12" t="s">
        <v>1507</v>
      </c>
      <c r="J216" s="14"/>
      <c r="K216" s="27">
        <v>0</v>
      </c>
      <c r="L216" s="10"/>
      <c r="M216" s="12" t="s">
        <v>1795</v>
      </c>
      <c r="N216" s="12" t="s">
        <v>1462</v>
      </c>
      <c r="O216" s="8">
        <f>SUM(P216:AW216)</f>
        <v>6</v>
      </c>
      <c r="P216" s="17"/>
      <c r="Q216" s="17"/>
      <c r="R216" s="17"/>
      <c r="S216" s="17"/>
      <c r="T216" s="17"/>
      <c r="U216" s="17"/>
      <c r="V216" s="17">
        <v>2</v>
      </c>
      <c r="W216" s="17">
        <v>2</v>
      </c>
      <c r="X216" s="17"/>
      <c r="Y216" s="17"/>
      <c r="Z216" s="17">
        <v>2</v>
      </c>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c r="AW216" s="17"/>
      <c r="AX216" s="14" t="s">
        <v>200</v>
      </c>
    </row>
    <row r="217" spans="1:50" ht="52.9" customHeight="1">
      <c r="A217" s="4">
        <v>198</v>
      </c>
      <c r="B217" s="11" t="s">
        <v>88</v>
      </c>
      <c r="C217" s="12"/>
      <c r="D217" s="12" t="s">
        <v>2078</v>
      </c>
      <c r="E217" s="12" t="s">
        <v>2079</v>
      </c>
      <c r="F217" s="18" t="s">
        <v>2080</v>
      </c>
      <c r="G217" s="34" t="s">
        <v>541</v>
      </c>
      <c r="H217" s="12" t="s">
        <v>2078</v>
      </c>
      <c r="I217" s="12" t="s">
        <v>2075</v>
      </c>
      <c r="J217" s="14"/>
      <c r="K217" s="27">
        <v>0</v>
      </c>
      <c r="L217" s="10"/>
      <c r="M217" s="12" t="s">
        <v>1795</v>
      </c>
      <c r="N217" s="12" t="s">
        <v>1462</v>
      </c>
      <c r="O217" s="8">
        <f>SUM(P217:AW217)</f>
        <v>0</v>
      </c>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4"/>
    </row>
    <row r="218" spans="1:50" ht="26.45" customHeight="1">
      <c r="A218" s="4">
        <v>199</v>
      </c>
      <c r="B218" s="11" t="s">
        <v>88</v>
      </c>
      <c r="C218" s="12"/>
      <c r="D218" s="12" t="s">
        <v>2081</v>
      </c>
      <c r="E218" s="12" t="s">
        <v>2082</v>
      </c>
      <c r="F218" s="18" t="s">
        <v>2083</v>
      </c>
      <c r="G218" s="34" t="s">
        <v>541</v>
      </c>
      <c r="H218" s="12" t="s">
        <v>2081</v>
      </c>
      <c r="I218" s="12" t="s">
        <v>2084</v>
      </c>
      <c r="J218" s="14"/>
      <c r="K218" s="27">
        <v>0</v>
      </c>
      <c r="L218" s="10"/>
      <c r="M218" s="12" t="s">
        <v>1795</v>
      </c>
      <c r="N218" s="12" t="s">
        <v>1462</v>
      </c>
      <c r="O218" s="8">
        <f>SUM(P218:AW218)</f>
        <v>24</v>
      </c>
      <c r="P218" s="17"/>
      <c r="Q218" s="17"/>
      <c r="R218" s="17"/>
      <c r="S218" s="17"/>
      <c r="T218" s="17"/>
      <c r="U218" s="17"/>
      <c r="V218" s="17">
        <v>9</v>
      </c>
      <c r="W218" s="17">
        <v>6</v>
      </c>
      <c r="X218" s="17"/>
      <c r="Y218" s="17"/>
      <c r="Z218" s="17">
        <v>9</v>
      </c>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4"/>
    </row>
    <row r="219" spans="1:50" ht="26.45" customHeight="1">
      <c r="A219" s="4">
        <v>200</v>
      </c>
      <c r="B219" s="11" t="s">
        <v>88</v>
      </c>
      <c r="C219" s="12"/>
      <c r="D219" s="12" t="s">
        <v>2085</v>
      </c>
      <c r="E219" s="12" t="s">
        <v>2086</v>
      </c>
      <c r="F219" s="18" t="s">
        <v>2087</v>
      </c>
      <c r="G219" s="34" t="s">
        <v>541</v>
      </c>
      <c r="H219" s="12" t="s">
        <v>2085</v>
      </c>
      <c r="I219" s="12" t="s">
        <v>2017</v>
      </c>
      <c r="J219" s="14"/>
      <c r="K219" s="27">
        <v>0</v>
      </c>
      <c r="L219" s="10"/>
      <c r="M219" s="12" t="s">
        <v>1795</v>
      </c>
      <c r="N219" s="12" t="s">
        <v>1462</v>
      </c>
      <c r="O219" s="8">
        <f>SUM(P219:AW219)</f>
        <v>15</v>
      </c>
      <c r="P219" s="17"/>
      <c r="Q219" s="17"/>
      <c r="R219" s="17"/>
      <c r="S219" s="17"/>
      <c r="T219" s="17"/>
      <c r="U219" s="17"/>
      <c r="V219" s="17">
        <v>6</v>
      </c>
      <c r="W219" s="17">
        <v>4</v>
      </c>
      <c r="X219" s="17"/>
      <c r="Y219" s="17"/>
      <c r="Z219" s="17">
        <v>5</v>
      </c>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c r="AW219" s="17"/>
      <c r="AX219" s="14"/>
    </row>
    <row r="220" spans="1:50">
      <c r="A220" s="4">
        <v>201</v>
      </c>
      <c r="B220" s="11" t="s">
        <v>88</v>
      </c>
      <c r="C220" s="12"/>
      <c r="D220" s="12" t="s">
        <v>2088</v>
      </c>
      <c r="E220" s="12" t="s">
        <v>2089</v>
      </c>
      <c r="F220" s="18" t="s">
        <v>2090</v>
      </c>
      <c r="G220" s="34" t="s">
        <v>541</v>
      </c>
      <c r="H220" s="12" t="s">
        <v>2088</v>
      </c>
      <c r="I220" s="12" t="s">
        <v>2091</v>
      </c>
      <c r="J220" s="14"/>
      <c r="K220" s="27">
        <v>0</v>
      </c>
      <c r="L220" s="10"/>
      <c r="M220" s="12" t="s">
        <v>1795</v>
      </c>
      <c r="N220" s="12" t="s">
        <v>1462</v>
      </c>
      <c r="O220" s="8">
        <f>SUM(P220:AW220)</f>
        <v>17</v>
      </c>
      <c r="P220" s="17"/>
      <c r="Q220" s="17"/>
      <c r="R220" s="17"/>
      <c r="S220" s="17"/>
      <c r="T220" s="17"/>
      <c r="U220" s="17"/>
      <c r="V220" s="17">
        <v>5</v>
      </c>
      <c r="W220" s="17">
        <v>7</v>
      </c>
      <c r="X220" s="17"/>
      <c r="Y220" s="17"/>
      <c r="Z220" s="17">
        <v>5</v>
      </c>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4"/>
    </row>
    <row r="221" spans="1:50">
      <c r="A221" s="4">
        <v>202</v>
      </c>
      <c r="B221" s="11" t="s">
        <v>88</v>
      </c>
      <c r="C221" s="12"/>
      <c r="D221" s="12" t="s">
        <v>2092</v>
      </c>
      <c r="E221" s="12" t="s">
        <v>2093</v>
      </c>
      <c r="F221" s="18" t="s">
        <v>2094</v>
      </c>
      <c r="G221" s="34" t="s">
        <v>541</v>
      </c>
      <c r="H221" s="12" t="s">
        <v>2092</v>
      </c>
      <c r="I221" s="12" t="s">
        <v>2095</v>
      </c>
      <c r="J221" s="14"/>
      <c r="K221" s="27">
        <v>0</v>
      </c>
      <c r="L221" s="10"/>
      <c r="M221" s="12" t="s">
        <v>1795</v>
      </c>
      <c r="N221" s="12" t="s">
        <v>1462</v>
      </c>
      <c r="O221" s="8">
        <f>SUM(P221:AW221)</f>
        <v>16</v>
      </c>
      <c r="P221" s="17"/>
      <c r="Q221" s="17"/>
      <c r="R221" s="17"/>
      <c r="S221" s="17"/>
      <c r="T221" s="17"/>
      <c r="U221" s="17"/>
      <c r="V221" s="17">
        <v>5</v>
      </c>
      <c r="W221" s="17">
        <v>6</v>
      </c>
      <c r="X221" s="17"/>
      <c r="Y221" s="17"/>
      <c r="Z221" s="17">
        <v>5</v>
      </c>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c r="AW221" s="17"/>
      <c r="AX221" s="14"/>
    </row>
    <row r="222" spans="1:50">
      <c r="A222" s="4">
        <v>203</v>
      </c>
      <c r="B222" s="11" t="s">
        <v>88</v>
      </c>
      <c r="C222" s="12"/>
      <c r="D222" s="12" t="s">
        <v>2096</v>
      </c>
      <c r="E222" s="12" t="s">
        <v>2097</v>
      </c>
      <c r="F222" s="18" t="s">
        <v>2098</v>
      </c>
      <c r="G222" s="34" t="s">
        <v>541</v>
      </c>
      <c r="H222" s="12" t="s">
        <v>2096</v>
      </c>
      <c r="I222" s="12" t="s">
        <v>2099</v>
      </c>
      <c r="J222" s="14"/>
      <c r="K222" s="27">
        <v>0</v>
      </c>
      <c r="L222" s="10"/>
      <c r="M222" s="12" t="s">
        <v>1795</v>
      </c>
      <c r="N222" s="12" t="s">
        <v>1462</v>
      </c>
      <c r="O222" s="8">
        <f>SUM(P222:AW222)</f>
        <v>36</v>
      </c>
      <c r="P222" s="17"/>
      <c r="Q222" s="17"/>
      <c r="R222" s="17"/>
      <c r="S222" s="17"/>
      <c r="T222" s="17"/>
      <c r="U222" s="17"/>
      <c r="V222" s="17">
        <v>14</v>
      </c>
      <c r="W222" s="17">
        <v>8</v>
      </c>
      <c r="X222" s="17"/>
      <c r="Y222" s="17"/>
      <c r="Z222" s="17">
        <v>14</v>
      </c>
      <c r="AA222" s="17"/>
      <c r="AB222" s="17"/>
      <c r="AC222" s="17"/>
      <c r="AD222" s="17"/>
      <c r="AE222" s="17"/>
      <c r="AF222" s="17"/>
      <c r="AG222" s="17"/>
      <c r="AH222" s="17"/>
      <c r="AI222" s="17"/>
      <c r="AJ222" s="17"/>
      <c r="AK222" s="17"/>
      <c r="AL222" s="17"/>
      <c r="AM222" s="17"/>
      <c r="AN222" s="17"/>
      <c r="AO222" s="17"/>
      <c r="AP222" s="17"/>
      <c r="AQ222" s="17"/>
      <c r="AR222" s="17"/>
      <c r="AS222" s="17"/>
      <c r="AT222" s="17"/>
      <c r="AU222" s="17"/>
      <c r="AV222" s="17"/>
      <c r="AW222" s="17"/>
      <c r="AX222" s="14"/>
    </row>
    <row r="223" spans="1:50">
      <c r="A223" s="4">
        <v>204</v>
      </c>
      <c r="B223" s="11" t="s">
        <v>88</v>
      </c>
      <c r="C223" s="12"/>
      <c r="D223" s="12" t="s">
        <v>2100</v>
      </c>
      <c r="E223" s="12" t="s">
        <v>2101</v>
      </c>
      <c r="F223" s="18" t="s">
        <v>2102</v>
      </c>
      <c r="G223" s="34" t="s">
        <v>541</v>
      </c>
      <c r="H223" s="12" t="s">
        <v>2100</v>
      </c>
      <c r="I223" s="12" t="s">
        <v>2103</v>
      </c>
      <c r="J223" s="14"/>
      <c r="K223" s="27">
        <v>0</v>
      </c>
      <c r="L223" s="10"/>
      <c r="M223" s="12" t="s">
        <v>1795</v>
      </c>
      <c r="N223" s="12" t="s">
        <v>1462</v>
      </c>
      <c r="O223" s="8">
        <f>SUM(P223:AW223)</f>
        <v>15</v>
      </c>
      <c r="P223" s="17"/>
      <c r="Q223" s="17"/>
      <c r="R223" s="17"/>
      <c r="S223" s="17"/>
      <c r="T223" s="17"/>
      <c r="U223" s="17"/>
      <c r="V223" s="17">
        <v>5</v>
      </c>
      <c r="W223" s="17">
        <v>5</v>
      </c>
      <c r="X223" s="17"/>
      <c r="Y223" s="17"/>
      <c r="Z223" s="17">
        <v>5</v>
      </c>
      <c r="AA223" s="17"/>
      <c r="AB223" s="17"/>
      <c r="AC223" s="17"/>
      <c r="AD223" s="17"/>
      <c r="AE223" s="17"/>
      <c r="AF223" s="17"/>
      <c r="AG223" s="17"/>
      <c r="AH223" s="17"/>
      <c r="AI223" s="17"/>
      <c r="AJ223" s="17"/>
      <c r="AK223" s="17"/>
      <c r="AL223" s="17"/>
      <c r="AM223" s="17"/>
      <c r="AN223" s="17"/>
      <c r="AO223" s="17"/>
      <c r="AP223" s="17"/>
      <c r="AQ223" s="17"/>
      <c r="AR223" s="17"/>
      <c r="AS223" s="17"/>
      <c r="AT223" s="17"/>
      <c r="AU223" s="17"/>
      <c r="AV223" s="17"/>
      <c r="AW223" s="17"/>
      <c r="AX223" s="14"/>
    </row>
    <row r="224" spans="1:50">
      <c r="A224" s="4">
        <v>205</v>
      </c>
      <c r="B224" s="11" t="s">
        <v>88</v>
      </c>
      <c r="C224" s="12"/>
      <c r="D224" s="12" t="s">
        <v>2104</v>
      </c>
      <c r="E224" s="12" t="s">
        <v>2105</v>
      </c>
      <c r="F224" s="18" t="s">
        <v>2106</v>
      </c>
      <c r="G224" s="34" t="s">
        <v>541</v>
      </c>
      <c r="H224" s="12" t="s">
        <v>2104</v>
      </c>
      <c r="I224" s="12" t="s">
        <v>2107</v>
      </c>
      <c r="J224" s="14"/>
      <c r="K224" s="27">
        <v>0</v>
      </c>
      <c r="L224" s="10"/>
      <c r="M224" s="12" t="s">
        <v>1795</v>
      </c>
      <c r="N224" s="12" t="s">
        <v>1462</v>
      </c>
      <c r="O224" s="8">
        <f>SUM(P224:AW224)</f>
        <v>16</v>
      </c>
      <c r="P224" s="17"/>
      <c r="Q224" s="17"/>
      <c r="R224" s="17"/>
      <c r="S224" s="17"/>
      <c r="T224" s="17"/>
      <c r="U224" s="17"/>
      <c r="V224" s="17">
        <v>5</v>
      </c>
      <c r="W224" s="17">
        <v>6</v>
      </c>
      <c r="X224" s="17"/>
      <c r="Y224" s="17"/>
      <c r="Z224" s="17">
        <v>5</v>
      </c>
      <c r="AA224" s="17"/>
      <c r="AB224" s="17"/>
      <c r="AC224" s="17"/>
      <c r="AD224" s="17"/>
      <c r="AE224" s="17"/>
      <c r="AF224" s="17"/>
      <c r="AG224" s="17"/>
      <c r="AH224" s="17"/>
      <c r="AI224" s="17"/>
      <c r="AJ224" s="17"/>
      <c r="AK224" s="17"/>
      <c r="AL224" s="17"/>
      <c r="AM224" s="17"/>
      <c r="AN224" s="17"/>
      <c r="AO224" s="17"/>
      <c r="AP224" s="17"/>
      <c r="AQ224" s="17"/>
      <c r="AR224" s="17"/>
      <c r="AS224" s="17"/>
      <c r="AT224" s="17"/>
      <c r="AU224" s="17"/>
      <c r="AV224" s="17"/>
      <c r="AW224" s="17"/>
      <c r="AX224" s="14"/>
    </row>
    <row r="225" spans="1:50">
      <c r="A225" s="4">
        <v>206</v>
      </c>
      <c r="B225" s="11" t="s">
        <v>88</v>
      </c>
      <c r="C225" s="12"/>
      <c r="D225" s="12" t="s">
        <v>2108</v>
      </c>
      <c r="E225" s="12" t="s">
        <v>2109</v>
      </c>
      <c r="F225" s="12" t="s">
        <v>2109</v>
      </c>
      <c r="G225" s="34"/>
      <c r="H225" s="12" t="s">
        <v>2108</v>
      </c>
      <c r="I225" s="12" t="s">
        <v>2107</v>
      </c>
      <c r="J225" s="14"/>
      <c r="K225" s="27"/>
      <c r="L225" s="10"/>
      <c r="M225" s="12" t="s">
        <v>1795</v>
      </c>
      <c r="N225" s="12" t="s">
        <v>1462</v>
      </c>
      <c r="O225" s="8">
        <f>SUM(P225:AW225)</f>
        <v>8</v>
      </c>
      <c r="P225" s="17"/>
      <c r="Q225" s="17"/>
      <c r="R225" s="17"/>
      <c r="S225" s="17"/>
      <c r="T225" s="17"/>
      <c r="U225" s="17"/>
      <c r="V225" s="17">
        <v>4</v>
      </c>
      <c r="W225" s="17">
        <v>0</v>
      </c>
      <c r="X225" s="17"/>
      <c r="Y225" s="17"/>
      <c r="Z225" s="17">
        <v>4</v>
      </c>
      <c r="AA225" s="17"/>
      <c r="AB225" s="17"/>
      <c r="AC225" s="17"/>
      <c r="AD225" s="17"/>
      <c r="AE225" s="17"/>
      <c r="AF225" s="17"/>
      <c r="AG225" s="17"/>
      <c r="AH225" s="17"/>
      <c r="AI225" s="17"/>
      <c r="AJ225" s="17"/>
      <c r="AK225" s="17"/>
      <c r="AL225" s="17"/>
      <c r="AM225" s="17"/>
      <c r="AN225" s="17"/>
      <c r="AO225" s="17"/>
      <c r="AP225" s="17"/>
      <c r="AQ225" s="17"/>
      <c r="AR225" s="17"/>
      <c r="AS225" s="17"/>
      <c r="AT225" s="17"/>
      <c r="AU225" s="17"/>
      <c r="AV225" s="17"/>
      <c r="AW225" s="17"/>
      <c r="AX225" s="14"/>
    </row>
    <row r="226" spans="1:50">
      <c r="A226" s="4"/>
      <c r="B226" s="11"/>
      <c r="C226" s="12"/>
      <c r="D226" s="12" t="s">
        <v>2110</v>
      </c>
      <c r="E226" s="12" t="s">
        <v>2111</v>
      </c>
      <c r="F226" s="12" t="s">
        <v>2111</v>
      </c>
      <c r="G226" s="34"/>
      <c r="H226" s="12" t="s">
        <v>2110</v>
      </c>
      <c r="I226" s="12" t="s">
        <v>2107</v>
      </c>
      <c r="J226" s="14"/>
      <c r="K226" s="27"/>
      <c r="L226" s="10"/>
      <c r="M226" s="12" t="s">
        <v>1795</v>
      </c>
      <c r="N226" s="12" t="s">
        <v>1462</v>
      </c>
      <c r="O226" s="8">
        <f>SUM(P226:AW226)</f>
        <v>16</v>
      </c>
      <c r="P226" s="17"/>
      <c r="Q226" s="17"/>
      <c r="R226" s="17"/>
      <c r="S226" s="17"/>
      <c r="T226" s="17"/>
      <c r="U226" s="17"/>
      <c r="V226" s="17">
        <v>5</v>
      </c>
      <c r="W226" s="17">
        <v>6</v>
      </c>
      <c r="X226" s="17"/>
      <c r="Y226" s="17"/>
      <c r="Z226" s="17">
        <v>5</v>
      </c>
      <c r="AA226" s="17"/>
      <c r="AB226" s="17"/>
      <c r="AC226" s="17"/>
      <c r="AD226" s="17"/>
      <c r="AE226" s="17"/>
      <c r="AF226" s="17"/>
      <c r="AG226" s="17"/>
      <c r="AH226" s="17"/>
      <c r="AI226" s="17"/>
      <c r="AJ226" s="17"/>
      <c r="AK226" s="17"/>
      <c r="AL226" s="17"/>
      <c r="AM226" s="17"/>
      <c r="AN226" s="17"/>
      <c r="AO226" s="17"/>
      <c r="AP226" s="17"/>
      <c r="AQ226" s="17"/>
      <c r="AR226" s="17"/>
      <c r="AS226" s="17"/>
      <c r="AT226" s="17"/>
      <c r="AU226" s="17"/>
      <c r="AV226" s="17"/>
      <c r="AW226" s="17"/>
      <c r="AX226" s="14"/>
    </row>
    <row r="227" spans="1:50">
      <c r="A227" s="4">
        <v>207</v>
      </c>
      <c r="B227" s="11" t="s">
        <v>88</v>
      </c>
      <c r="C227" s="12"/>
      <c r="D227" s="12" t="s">
        <v>2112</v>
      </c>
      <c r="E227" s="12" t="s">
        <v>2113</v>
      </c>
      <c r="F227" s="18" t="s">
        <v>2114</v>
      </c>
      <c r="G227" s="34" t="s">
        <v>541</v>
      </c>
      <c r="H227" s="12" t="s">
        <v>2112</v>
      </c>
      <c r="I227" s="12" t="s">
        <v>1591</v>
      </c>
      <c r="J227" s="14"/>
      <c r="K227" s="27">
        <v>0</v>
      </c>
      <c r="L227" s="10"/>
      <c r="M227" s="12" t="s">
        <v>1795</v>
      </c>
      <c r="N227" s="12" t="s">
        <v>1462</v>
      </c>
      <c r="O227" s="8">
        <f>SUM(P227:AW227)</f>
        <v>0</v>
      </c>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c r="AO227" s="17"/>
      <c r="AP227" s="17"/>
      <c r="AQ227" s="17"/>
      <c r="AR227" s="17"/>
      <c r="AS227" s="17"/>
      <c r="AT227" s="17"/>
      <c r="AU227" s="17"/>
      <c r="AV227" s="17"/>
      <c r="AW227" s="17"/>
      <c r="AX227" s="14"/>
    </row>
    <row r="228" spans="1:50">
      <c r="A228" s="4">
        <v>208</v>
      </c>
      <c r="B228" s="11" t="s">
        <v>88</v>
      </c>
      <c r="C228" s="12"/>
      <c r="D228" s="12" t="s">
        <v>2115</v>
      </c>
      <c r="E228" s="12" t="s">
        <v>2116</v>
      </c>
      <c r="F228" s="18" t="s">
        <v>2117</v>
      </c>
      <c r="G228" s="34" t="s">
        <v>541</v>
      </c>
      <c r="H228" s="12" t="s">
        <v>2115</v>
      </c>
      <c r="I228" s="12" t="s">
        <v>1591</v>
      </c>
      <c r="J228" s="14"/>
      <c r="K228" s="27">
        <v>0</v>
      </c>
      <c r="L228" s="10"/>
      <c r="M228" s="12" t="s">
        <v>1795</v>
      </c>
      <c r="N228" s="12" t="s">
        <v>1462</v>
      </c>
      <c r="O228" s="8">
        <f>SUM(P228:AW228)</f>
        <v>0</v>
      </c>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c r="AR228" s="17"/>
      <c r="AS228" s="17"/>
      <c r="AT228" s="17"/>
      <c r="AU228" s="17"/>
      <c r="AV228" s="17"/>
      <c r="AW228" s="17"/>
      <c r="AX228" s="14"/>
    </row>
    <row r="229" spans="1:50">
      <c r="A229" s="4">
        <v>209</v>
      </c>
      <c r="B229" s="11" t="s">
        <v>88</v>
      </c>
      <c r="C229" s="12"/>
      <c r="D229" s="12" t="s">
        <v>2118</v>
      </c>
      <c r="E229" s="12" t="s">
        <v>2116</v>
      </c>
      <c r="F229" s="18" t="s">
        <v>2119</v>
      </c>
      <c r="G229" s="34" t="s">
        <v>541</v>
      </c>
      <c r="H229" s="12" t="s">
        <v>2118</v>
      </c>
      <c r="I229" s="12" t="s">
        <v>1591</v>
      </c>
      <c r="J229" s="14"/>
      <c r="K229" s="27">
        <v>0</v>
      </c>
      <c r="L229" s="10"/>
      <c r="M229" s="12" t="s">
        <v>1795</v>
      </c>
      <c r="N229" s="12" t="s">
        <v>1462</v>
      </c>
      <c r="O229" s="8">
        <f>SUM(P229:AW229)</f>
        <v>0</v>
      </c>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c r="AO229" s="17"/>
      <c r="AP229" s="17"/>
      <c r="AQ229" s="17"/>
      <c r="AR229" s="17"/>
      <c r="AS229" s="17"/>
      <c r="AT229" s="17"/>
      <c r="AU229" s="17"/>
      <c r="AV229" s="17"/>
      <c r="AW229" s="17"/>
      <c r="AX229" s="14"/>
    </row>
    <row r="230" spans="1:50">
      <c r="A230" s="4">
        <v>210</v>
      </c>
      <c r="B230" s="11" t="s">
        <v>88</v>
      </c>
      <c r="C230" s="12"/>
      <c r="D230" s="12" t="s">
        <v>2120</v>
      </c>
      <c r="E230" s="12" t="s">
        <v>2121</v>
      </c>
      <c r="F230" s="18" t="s">
        <v>1850</v>
      </c>
      <c r="G230" s="34"/>
      <c r="H230" s="12" t="s">
        <v>2120</v>
      </c>
      <c r="I230" s="12" t="s">
        <v>1591</v>
      </c>
      <c r="J230" s="14"/>
      <c r="K230" s="27">
        <v>0</v>
      </c>
      <c r="L230" s="10"/>
      <c r="M230" s="12" t="s">
        <v>1795</v>
      </c>
      <c r="N230" s="12" t="s">
        <v>1462</v>
      </c>
      <c r="O230" s="8">
        <f>SUM(P230:AW230)</f>
        <v>0</v>
      </c>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c r="AO230" s="17"/>
      <c r="AP230" s="17"/>
      <c r="AQ230" s="17"/>
      <c r="AR230" s="17"/>
      <c r="AS230" s="17"/>
      <c r="AT230" s="17"/>
      <c r="AU230" s="17"/>
      <c r="AV230" s="17"/>
      <c r="AW230" s="17"/>
      <c r="AX230" s="14"/>
    </row>
    <row r="231" spans="1:50">
      <c r="A231" s="4">
        <v>211</v>
      </c>
      <c r="B231" s="11" t="s">
        <v>88</v>
      </c>
      <c r="C231" s="12"/>
      <c r="D231" s="12" t="s">
        <v>2122</v>
      </c>
      <c r="E231" s="12" t="s">
        <v>2123</v>
      </c>
      <c r="F231" s="18" t="s">
        <v>1850</v>
      </c>
      <c r="G231" s="34"/>
      <c r="H231" s="12" t="s">
        <v>2122</v>
      </c>
      <c r="I231" s="12" t="s">
        <v>1591</v>
      </c>
      <c r="J231" s="14"/>
      <c r="K231" s="27">
        <v>0</v>
      </c>
      <c r="L231" s="10"/>
      <c r="M231" s="12" t="s">
        <v>1795</v>
      </c>
      <c r="N231" s="12" t="s">
        <v>1462</v>
      </c>
      <c r="O231" s="8">
        <f>SUM(P231:AW231)</f>
        <v>0</v>
      </c>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c r="AO231" s="17"/>
      <c r="AP231" s="17"/>
      <c r="AQ231" s="17"/>
      <c r="AR231" s="17"/>
      <c r="AS231" s="17"/>
      <c r="AT231" s="17"/>
      <c r="AU231" s="17"/>
      <c r="AV231" s="17"/>
      <c r="AW231" s="17"/>
      <c r="AX231" s="14"/>
    </row>
    <row r="232" spans="1:50">
      <c r="A232" s="4">
        <v>212</v>
      </c>
      <c r="B232" s="11" t="s">
        <v>88</v>
      </c>
      <c r="C232" s="12"/>
      <c r="D232" s="12" t="s">
        <v>2124</v>
      </c>
      <c r="E232" s="12" t="s">
        <v>2125</v>
      </c>
      <c r="F232" s="18"/>
      <c r="G232" s="34"/>
      <c r="H232" s="12" t="s">
        <v>2124</v>
      </c>
      <c r="I232" s="12" t="s">
        <v>2017</v>
      </c>
      <c r="J232" s="14"/>
      <c r="K232" s="27">
        <v>0</v>
      </c>
      <c r="L232" s="10"/>
      <c r="M232" s="12" t="s">
        <v>1461</v>
      </c>
      <c r="N232" s="12" t="s">
        <v>1462</v>
      </c>
      <c r="O232" s="8">
        <f>SUM(P232:AW232)</f>
        <v>0</v>
      </c>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c r="AM232" s="17"/>
      <c r="AN232" s="17"/>
      <c r="AO232" s="17"/>
      <c r="AP232" s="17"/>
      <c r="AQ232" s="17"/>
      <c r="AR232" s="17"/>
      <c r="AS232" s="17"/>
      <c r="AT232" s="17"/>
      <c r="AU232" s="17"/>
      <c r="AV232" s="17"/>
      <c r="AW232" s="17"/>
      <c r="AX232" s="14"/>
    </row>
    <row r="233" spans="1:50">
      <c r="A233" s="4">
        <v>213</v>
      </c>
      <c r="B233" s="11" t="s">
        <v>88</v>
      </c>
      <c r="C233" s="12"/>
      <c r="D233" s="12" t="s">
        <v>2126</v>
      </c>
      <c r="E233" s="12" t="s">
        <v>2127</v>
      </c>
      <c r="F233" s="18"/>
      <c r="G233" s="34"/>
      <c r="H233" s="12" t="s">
        <v>2126</v>
      </c>
      <c r="I233" s="12" t="s">
        <v>1591</v>
      </c>
      <c r="J233" s="14"/>
      <c r="K233" s="27">
        <v>0</v>
      </c>
      <c r="L233" s="10"/>
      <c r="M233" s="12" t="s">
        <v>1795</v>
      </c>
      <c r="N233" s="12" t="s">
        <v>1462</v>
      </c>
      <c r="O233" s="8">
        <f>SUM(P233:AW233)</f>
        <v>24</v>
      </c>
      <c r="P233" s="17"/>
      <c r="Q233" s="17"/>
      <c r="R233" s="17"/>
      <c r="S233" s="17"/>
      <c r="T233" s="17"/>
      <c r="U233" s="17"/>
      <c r="V233" s="17">
        <v>9</v>
      </c>
      <c r="W233" s="17">
        <v>6</v>
      </c>
      <c r="X233" s="17"/>
      <c r="Y233" s="17"/>
      <c r="Z233" s="17">
        <v>9</v>
      </c>
      <c r="AA233" s="17"/>
      <c r="AB233" s="17"/>
      <c r="AC233" s="17"/>
      <c r="AD233" s="17"/>
      <c r="AE233" s="17"/>
      <c r="AF233" s="17"/>
      <c r="AG233" s="17"/>
      <c r="AH233" s="17"/>
      <c r="AI233" s="17"/>
      <c r="AJ233" s="17"/>
      <c r="AK233" s="17"/>
      <c r="AL233" s="17"/>
      <c r="AM233" s="17"/>
      <c r="AN233" s="17"/>
      <c r="AO233" s="17"/>
      <c r="AP233" s="17"/>
      <c r="AQ233" s="17"/>
      <c r="AR233" s="17"/>
      <c r="AS233" s="17"/>
      <c r="AT233" s="17"/>
      <c r="AU233" s="17"/>
      <c r="AV233" s="17"/>
      <c r="AW233" s="17"/>
      <c r="AX233" s="14" t="s">
        <v>2128</v>
      </c>
    </row>
    <row r="234" spans="1:50">
      <c r="A234" s="4">
        <v>214</v>
      </c>
      <c r="B234" s="5" t="s">
        <v>88</v>
      </c>
      <c r="C234" s="6"/>
      <c r="D234" s="35" t="s">
        <v>2129</v>
      </c>
      <c r="E234" s="35" t="s">
        <v>2130</v>
      </c>
      <c r="F234" s="7"/>
      <c r="G234" s="9"/>
      <c r="H234" s="9"/>
      <c r="I234" s="9"/>
      <c r="J234" s="9"/>
      <c r="K234" s="20">
        <v>0</v>
      </c>
      <c r="L234" s="4"/>
      <c r="M234" s="9" t="s">
        <v>1461</v>
      </c>
      <c r="N234" s="9"/>
      <c r="O234" s="8">
        <f>SUM(P234:AW234)</f>
        <v>0</v>
      </c>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9"/>
    </row>
    <row r="235" spans="1:50">
      <c r="A235" s="4">
        <v>210</v>
      </c>
      <c r="B235" s="11" t="s">
        <v>88</v>
      </c>
      <c r="C235" s="12"/>
      <c r="D235" s="12" t="s">
        <v>2131</v>
      </c>
      <c r="E235" s="12" t="s">
        <v>2132</v>
      </c>
      <c r="F235" s="18" t="s">
        <v>1820</v>
      </c>
      <c r="G235" s="34" t="s">
        <v>541</v>
      </c>
      <c r="H235" s="12"/>
      <c r="I235" s="12" t="s">
        <v>2133</v>
      </c>
      <c r="J235" s="14"/>
      <c r="K235" s="27">
        <v>0</v>
      </c>
      <c r="L235" s="10"/>
      <c r="M235" s="12" t="s">
        <v>1461</v>
      </c>
      <c r="N235" s="12" t="s">
        <v>1462</v>
      </c>
      <c r="O235" s="8">
        <f>SUM(P235:AW235)</f>
        <v>0</v>
      </c>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c r="AO235" s="17"/>
      <c r="AP235" s="17"/>
      <c r="AQ235" s="17"/>
      <c r="AR235" s="17"/>
      <c r="AS235" s="17"/>
      <c r="AT235" s="17"/>
      <c r="AU235" s="17"/>
      <c r="AV235" s="17"/>
      <c r="AW235" s="17"/>
      <c r="AX235" s="14"/>
    </row>
    <row r="236" spans="1:50">
      <c r="A236" s="4">
        <v>211</v>
      </c>
      <c r="B236" s="11" t="s">
        <v>88</v>
      </c>
      <c r="C236" s="12"/>
      <c r="D236" s="12" t="s">
        <v>2134</v>
      </c>
      <c r="E236" s="12" t="s">
        <v>2135</v>
      </c>
      <c r="F236" s="18" t="s">
        <v>2136</v>
      </c>
      <c r="G236" s="34" t="s">
        <v>541</v>
      </c>
      <c r="H236" s="12"/>
      <c r="I236" s="12" t="s">
        <v>2137</v>
      </c>
      <c r="J236" s="14"/>
      <c r="K236" s="27">
        <v>0</v>
      </c>
      <c r="L236" s="10"/>
      <c r="M236" s="12" t="s">
        <v>1461</v>
      </c>
      <c r="N236" s="12" t="s">
        <v>1462</v>
      </c>
      <c r="O236" s="8">
        <f>SUM(P236:AW236)</f>
        <v>0</v>
      </c>
      <c r="P236" s="17"/>
      <c r="Q236" s="17"/>
      <c r="R236" s="17"/>
      <c r="S236" s="17"/>
      <c r="T236" s="17"/>
      <c r="U236" s="17"/>
      <c r="V236" s="17"/>
      <c r="W236" s="17"/>
      <c r="X236" s="17"/>
      <c r="Y236" s="17"/>
      <c r="Z236" s="17"/>
      <c r="AA236" s="17"/>
      <c r="AB236" s="17"/>
      <c r="AC236" s="17"/>
      <c r="AD236" s="17"/>
      <c r="AE236" s="17"/>
      <c r="AF236" s="17"/>
      <c r="AG236" s="17"/>
      <c r="AH236" s="17"/>
      <c r="AI236" s="17"/>
      <c r="AJ236" s="17"/>
      <c r="AK236" s="17"/>
      <c r="AL236" s="17"/>
      <c r="AM236" s="17"/>
      <c r="AN236" s="17"/>
      <c r="AO236" s="17"/>
      <c r="AP236" s="17"/>
      <c r="AQ236" s="17"/>
      <c r="AR236" s="17"/>
      <c r="AS236" s="17"/>
      <c r="AT236" s="17"/>
      <c r="AU236" s="17"/>
      <c r="AV236" s="17"/>
      <c r="AW236" s="17"/>
      <c r="AX236" s="14"/>
    </row>
    <row r="237" spans="1:50">
      <c r="A237" s="4">
        <v>212</v>
      </c>
      <c r="B237" s="11" t="s">
        <v>88</v>
      </c>
      <c r="C237" s="12"/>
      <c r="D237" s="12" t="s">
        <v>2138</v>
      </c>
      <c r="E237" s="12" t="s">
        <v>2139</v>
      </c>
      <c r="F237" s="18" t="s">
        <v>2140</v>
      </c>
      <c r="G237" s="34" t="s">
        <v>541</v>
      </c>
      <c r="H237" s="12"/>
      <c r="I237" s="12" t="s">
        <v>2075</v>
      </c>
      <c r="J237" s="14"/>
      <c r="K237" s="27">
        <v>0</v>
      </c>
      <c r="L237" s="10"/>
      <c r="M237" s="12" t="s">
        <v>1461</v>
      </c>
      <c r="N237" s="12" t="s">
        <v>1462</v>
      </c>
      <c r="O237" s="8">
        <f>SUM(P237:AW237)</f>
        <v>0</v>
      </c>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c r="AO237" s="17"/>
      <c r="AP237" s="17"/>
      <c r="AQ237" s="17"/>
      <c r="AR237" s="17"/>
      <c r="AS237" s="17"/>
      <c r="AT237" s="17"/>
      <c r="AU237" s="17"/>
      <c r="AV237" s="17"/>
      <c r="AW237" s="17"/>
      <c r="AX237" s="16"/>
    </row>
    <row r="238" spans="1:50">
      <c r="A238" s="4">
        <v>213</v>
      </c>
      <c r="B238" s="11" t="s">
        <v>88</v>
      </c>
      <c r="C238" s="12"/>
      <c r="D238" s="12" t="s">
        <v>2141</v>
      </c>
      <c r="E238" s="12" t="s">
        <v>2142</v>
      </c>
      <c r="F238" s="18" t="s">
        <v>2143</v>
      </c>
      <c r="G238" s="34" t="s">
        <v>541</v>
      </c>
      <c r="H238" s="12"/>
      <c r="I238" s="12" t="s">
        <v>2144</v>
      </c>
      <c r="J238" s="14"/>
      <c r="K238" s="27">
        <v>0</v>
      </c>
      <c r="L238" s="10"/>
      <c r="M238" s="12" t="s">
        <v>1461</v>
      </c>
      <c r="N238" s="12" t="s">
        <v>1462</v>
      </c>
      <c r="O238" s="8">
        <f>SUM(P238:AW238)</f>
        <v>0</v>
      </c>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c r="AO238" s="17"/>
      <c r="AP238" s="17"/>
      <c r="AQ238" s="17"/>
      <c r="AR238" s="17"/>
      <c r="AS238" s="17"/>
      <c r="AT238" s="17"/>
      <c r="AU238" s="17"/>
      <c r="AV238" s="17"/>
      <c r="AW238" s="17"/>
      <c r="AX238" s="16"/>
    </row>
    <row r="239" spans="1:50" ht="15">
      <c r="A239" s="4">
        <v>214</v>
      </c>
      <c r="B239" s="11" t="s">
        <v>88</v>
      </c>
      <c r="C239" s="12"/>
      <c r="D239" s="12" t="s">
        <v>2145</v>
      </c>
      <c r="E239" s="12" t="s">
        <v>2146</v>
      </c>
      <c r="F239" s="106" t="s">
        <v>2147</v>
      </c>
      <c r="G239" s="34" t="s">
        <v>541</v>
      </c>
      <c r="H239" s="12"/>
      <c r="I239" s="12" t="s">
        <v>2148</v>
      </c>
      <c r="J239" s="14"/>
      <c r="K239" s="27">
        <v>0</v>
      </c>
      <c r="L239" s="10"/>
      <c r="M239" s="12" t="s">
        <v>1461</v>
      </c>
      <c r="N239" s="12" t="s">
        <v>1462</v>
      </c>
      <c r="O239" s="8">
        <f>SUM(P239:AW239)</f>
        <v>0</v>
      </c>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c r="AO239" s="17"/>
      <c r="AP239" s="17"/>
      <c r="AQ239" s="17"/>
      <c r="AR239" s="17"/>
      <c r="AS239" s="17"/>
      <c r="AT239" s="17"/>
      <c r="AU239" s="17"/>
      <c r="AV239" s="17"/>
      <c r="AW239" s="17"/>
      <c r="AX239" s="16"/>
    </row>
    <row r="240" spans="1:50">
      <c r="A240" s="4">
        <v>214</v>
      </c>
      <c r="B240" s="11" t="s">
        <v>88</v>
      </c>
      <c r="C240" s="12"/>
      <c r="D240" s="12" t="s">
        <v>2149</v>
      </c>
      <c r="E240" s="12" t="s">
        <v>2146</v>
      </c>
      <c r="F240" s="18" t="s">
        <v>2150</v>
      </c>
      <c r="G240" s="34" t="s">
        <v>541</v>
      </c>
      <c r="H240" s="12" t="s">
        <v>2145</v>
      </c>
      <c r="I240" s="12" t="s">
        <v>2148</v>
      </c>
      <c r="J240" s="14"/>
      <c r="K240" s="27">
        <v>0</v>
      </c>
      <c r="L240" s="10"/>
      <c r="M240" s="12" t="s">
        <v>1795</v>
      </c>
      <c r="N240" s="12" t="s">
        <v>1462</v>
      </c>
      <c r="O240" s="8">
        <f>SUM(P240:AW240)</f>
        <v>0</v>
      </c>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c r="AO240" s="17"/>
      <c r="AP240" s="17"/>
      <c r="AQ240" s="17"/>
      <c r="AR240" s="17"/>
      <c r="AS240" s="17"/>
      <c r="AT240" s="17"/>
      <c r="AU240" s="17"/>
      <c r="AV240" s="17"/>
      <c r="AW240" s="17"/>
      <c r="AX240" s="16"/>
    </row>
    <row r="241" spans="1:50">
      <c r="A241" s="4">
        <v>215</v>
      </c>
      <c r="B241" s="11" t="s">
        <v>88</v>
      </c>
      <c r="C241" s="12"/>
      <c r="D241" s="12" t="s">
        <v>2151</v>
      </c>
      <c r="E241" s="12" t="s">
        <v>2152</v>
      </c>
      <c r="F241" s="18" t="s">
        <v>2153</v>
      </c>
      <c r="G241" s="34" t="s">
        <v>541</v>
      </c>
      <c r="H241" s="12"/>
      <c r="I241" s="12" t="s">
        <v>2084</v>
      </c>
      <c r="J241" s="14"/>
      <c r="K241" s="27">
        <v>0</v>
      </c>
      <c r="L241" s="10"/>
      <c r="M241" s="12" t="s">
        <v>1461</v>
      </c>
      <c r="N241" s="12" t="s">
        <v>1462</v>
      </c>
      <c r="O241" s="8">
        <f>SUM(P241:AW241)</f>
        <v>0</v>
      </c>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c r="AM241" s="17"/>
      <c r="AN241" s="17"/>
      <c r="AO241" s="17"/>
      <c r="AP241" s="17"/>
      <c r="AQ241" s="17"/>
      <c r="AR241" s="17"/>
      <c r="AS241" s="17"/>
      <c r="AT241" s="17"/>
      <c r="AU241" s="17"/>
      <c r="AV241" s="17"/>
      <c r="AW241" s="17"/>
      <c r="AX241" s="16"/>
    </row>
    <row r="242" spans="1:50">
      <c r="A242" s="4">
        <v>216</v>
      </c>
      <c r="B242" s="11" t="s">
        <v>88</v>
      </c>
      <c r="C242" s="12"/>
      <c r="D242" s="12" t="s">
        <v>2154</v>
      </c>
      <c r="E242" s="12" t="s">
        <v>2155</v>
      </c>
      <c r="F242" s="18" t="s">
        <v>2156</v>
      </c>
      <c r="G242" s="34" t="s">
        <v>541</v>
      </c>
      <c r="H242" s="12"/>
      <c r="I242" s="12" t="s">
        <v>2157</v>
      </c>
      <c r="J242" s="14"/>
      <c r="K242" s="27">
        <v>0</v>
      </c>
      <c r="L242" s="10"/>
      <c r="M242" s="12" t="s">
        <v>1461</v>
      </c>
      <c r="N242" s="12" t="s">
        <v>1462</v>
      </c>
      <c r="O242" s="8">
        <f>SUM(P242:AW242)</f>
        <v>0</v>
      </c>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c r="AR242" s="17"/>
      <c r="AS242" s="17"/>
      <c r="AT242" s="17"/>
      <c r="AU242" s="17"/>
      <c r="AV242" s="17"/>
      <c r="AW242" s="17"/>
      <c r="AX242" s="16"/>
    </row>
    <row r="243" spans="1:50">
      <c r="A243" s="4">
        <v>217</v>
      </c>
      <c r="B243" s="11" t="s">
        <v>88</v>
      </c>
      <c r="C243" s="12"/>
      <c r="D243" s="12" t="s">
        <v>2158</v>
      </c>
      <c r="E243" s="12" t="s">
        <v>2121</v>
      </c>
      <c r="F243" s="18" t="s">
        <v>1847</v>
      </c>
      <c r="G243" s="34" t="s">
        <v>541</v>
      </c>
      <c r="H243" s="12"/>
      <c r="I243" s="12" t="s">
        <v>2017</v>
      </c>
      <c r="J243" s="14"/>
      <c r="K243" s="27">
        <v>0</v>
      </c>
      <c r="L243" s="10"/>
      <c r="M243" s="12" t="s">
        <v>1461</v>
      </c>
      <c r="N243" s="12" t="s">
        <v>1462</v>
      </c>
      <c r="O243" s="8">
        <f>SUM(P243:AW243)</f>
        <v>0</v>
      </c>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c r="AO243" s="17"/>
      <c r="AP243" s="17"/>
      <c r="AQ243" s="17"/>
      <c r="AR243" s="17"/>
      <c r="AS243" s="17"/>
      <c r="AT243" s="17"/>
      <c r="AU243" s="17"/>
      <c r="AV243" s="17"/>
      <c r="AW243" s="17"/>
      <c r="AX243" s="16"/>
    </row>
    <row r="244" spans="1:50">
      <c r="A244" s="4">
        <v>218</v>
      </c>
      <c r="B244" s="11" t="s">
        <v>88</v>
      </c>
      <c r="C244" s="12"/>
      <c r="D244" s="12" t="s">
        <v>2159</v>
      </c>
      <c r="E244" s="12" t="s">
        <v>2121</v>
      </c>
      <c r="F244" s="18" t="s">
        <v>1850</v>
      </c>
      <c r="G244" s="34" t="s">
        <v>541</v>
      </c>
      <c r="H244" s="12"/>
      <c r="I244" s="12" t="s">
        <v>2160</v>
      </c>
      <c r="J244" s="14"/>
      <c r="K244" s="27">
        <v>0</v>
      </c>
      <c r="L244" s="10"/>
      <c r="M244" s="12" t="s">
        <v>1461</v>
      </c>
      <c r="N244" s="12" t="s">
        <v>1462</v>
      </c>
      <c r="O244" s="8">
        <f>SUM(P244:AW244)</f>
        <v>0</v>
      </c>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c r="AM244" s="17"/>
      <c r="AN244" s="17"/>
      <c r="AO244" s="17"/>
      <c r="AP244" s="17"/>
      <c r="AQ244" s="17"/>
      <c r="AR244" s="17"/>
      <c r="AS244" s="17"/>
      <c r="AT244" s="17"/>
      <c r="AU244" s="17"/>
      <c r="AV244" s="17"/>
      <c r="AW244" s="17"/>
      <c r="AX244" s="16"/>
    </row>
    <row r="245" spans="1:50">
      <c r="A245" s="4">
        <v>219</v>
      </c>
      <c r="B245" s="11" t="s">
        <v>88</v>
      </c>
      <c r="C245" s="12"/>
      <c r="D245" s="12" t="s">
        <v>2161</v>
      </c>
      <c r="E245" s="12" t="s">
        <v>2123</v>
      </c>
      <c r="F245" s="18" t="s">
        <v>1847</v>
      </c>
      <c r="G245" s="34" t="s">
        <v>541</v>
      </c>
      <c r="H245" s="12"/>
      <c r="I245" s="12" t="s">
        <v>2021</v>
      </c>
      <c r="J245" s="14"/>
      <c r="K245" s="27">
        <v>0</v>
      </c>
      <c r="L245" s="10"/>
      <c r="M245" s="12" t="s">
        <v>1461</v>
      </c>
      <c r="N245" s="12" t="s">
        <v>1462</v>
      </c>
      <c r="O245" s="8">
        <f>SUM(P245:AW245)</f>
        <v>0</v>
      </c>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c r="AM245" s="17"/>
      <c r="AN245" s="17"/>
      <c r="AO245" s="17"/>
      <c r="AP245" s="17"/>
      <c r="AQ245" s="17"/>
      <c r="AR245" s="17"/>
      <c r="AS245" s="17"/>
      <c r="AT245" s="17"/>
      <c r="AU245" s="17"/>
      <c r="AV245" s="17"/>
      <c r="AW245" s="17"/>
      <c r="AX245" s="16"/>
    </row>
    <row r="246" spans="1:50">
      <c r="A246" s="4">
        <v>220</v>
      </c>
      <c r="B246" s="11" t="s">
        <v>88</v>
      </c>
      <c r="C246" s="12"/>
      <c r="D246" s="12" t="s">
        <v>2162</v>
      </c>
      <c r="E246" s="12" t="s">
        <v>2123</v>
      </c>
      <c r="F246" s="18" t="s">
        <v>1850</v>
      </c>
      <c r="G246" s="34" t="s">
        <v>541</v>
      </c>
      <c r="H246" s="12"/>
      <c r="I246" s="12" t="s">
        <v>2163</v>
      </c>
      <c r="J246" s="14"/>
      <c r="K246" s="27">
        <v>0</v>
      </c>
      <c r="L246" s="10"/>
      <c r="M246" s="12" t="s">
        <v>1461</v>
      </c>
      <c r="N246" s="12" t="s">
        <v>1462</v>
      </c>
      <c r="O246" s="8">
        <f>SUM(P246:AW246)</f>
        <v>0</v>
      </c>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c r="AM246" s="17"/>
      <c r="AN246" s="17"/>
      <c r="AO246" s="17"/>
      <c r="AP246" s="17"/>
      <c r="AQ246" s="17"/>
      <c r="AR246" s="17"/>
      <c r="AS246" s="17"/>
      <c r="AT246" s="17"/>
      <c r="AU246" s="17"/>
      <c r="AV246" s="17"/>
      <c r="AW246" s="17"/>
      <c r="AX246" s="16"/>
    </row>
    <row r="247" spans="1:50">
      <c r="A247" s="4">
        <v>221</v>
      </c>
      <c r="B247" s="11" t="s">
        <v>88</v>
      </c>
      <c r="C247" s="12"/>
      <c r="D247" s="12" t="s">
        <v>2164</v>
      </c>
      <c r="E247" s="12" t="s">
        <v>2165</v>
      </c>
      <c r="F247" s="18" t="s">
        <v>2166</v>
      </c>
      <c r="G247" s="34" t="s">
        <v>541</v>
      </c>
      <c r="H247" s="12"/>
      <c r="I247" s="12" t="s">
        <v>2028</v>
      </c>
      <c r="J247" s="14"/>
      <c r="K247" s="27">
        <v>0</v>
      </c>
      <c r="L247" s="10"/>
      <c r="M247" s="12" t="s">
        <v>1461</v>
      </c>
      <c r="N247" s="12" t="s">
        <v>1462</v>
      </c>
      <c r="O247" s="8">
        <f>SUM(P247:AW247)</f>
        <v>0</v>
      </c>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c r="AM247" s="17"/>
      <c r="AN247" s="17"/>
      <c r="AO247" s="17"/>
      <c r="AP247" s="17"/>
      <c r="AQ247" s="17"/>
      <c r="AR247" s="17"/>
      <c r="AS247" s="17"/>
      <c r="AT247" s="17"/>
      <c r="AU247" s="17"/>
      <c r="AV247" s="17"/>
      <c r="AW247" s="17"/>
      <c r="AX247" s="16"/>
    </row>
    <row r="248" spans="1:50" ht="38.25">
      <c r="A248" s="4">
        <v>222</v>
      </c>
      <c r="B248" s="11" t="s">
        <v>88</v>
      </c>
      <c r="C248" s="12"/>
      <c r="D248" s="12" t="s">
        <v>2167</v>
      </c>
      <c r="E248" s="12" t="s">
        <v>2165</v>
      </c>
      <c r="F248" s="106" t="s">
        <v>2168</v>
      </c>
      <c r="G248" s="34" t="s">
        <v>541</v>
      </c>
      <c r="H248" s="12"/>
      <c r="I248" s="12" t="s">
        <v>2028</v>
      </c>
      <c r="J248" s="12" t="s">
        <v>2029</v>
      </c>
      <c r="K248" s="27">
        <v>0</v>
      </c>
      <c r="L248" s="10"/>
      <c r="M248" s="12" t="s">
        <v>1461</v>
      </c>
      <c r="N248" s="12" t="s">
        <v>1462</v>
      </c>
      <c r="O248" s="8">
        <f>SUM(P248:AW248)</f>
        <v>0</v>
      </c>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c r="AO248" s="17"/>
      <c r="AP248" s="17"/>
      <c r="AQ248" s="17"/>
      <c r="AR248" s="17"/>
      <c r="AS248" s="17"/>
      <c r="AT248" s="17"/>
      <c r="AU248" s="17"/>
      <c r="AV248" s="17"/>
      <c r="AW248" s="17"/>
      <c r="AX248" s="16"/>
    </row>
    <row r="249" spans="1:50">
      <c r="A249" s="4">
        <v>223</v>
      </c>
      <c r="B249" s="11" t="s">
        <v>88</v>
      </c>
      <c r="C249" s="12"/>
      <c r="D249" s="12" t="s">
        <v>2169</v>
      </c>
      <c r="E249" s="12" t="s">
        <v>2170</v>
      </c>
      <c r="F249" s="18" t="s">
        <v>1888</v>
      </c>
      <c r="G249" s="34" t="s">
        <v>541</v>
      </c>
      <c r="H249" s="12"/>
      <c r="I249" s="12" t="s">
        <v>2171</v>
      </c>
      <c r="J249" s="14"/>
      <c r="K249" s="27">
        <v>0</v>
      </c>
      <c r="L249" s="10"/>
      <c r="M249" s="12" t="s">
        <v>1461</v>
      </c>
      <c r="N249" s="12" t="s">
        <v>1462</v>
      </c>
      <c r="O249" s="8">
        <f>SUM(P249:AW249)</f>
        <v>0</v>
      </c>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c r="AO249" s="17"/>
      <c r="AP249" s="17"/>
      <c r="AQ249" s="17"/>
      <c r="AR249" s="17"/>
      <c r="AS249" s="17"/>
      <c r="AT249" s="17"/>
      <c r="AU249" s="17"/>
      <c r="AV249" s="17"/>
      <c r="AW249" s="17"/>
      <c r="AX249" s="16"/>
    </row>
    <row r="250" spans="1:50">
      <c r="A250" s="4">
        <v>224</v>
      </c>
      <c r="B250" s="11" t="s">
        <v>88</v>
      </c>
      <c r="C250" s="12"/>
      <c r="D250" s="12" t="s">
        <v>2172</v>
      </c>
      <c r="E250" s="12" t="s">
        <v>2173</v>
      </c>
      <c r="F250" s="18" t="s">
        <v>2174</v>
      </c>
      <c r="G250" s="34" t="s">
        <v>541</v>
      </c>
      <c r="H250" s="12"/>
      <c r="I250" s="12" t="s">
        <v>2175</v>
      </c>
      <c r="J250" s="14"/>
      <c r="K250" s="27">
        <v>0</v>
      </c>
      <c r="L250" s="10"/>
      <c r="M250" s="12" t="s">
        <v>1461</v>
      </c>
      <c r="N250" s="12" t="s">
        <v>1462</v>
      </c>
      <c r="O250" s="8">
        <f>SUM(P250:AW250)</f>
        <v>0</v>
      </c>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c r="AO250" s="17"/>
      <c r="AP250" s="17"/>
      <c r="AQ250" s="17"/>
      <c r="AR250" s="17"/>
      <c r="AS250" s="17"/>
      <c r="AT250" s="17"/>
      <c r="AU250" s="17"/>
      <c r="AV250" s="17"/>
      <c r="AW250" s="17"/>
      <c r="AX250" s="16"/>
    </row>
    <row r="251" spans="1:50">
      <c r="A251" s="4">
        <v>230</v>
      </c>
      <c r="B251" s="11" t="s">
        <v>88</v>
      </c>
      <c r="C251" s="12"/>
      <c r="D251" s="12" t="s">
        <v>2172</v>
      </c>
      <c r="E251" s="12" t="s">
        <v>2176</v>
      </c>
      <c r="F251" s="18" t="s">
        <v>2177</v>
      </c>
      <c r="G251" s="34" t="s">
        <v>541</v>
      </c>
      <c r="H251" s="12"/>
      <c r="I251" s="12" t="s">
        <v>2178</v>
      </c>
      <c r="J251" s="14"/>
      <c r="K251" s="27">
        <v>0</v>
      </c>
      <c r="L251" s="10"/>
      <c r="M251" s="12" t="s">
        <v>1461</v>
      </c>
      <c r="N251" s="12" t="s">
        <v>1462</v>
      </c>
      <c r="O251" s="8">
        <f>SUM(P251:AW251)</f>
        <v>0</v>
      </c>
      <c r="P251" s="17"/>
      <c r="Q251" s="17"/>
      <c r="R251" s="17"/>
      <c r="S251" s="17"/>
      <c r="T251" s="17"/>
      <c r="U251" s="17"/>
      <c r="V251" s="17"/>
      <c r="W251" s="17"/>
      <c r="X251" s="17"/>
      <c r="Y251" s="17"/>
      <c r="Z251" s="17"/>
      <c r="AA251" s="17"/>
      <c r="AB251" s="17"/>
      <c r="AC251" s="17"/>
      <c r="AD251" s="17"/>
      <c r="AE251" s="17"/>
      <c r="AF251" s="52"/>
      <c r="AG251" s="52"/>
      <c r="AH251" s="52"/>
      <c r="AI251" s="52"/>
      <c r="AJ251" s="52"/>
      <c r="AK251" s="52"/>
      <c r="AL251" s="52"/>
      <c r="AM251" s="52"/>
      <c r="AN251" s="52"/>
      <c r="AO251" s="52"/>
      <c r="AP251" s="52"/>
      <c r="AQ251" s="52"/>
      <c r="AR251" s="52"/>
      <c r="AS251" s="52"/>
      <c r="AT251" s="52"/>
      <c r="AU251" s="52"/>
      <c r="AV251" s="52"/>
      <c r="AW251" s="52"/>
      <c r="AX251" s="14"/>
    </row>
    <row r="252" spans="1:50">
      <c r="A252" s="4">
        <v>231</v>
      </c>
      <c r="B252" s="11" t="s">
        <v>88</v>
      </c>
      <c r="C252" s="12"/>
      <c r="D252" s="12" t="s">
        <v>2179</v>
      </c>
      <c r="E252" s="12" t="s">
        <v>2180</v>
      </c>
      <c r="F252" s="18" t="s">
        <v>2181</v>
      </c>
      <c r="G252" s="34" t="s">
        <v>541</v>
      </c>
      <c r="H252" s="12"/>
      <c r="I252" s="12" t="s">
        <v>2182</v>
      </c>
      <c r="J252" s="14"/>
      <c r="K252" s="27">
        <v>0</v>
      </c>
      <c r="L252" s="10"/>
      <c r="M252" s="12" t="s">
        <v>1461</v>
      </c>
      <c r="N252" s="12" t="s">
        <v>1462</v>
      </c>
      <c r="O252" s="8">
        <f>SUM(P252:AW252)</f>
        <v>0</v>
      </c>
      <c r="P252" s="17"/>
      <c r="Q252" s="17"/>
      <c r="R252" s="17"/>
      <c r="S252" s="17"/>
      <c r="T252" s="17"/>
      <c r="U252" s="17"/>
      <c r="V252" s="17"/>
      <c r="W252" s="17"/>
      <c r="X252" s="17"/>
      <c r="Y252" s="17"/>
      <c r="Z252" s="17"/>
      <c r="AA252" s="17"/>
      <c r="AB252" s="17"/>
      <c r="AC252" s="17"/>
      <c r="AD252" s="17"/>
      <c r="AE252" s="17"/>
      <c r="AF252" s="52"/>
      <c r="AG252" s="52"/>
      <c r="AH252" s="52"/>
      <c r="AI252" s="52"/>
      <c r="AJ252" s="52"/>
      <c r="AK252" s="52"/>
      <c r="AL252" s="52"/>
      <c r="AM252" s="52"/>
      <c r="AN252" s="52"/>
      <c r="AO252" s="52"/>
      <c r="AP252" s="52"/>
      <c r="AQ252" s="52"/>
      <c r="AR252" s="52"/>
      <c r="AS252" s="52"/>
      <c r="AT252" s="52"/>
      <c r="AU252" s="52"/>
      <c r="AV252" s="52"/>
      <c r="AW252" s="52"/>
      <c r="AX252" s="14"/>
    </row>
    <row r="253" spans="1:50">
      <c r="A253" s="4">
        <v>227</v>
      </c>
      <c r="B253" s="11" t="s">
        <v>88</v>
      </c>
      <c r="C253" s="12"/>
      <c r="D253" s="12" t="s">
        <v>2179</v>
      </c>
      <c r="E253" s="12" t="s">
        <v>2183</v>
      </c>
      <c r="F253" s="18" t="s">
        <v>2184</v>
      </c>
      <c r="G253" s="34" t="s">
        <v>541</v>
      </c>
      <c r="H253" s="12"/>
      <c r="I253" s="12" t="s">
        <v>2185</v>
      </c>
      <c r="J253" s="14"/>
      <c r="K253" s="27">
        <v>0</v>
      </c>
      <c r="L253" s="10"/>
      <c r="M253" s="12" t="s">
        <v>1461</v>
      </c>
      <c r="N253" s="12" t="s">
        <v>1462</v>
      </c>
      <c r="O253" s="8">
        <f>SUM(P253:AW253)</f>
        <v>0</v>
      </c>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c r="AO253" s="17"/>
      <c r="AP253" s="17"/>
      <c r="AQ253" s="17"/>
      <c r="AR253" s="17"/>
      <c r="AS253" s="17"/>
      <c r="AT253" s="17"/>
      <c r="AU253" s="17"/>
      <c r="AV253" s="17"/>
      <c r="AW253" s="17"/>
      <c r="AX253" s="16"/>
    </row>
    <row r="254" spans="1:50">
      <c r="A254" s="4">
        <v>228</v>
      </c>
      <c r="B254" s="11" t="s">
        <v>88</v>
      </c>
      <c r="C254" s="12"/>
      <c r="D254" s="12" t="s">
        <v>2186</v>
      </c>
      <c r="E254" s="12" t="s">
        <v>2187</v>
      </c>
      <c r="F254" s="18" t="s">
        <v>2188</v>
      </c>
      <c r="G254" s="34" t="s">
        <v>541</v>
      </c>
      <c r="H254" s="12"/>
      <c r="I254" s="12" t="s">
        <v>2189</v>
      </c>
      <c r="J254" s="14"/>
      <c r="K254" s="27">
        <v>0</v>
      </c>
      <c r="L254" s="10"/>
      <c r="M254" s="12" t="s">
        <v>1461</v>
      </c>
      <c r="N254" s="12" t="s">
        <v>1462</v>
      </c>
      <c r="O254" s="8">
        <f>SUM(P254:AW254)</f>
        <v>0</v>
      </c>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c r="AO254" s="17"/>
      <c r="AP254" s="17"/>
      <c r="AQ254" s="17"/>
      <c r="AR254" s="17"/>
      <c r="AS254" s="17"/>
      <c r="AT254" s="17"/>
      <c r="AU254" s="17"/>
      <c r="AV254" s="17"/>
      <c r="AW254" s="17"/>
      <c r="AX254" s="16"/>
    </row>
    <row r="255" spans="1:50">
      <c r="A255" s="4">
        <v>229</v>
      </c>
      <c r="B255" s="11" t="s">
        <v>88</v>
      </c>
      <c r="C255" s="12"/>
      <c r="D255" s="12" t="s">
        <v>2190</v>
      </c>
      <c r="E255" s="12" t="s">
        <v>2191</v>
      </c>
      <c r="F255" s="18" t="s">
        <v>1847</v>
      </c>
      <c r="G255" s="34" t="s">
        <v>541</v>
      </c>
      <c r="H255" s="12"/>
      <c r="I255" s="12" t="s">
        <v>2017</v>
      </c>
      <c r="J255" s="14"/>
      <c r="K255" s="27">
        <v>0</v>
      </c>
      <c r="L255" s="10"/>
      <c r="M255" s="12" t="s">
        <v>1461</v>
      </c>
      <c r="N255" s="12" t="s">
        <v>1462</v>
      </c>
      <c r="O255" s="8">
        <f>SUM(P255:AW255)</f>
        <v>0</v>
      </c>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c r="AO255" s="17"/>
      <c r="AP255" s="17"/>
      <c r="AQ255" s="17"/>
      <c r="AR255" s="17"/>
      <c r="AS255" s="17"/>
      <c r="AT255" s="17"/>
      <c r="AU255" s="17"/>
      <c r="AV255" s="17"/>
      <c r="AW255" s="17"/>
      <c r="AX255" s="16"/>
    </row>
    <row r="256" spans="1:50">
      <c r="A256" s="4"/>
      <c r="B256" s="11" t="s">
        <v>88</v>
      </c>
      <c r="C256" s="12"/>
      <c r="D256" s="12" t="s">
        <v>2192</v>
      </c>
      <c r="E256" s="12" t="s">
        <v>2193</v>
      </c>
      <c r="F256" s="18" t="s">
        <v>2194</v>
      </c>
      <c r="G256" s="34"/>
      <c r="H256" s="12" t="s">
        <v>2195</v>
      </c>
      <c r="I256" s="12" t="s">
        <v>2017</v>
      </c>
      <c r="J256" s="14"/>
      <c r="K256" s="27"/>
      <c r="L256" s="10"/>
      <c r="M256" s="12" t="s">
        <v>1795</v>
      </c>
      <c r="N256" s="12" t="s">
        <v>1462</v>
      </c>
      <c r="O256" s="8">
        <f>SUM(P256:AW256)</f>
        <v>0</v>
      </c>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c r="AO256" s="17"/>
      <c r="AP256" s="17"/>
      <c r="AQ256" s="17"/>
      <c r="AR256" s="17"/>
      <c r="AS256" s="17"/>
      <c r="AT256" s="17"/>
      <c r="AU256" s="17"/>
      <c r="AV256" s="17"/>
      <c r="AW256" s="17"/>
      <c r="AX256" s="16"/>
    </row>
    <row r="257" spans="1:50">
      <c r="A257" s="4">
        <v>230</v>
      </c>
      <c r="B257" s="5" t="s">
        <v>88</v>
      </c>
      <c r="C257" s="6"/>
      <c r="D257" s="35" t="s">
        <v>2196</v>
      </c>
      <c r="E257" s="35" t="s">
        <v>2197</v>
      </c>
      <c r="F257" s="7"/>
      <c r="G257" s="9"/>
      <c r="H257" s="9"/>
      <c r="I257" s="9"/>
      <c r="J257" s="9"/>
      <c r="K257" s="20">
        <v>0</v>
      </c>
      <c r="L257" s="4"/>
      <c r="M257" s="9" t="s">
        <v>1461</v>
      </c>
      <c r="N257" s="9"/>
      <c r="O257" s="8">
        <f>SUM(P257:AW257)</f>
        <v>0</v>
      </c>
      <c r="P257" s="8"/>
      <c r="Q257" s="8"/>
      <c r="R257" s="8"/>
      <c r="S257" s="8"/>
      <c r="T257" s="8"/>
      <c r="U257" s="8"/>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c r="AR257" s="17"/>
      <c r="AS257" s="8"/>
      <c r="AT257" s="8"/>
      <c r="AU257" s="8"/>
      <c r="AV257" s="8"/>
      <c r="AW257" s="8"/>
      <c r="AX257" s="16"/>
    </row>
    <row r="258" spans="1:50">
      <c r="A258" s="4">
        <v>231</v>
      </c>
      <c r="B258" s="11" t="s">
        <v>88</v>
      </c>
      <c r="C258" s="12"/>
      <c r="D258" s="12" t="s">
        <v>2198</v>
      </c>
      <c r="E258" s="12" t="s">
        <v>2199</v>
      </c>
      <c r="F258" s="18" t="s">
        <v>1820</v>
      </c>
      <c r="G258" s="34" t="s">
        <v>541</v>
      </c>
      <c r="H258" s="12" t="s">
        <v>2200</v>
      </c>
      <c r="I258" s="12" t="s">
        <v>2201</v>
      </c>
      <c r="J258" s="14"/>
      <c r="K258" s="27">
        <v>0</v>
      </c>
      <c r="L258" s="10"/>
      <c r="M258" s="12" t="s">
        <v>1461</v>
      </c>
      <c r="N258" s="12" t="s">
        <v>1462</v>
      </c>
      <c r="O258" s="8">
        <f>SUM(P258:AW258)</f>
        <v>0</v>
      </c>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c r="AO258" s="17"/>
      <c r="AP258" s="17"/>
      <c r="AQ258" s="17"/>
      <c r="AR258" s="17"/>
      <c r="AS258" s="17"/>
      <c r="AT258" s="17"/>
      <c r="AU258" s="17"/>
      <c r="AV258" s="17"/>
      <c r="AW258" s="17"/>
      <c r="AX258" s="16"/>
    </row>
    <row r="259" spans="1:50">
      <c r="A259" s="4">
        <v>232</v>
      </c>
      <c r="B259" s="11" t="s">
        <v>88</v>
      </c>
      <c r="C259" s="12"/>
      <c r="D259" s="12" t="s">
        <v>2202</v>
      </c>
      <c r="E259" s="12" t="s">
        <v>2203</v>
      </c>
      <c r="F259" s="18" t="s">
        <v>1824</v>
      </c>
      <c r="G259" s="34" t="s">
        <v>541</v>
      </c>
      <c r="H259" s="12" t="s">
        <v>2204</v>
      </c>
      <c r="I259" s="12" t="s">
        <v>2205</v>
      </c>
      <c r="J259" s="14"/>
      <c r="K259" s="27">
        <v>0</v>
      </c>
      <c r="L259" s="10"/>
      <c r="M259" s="12" t="s">
        <v>1461</v>
      </c>
      <c r="N259" s="12" t="s">
        <v>1462</v>
      </c>
      <c r="O259" s="8">
        <f>SUM(P259:AW259)</f>
        <v>0</v>
      </c>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c r="AO259" s="17"/>
      <c r="AP259" s="17"/>
      <c r="AQ259" s="17"/>
      <c r="AR259" s="17"/>
      <c r="AS259" s="17"/>
      <c r="AT259" s="17"/>
      <c r="AU259" s="17"/>
      <c r="AV259" s="17"/>
      <c r="AW259" s="17"/>
      <c r="AX259" s="16"/>
    </row>
    <row r="260" spans="1:50">
      <c r="A260" s="4">
        <v>233</v>
      </c>
      <c r="B260" s="11" t="s">
        <v>88</v>
      </c>
      <c r="C260" s="12"/>
      <c r="D260" s="12" t="s">
        <v>2206</v>
      </c>
      <c r="E260" s="12" t="s">
        <v>2207</v>
      </c>
      <c r="F260" s="18" t="s">
        <v>2136</v>
      </c>
      <c r="G260" s="34" t="s">
        <v>541</v>
      </c>
      <c r="H260" s="12" t="s">
        <v>2208</v>
      </c>
      <c r="I260" s="12" t="s">
        <v>2048</v>
      </c>
      <c r="J260" s="14"/>
      <c r="K260" s="27">
        <v>0</v>
      </c>
      <c r="L260" s="10"/>
      <c r="M260" s="12" t="s">
        <v>1461</v>
      </c>
      <c r="N260" s="12" t="s">
        <v>1462</v>
      </c>
      <c r="O260" s="8">
        <f>SUM(P260:AW260)</f>
        <v>0</v>
      </c>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c r="AO260" s="17"/>
      <c r="AP260" s="17"/>
      <c r="AQ260" s="17"/>
      <c r="AR260" s="17"/>
      <c r="AS260" s="17"/>
      <c r="AT260" s="17"/>
      <c r="AU260" s="17"/>
      <c r="AV260" s="17"/>
      <c r="AW260" s="17"/>
      <c r="AX260" s="16"/>
    </row>
    <row r="261" spans="1:50">
      <c r="A261" s="4">
        <v>234</v>
      </c>
      <c r="B261" s="11" t="s">
        <v>88</v>
      </c>
      <c r="C261" s="12"/>
      <c r="D261" s="12" t="s">
        <v>2209</v>
      </c>
      <c r="E261" s="12" t="s">
        <v>2210</v>
      </c>
      <c r="F261" s="18" t="s">
        <v>2211</v>
      </c>
      <c r="G261" s="34" t="s">
        <v>541</v>
      </c>
      <c r="H261" s="12" t="s">
        <v>2212</v>
      </c>
      <c r="I261" s="12" t="s">
        <v>2213</v>
      </c>
      <c r="J261" s="14"/>
      <c r="K261" s="27">
        <v>0</v>
      </c>
      <c r="L261" s="10"/>
      <c r="M261" s="12" t="s">
        <v>1461</v>
      </c>
      <c r="N261" s="12" t="s">
        <v>1462</v>
      </c>
      <c r="O261" s="8">
        <f>SUM(P261:AW261)</f>
        <v>0</v>
      </c>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c r="AW261" s="17"/>
      <c r="AX261" s="16"/>
    </row>
    <row r="262" spans="1:50">
      <c r="A262" s="4">
        <v>235</v>
      </c>
      <c r="B262" s="11" t="s">
        <v>88</v>
      </c>
      <c r="C262" s="12"/>
      <c r="D262" s="12" t="s">
        <v>2214</v>
      </c>
      <c r="E262" s="12" t="s">
        <v>2215</v>
      </c>
      <c r="F262" s="18" t="s">
        <v>2090</v>
      </c>
      <c r="G262" s="34" t="s">
        <v>541</v>
      </c>
      <c r="H262" s="12" t="s">
        <v>2216</v>
      </c>
      <c r="I262" s="12" t="s">
        <v>2091</v>
      </c>
      <c r="J262" s="14"/>
      <c r="K262" s="27">
        <v>0</v>
      </c>
      <c r="L262" s="10"/>
      <c r="M262" s="12" t="s">
        <v>1461</v>
      </c>
      <c r="N262" s="12" t="s">
        <v>1462</v>
      </c>
      <c r="O262" s="8">
        <f>SUM(P262:AW262)</f>
        <v>0</v>
      </c>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c r="AM262" s="17"/>
      <c r="AN262" s="17"/>
      <c r="AO262" s="17"/>
      <c r="AP262" s="17"/>
      <c r="AQ262" s="17"/>
      <c r="AR262" s="17"/>
      <c r="AS262" s="17"/>
      <c r="AT262" s="17"/>
      <c r="AU262" s="17"/>
      <c r="AV262" s="17"/>
      <c r="AW262" s="17"/>
      <c r="AX262" s="16"/>
    </row>
    <row r="263" spans="1:50">
      <c r="A263" s="4">
        <v>236</v>
      </c>
      <c r="B263" s="11" t="s">
        <v>88</v>
      </c>
      <c r="C263" s="12"/>
      <c r="D263" s="12" t="s">
        <v>2217</v>
      </c>
      <c r="E263" s="12" t="s">
        <v>2218</v>
      </c>
      <c r="F263" s="18" t="s">
        <v>2219</v>
      </c>
      <c r="G263" s="34" t="s">
        <v>541</v>
      </c>
      <c r="H263" s="12" t="s">
        <v>2220</v>
      </c>
      <c r="I263" s="12" t="s">
        <v>2221</v>
      </c>
      <c r="J263" s="14"/>
      <c r="K263" s="27">
        <v>0</v>
      </c>
      <c r="L263" s="10"/>
      <c r="M263" s="12" t="s">
        <v>1461</v>
      </c>
      <c r="N263" s="12" t="s">
        <v>1462</v>
      </c>
      <c r="O263" s="8">
        <f>SUM(P263:AW263)</f>
        <v>0</v>
      </c>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c r="AO263" s="17"/>
      <c r="AP263" s="17"/>
      <c r="AQ263" s="17"/>
      <c r="AR263" s="17"/>
      <c r="AS263" s="17"/>
      <c r="AT263" s="17"/>
      <c r="AU263" s="17"/>
      <c r="AV263" s="17"/>
      <c r="AW263" s="17"/>
      <c r="AX263" s="16"/>
    </row>
    <row r="264" spans="1:50">
      <c r="A264" s="4">
        <v>237</v>
      </c>
      <c r="B264" s="11" t="s">
        <v>88</v>
      </c>
      <c r="C264" s="12"/>
      <c r="D264" s="12" t="s">
        <v>2222</v>
      </c>
      <c r="E264" s="12" t="s">
        <v>2223</v>
      </c>
      <c r="F264" s="18" t="s">
        <v>2224</v>
      </c>
      <c r="G264" s="34" t="s">
        <v>541</v>
      </c>
      <c r="H264" s="12" t="s">
        <v>2225</v>
      </c>
      <c r="I264" s="12" t="s">
        <v>2226</v>
      </c>
      <c r="J264" s="14"/>
      <c r="K264" s="27">
        <v>0</v>
      </c>
      <c r="L264" s="10"/>
      <c r="M264" s="12" t="s">
        <v>1461</v>
      </c>
      <c r="N264" s="12" t="s">
        <v>1462</v>
      </c>
      <c r="O264" s="8">
        <f>SUM(P264:AW264)</f>
        <v>0</v>
      </c>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c r="AM264" s="17"/>
      <c r="AN264" s="17"/>
      <c r="AO264" s="17"/>
      <c r="AP264" s="17"/>
      <c r="AQ264" s="17"/>
      <c r="AR264" s="17"/>
      <c r="AS264" s="17"/>
      <c r="AT264" s="17"/>
      <c r="AU264" s="17"/>
      <c r="AV264" s="17"/>
      <c r="AW264" s="17"/>
      <c r="AX264" s="16"/>
    </row>
    <row r="265" spans="1:50">
      <c r="A265" s="4">
        <v>238</v>
      </c>
      <c r="B265" s="11" t="s">
        <v>88</v>
      </c>
      <c r="C265" s="12"/>
      <c r="D265" s="12" t="s">
        <v>2227</v>
      </c>
      <c r="E265" s="12" t="s">
        <v>2228</v>
      </c>
      <c r="F265" s="18" t="s">
        <v>2229</v>
      </c>
      <c r="G265" s="34" t="s">
        <v>541</v>
      </c>
      <c r="H265" s="12" t="s">
        <v>2230</v>
      </c>
      <c r="I265" s="12" t="s">
        <v>2095</v>
      </c>
      <c r="J265" s="14"/>
      <c r="K265" s="27">
        <v>0</v>
      </c>
      <c r="L265" s="10"/>
      <c r="M265" s="12" t="s">
        <v>1461</v>
      </c>
      <c r="N265" s="12" t="s">
        <v>1462</v>
      </c>
      <c r="O265" s="8">
        <f>SUM(P265:AW265)</f>
        <v>0</v>
      </c>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c r="AM265" s="17"/>
      <c r="AN265" s="17"/>
      <c r="AO265" s="17"/>
      <c r="AP265" s="17"/>
      <c r="AQ265" s="17"/>
      <c r="AR265" s="17"/>
      <c r="AS265" s="17"/>
      <c r="AT265" s="17"/>
      <c r="AU265" s="17"/>
      <c r="AV265" s="17"/>
      <c r="AW265" s="17"/>
      <c r="AX265" s="14"/>
    </row>
    <row r="266" spans="1:50">
      <c r="A266" s="4">
        <v>239</v>
      </c>
      <c r="B266" s="11" t="s">
        <v>88</v>
      </c>
      <c r="C266" s="12"/>
      <c r="D266" s="12" t="s">
        <v>2231</v>
      </c>
      <c r="E266" s="12" t="s">
        <v>2232</v>
      </c>
      <c r="F266" s="18" t="s">
        <v>2098</v>
      </c>
      <c r="G266" s="34" t="s">
        <v>541</v>
      </c>
      <c r="H266" s="12" t="s">
        <v>2233</v>
      </c>
      <c r="I266" s="12" t="s">
        <v>2099</v>
      </c>
      <c r="J266" s="14"/>
      <c r="K266" s="27">
        <v>0</v>
      </c>
      <c r="L266" s="10"/>
      <c r="M266" s="12" t="s">
        <v>1461</v>
      </c>
      <c r="N266" s="12" t="s">
        <v>1462</v>
      </c>
      <c r="O266" s="8">
        <f>SUM(P266:AW266)</f>
        <v>0</v>
      </c>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c r="AO266" s="17"/>
      <c r="AP266" s="17"/>
      <c r="AQ266" s="17"/>
      <c r="AR266" s="17"/>
      <c r="AS266" s="17"/>
      <c r="AT266" s="17"/>
      <c r="AU266" s="17"/>
      <c r="AV266" s="17"/>
      <c r="AW266" s="17"/>
      <c r="AX266" s="14"/>
    </row>
    <row r="267" spans="1:50">
      <c r="A267" s="4">
        <v>240</v>
      </c>
      <c r="B267" s="11" t="s">
        <v>88</v>
      </c>
      <c r="C267" s="12"/>
      <c r="D267" s="12" t="s">
        <v>2234</v>
      </c>
      <c r="E267" s="12" t="s">
        <v>2235</v>
      </c>
      <c r="F267" s="18" t="s">
        <v>2102</v>
      </c>
      <c r="G267" s="34" t="s">
        <v>541</v>
      </c>
      <c r="H267" s="12" t="s">
        <v>2236</v>
      </c>
      <c r="I267" s="12" t="s">
        <v>2103</v>
      </c>
      <c r="J267" s="14"/>
      <c r="K267" s="27">
        <v>0</v>
      </c>
      <c r="L267" s="10"/>
      <c r="M267" s="12" t="s">
        <v>1461</v>
      </c>
      <c r="N267" s="12" t="s">
        <v>1462</v>
      </c>
      <c r="O267" s="8">
        <f>SUM(P267:AW267)</f>
        <v>0</v>
      </c>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c r="AO267" s="17"/>
      <c r="AP267" s="17"/>
      <c r="AQ267" s="17"/>
      <c r="AR267" s="17"/>
      <c r="AS267" s="17"/>
      <c r="AT267" s="17"/>
      <c r="AU267" s="17"/>
      <c r="AV267" s="17"/>
      <c r="AW267" s="17"/>
      <c r="AX267" s="14"/>
    </row>
    <row r="268" spans="1:50">
      <c r="A268" s="4">
        <v>241</v>
      </c>
      <c r="B268" s="11" t="s">
        <v>88</v>
      </c>
      <c r="C268" s="12"/>
      <c r="D268" s="12" t="s">
        <v>2237</v>
      </c>
      <c r="E268" s="12" t="s">
        <v>2238</v>
      </c>
      <c r="F268" s="18" t="s">
        <v>2106</v>
      </c>
      <c r="G268" s="34" t="s">
        <v>541</v>
      </c>
      <c r="H268" s="12" t="s">
        <v>2239</v>
      </c>
      <c r="I268" s="12" t="s">
        <v>2107</v>
      </c>
      <c r="J268" s="14"/>
      <c r="K268" s="27">
        <v>0</v>
      </c>
      <c r="L268" s="10"/>
      <c r="M268" s="12" t="s">
        <v>1461</v>
      </c>
      <c r="N268" s="12" t="s">
        <v>1462</v>
      </c>
      <c r="O268" s="8">
        <f>SUM(P268:AW268)</f>
        <v>0</v>
      </c>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c r="AW268" s="17"/>
      <c r="AX268" s="14"/>
    </row>
    <row r="269" spans="1:50">
      <c r="A269" s="4">
        <v>242</v>
      </c>
      <c r="B269" s="11" t="s">
        <v>88</v>
      </c>
      <c r="C269" s="12"/>
      <c r="D269" s="12" t="s">
        <v>2240</v>
      </c>
      <c r="E269" s="12" t="s">
        <v>2241</v>
      </c>
      <c r="F269" s="18" t="s">
        <v>2242</v>
      </c>
      <c r="G269" s="34" t="s">
        <v>541</v>
      </c>
      <c r="H269" s="12" t="s">
        <v>2243</v>
      </c>
      <c r="I269" s="12" t="s">
        <v>2244</v>
      </c>
      <c r="J269" s="14"/>
      <c r="K269" s="27">
        <v>0</v>
      </c>
      <c r="L269" s="10"/>
      <c r="M269" s="12" t="s">
        <v>1461</v>
      </c>
      <c r="N269" s="12" t="s">
        <v>1462</v>
      </c>
      <c r="O269" s="8">
        <f>SUM(P269:AW269)</f>
        <v>0</v>
      </c>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c r="AR269" s="17"/>
      <c r="AS269" s="17"/>
      <c r="AT269" s="17"/>
      <c r="AU269" s="17"/>
      <c r="AV269" s="17"/>
      <c r="AW269" s="17"/>
      <c r="AX269" s="14"/>
    </row>
    <row r="270" spans="1:50">
      <c r="A270" s="4">
        <v>243</v>
      </c>
      <c r="B270" s="11" t="s">
        <v>88</v>
      </c>
      <c r="C270" s="12"/>
      <c r="D270" s="12" t="s">
        <v>2245</v>
      </c>
      <c r="E270" s="12" t="s">
        <v>2246</v>
      </c>
      <c r="F270" s="18" t="s">
        <v>2247</v>
      </c>
      <c r="G270" s="34" t="s">
        <v>541</v>
      </c>
      <c r="H270" s="12" t="s">
        <v>2248</v>
      </c>
      <c r="I270" s="12" t="s">
        <v>2249</v>
      </c>
      <c r="J270" s="14"/>
      <c r="K270" s="27">
        <v>0</v>
      </c>
      <c r="L270" s="10"/>
      <c r="M270" s="12" t="s">
        <v>1461</v>
      </c>
      <c r="N270" s="12" t="s">
        <v>1462</v>
      </c>
      <c r="O270" s="8">
        <f>SUM(P270:AW270)</f>
        <v>0</v>
      </c>
      <c r="P270" s="17"/>
      <c r="Q270" s="17"/>
      <c r="R270" s="17"/>
      <c r="S270" s="17"/>
      <c r="T270" s="17"/>
      <c r="U270" s="17"/>
      <c r="V270" s="17"/>
      <c r="W270" s="17"/>
      <c r="X270" s="17"/>
      <c r="Y270" s="17"/>
      <c r="Z270" s="17"/>
      <c r="AA270" s="17"/>
      <c r="AB270" s="17"/>
      <c r="AC270" s="17"/>
      <c r="AD270" s="17"/>
      <c r="AE270" s="17"/>
      <c r="AF270" s="17"/>
      <c r="AG270" s="17"/>
      <c r="AH270" s="17"/>
      <c r="AI270" s="17"/>
      <c r="AJ270" s="17"/>
      <c r="AK270" s="17"/>
      <c r="AL270" s="17"/>
      <c r="AM270" s="17"/>
      <c r="AN270" s="17"/>
      <c r="AO270" s="17"/>
      <c r="AP270" s="17"/>
      <c r="AQ270" s="17"/>
      <c r="AR270" s="17"/>
      <c r="AS270" s="17"/>
      <c r="AT270" s="17"/>
      <c r="AU270" s="17"/>
      <c r="AV270" s="17"/>
      <c r="AW270" s="17"/>
      <c r="AX270" s="14"/>
    </row>
    <row r="271" spans="1:50">
      <c r="A271" s="4">
        <v>244</v>
      </c>
      <c r="B271" s="11" t="s">
        <v>88</v>
      </c>
      <c r="C271" s="12"/>
      <c r="D271" s="12" t="s">
        <v>2250</v>
      </c>
      <c r="E271" s="12" t="s">
        <v>2251</v>
      </c>
      <c r="F271" s="18" t="s">
        <v>2252</v>
      </c>
      <c r="G271" s="34" t="s">
        <v>541</v>
      </c>
      <c r="H271" s="12" t="s">
        <v>2253</v>
      </c>
      <c r="I271" s="12" t="s">
        <v>2254</v>
      </c>
      <c r="J271" s="14"/>
      <c r="K271" s="27">
        <v>0</v>
      </c>
      <c r="L271" s="10"/>
      <c r="M271" s="12" t="s">
        <v>1461</v>
      </c>
      <c r="N271" s="12" t="s">
        <v>1462</v>
      </c>
      <c r="O271" s="8">
        <f>SUM(P271:AW271)</f>
        <v>0</v>
      </c>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c r="AM271" s="17"/>
      <c r="AN271" s="17"/>
      <c r="AO271" s="17"/>
      <c r="AP271" s="17"/>
      <c r="AQ271" s="17"/>
      <c r="AR271" s="17"/>
      <c r="AS271" s="17"/>
      <c r="AT271" s="17"/>
      <c r="AU271" s="17"/>
      <c r="AV271" s="17"/>
      <c r="AW271" s="17"/>
      <c r="AX271" s="14"/>
    </row>
    <row r="272" spans="1:50" s="43" customFormat="1">
      <c r="A272" s="4">
        <v>245</v>
      </c>
      <c r="B272" s="11" t="s">
        <v>88</v>
      </c>
      <c r="C272" s="12"/>
      <c r="D272" s="12" t="s">
        <v>2255</v>
      </c>
      <c r="E272" s="12" t="s">
        <v>2256</v>
      </c>
      <c r="F272" s="18" t="s">
        <v>2257</v>
      </c>
      <c r="G272" s="34" t="s">
        <v>541</v>
      </c>
      <c r="H272" s="12" t="s">
        <v>2258</v>
      </c>
      <c r="I272" s="12" t="s">
        <v>2259</v>
      </c>
      <c r="J272" s="14"/>
      <c r="K272" s="27">
        <v>0</v>
      </c>
      <c r="L272" s="10"/>
      <c r="M272" s="12" t="s">
        <v>1461</v>
      </c>
      <c r="N272" s="12" t="s">
        <v>1462</v>
      </c>
      <c r="O272" s="8">
        <f>SUM(P272:AW272)</f>
        <v>0</v>
      </c>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c r="AM272" s="17"/>
      <c r="AN272" s="17"/>
      <c r="AO272" s="17"/>
      <c r="AP272" s="17"/>
      <c r="AQ272" s="17"/>
      <c r="AR272" s="17"/>
      <c r="AS272" s="17"/>
      <c r="AT272" s="17"/>
      <c r="AU272" s="17"/>
      <c r="AV272" s="17"/>
      <c r="AW272" s="17"/>
      <c r="AX272" s="14"/>
    </row>
    <row r="273" spans="1:52" s="43" customFormat="1">
      <c r="A273" s="4">
        <v>246</v>
      </c>
      <c r="B273" s="11" t="s">
        <v>88</v>
      </c>
      <c r="C273" s="12"/>
      <c r="D273" s="12" t="s">
        <v>2260</v>
      </c>
      <c r="E273" s="12" t="s">
        <v>2261</v>
      </c>
      <c r="F273" s="18" t="s">
        <v>1888</v>
      </c>
      <c r="G273" s="34" t="s">
        <v>541</v>
      </c>
      <c r="H273" s="12" t="s">
        <v>2262</v>
      </c>
      <c r="I273" s="12" t="s">
        <v>2263</v>
      </c>
      <c r="J273" s="14"/>
      <c r="K273" s="27">
        <v>0</v>
      </c>
      <c r="L273" s="10"/>
      <c r="M273" s="12" t="s">
        <v>1461</v>
      </c>
      <c r="N273" s="12" t="s">
        <v>1462</v>
      </c>
      <c r="O273" s="8">
        <f>SUM(P273:AW273)</f>
        <v>0</v>
      </c>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c r="AM273" s="17"/>
      <c r="AN273" s="17"/>
      <c r="AO273" s="17"/>
      <c r="AP273" s="17"/>
      <c r="AQ273" s="17"/>
      <c r="AR273" s="17"/>
      <c r="AS273" s="17"/>
      <c r="AT273" s="17"/>
      <c r="AU273" s="17"/>
      <c r="AV273" s="17"/>
      <c r="AW273" s="17"/>
      <c r="AX273" s="14"/>
    </row>
    <row r="274" spans="1:52" s="43" customFormat="1">
      <c r="A274" s="4">
        <v>247</v>
      </c>
      <c r="B274" s="11" t="s">
        <v>88</v>
      </c>
      <c r="C274" s="12"/>
      <c r="D274" s="12" t="s">
        <v>2264</v>
      </c>
      <c r="E274" s="12" t="s">
        <v>2265</v>
      </c>
      <c r="F274" s="18" t="s">
        <v>2266</v>
      </c>
      <c r="G274" s="34" t="s">
        <v>541</v>
      </c>
      <c r="H274" s="12" t="s">
        <v>2267</v>
      </c>
      <c r="I274" s="12" t="s">
        <v>2268</v>
      </c>
      <c r="J274" s="14"/>
      <c r="K274" s="27">
        <v>0</v>
      </c>
      <c r="L274" s="10"/>
      <c r="M274" s="12" t="s">
        <v>1461</v>
      </c>
      <c r="N274" s="12" t="s">
        <v>1462</v>
      </c>
      <c r="O274" s="8">
        <f>SUM(P274:AW274)</f>
        <v>0</v>
      </c>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c r="AO274" s="17"/>
      <c r="AP274" s="17"/>
      <c r="AQ274" s="17"/>
      <c r="AR274" s="17"/>
      <c r="AS274" s="17"/>
      <c r="AT274" s="17"/>
      <c r="AU274" s="17"/>
      <c r="AV274" s="17"/>
      <c r="AW274" s="17"/>
      <c r="AX274" s="14"/>
    </row>
    <row r="275" spans="1:52" s="43" customFormat="1">
      <c r="A275" s="4">
        <v>248</v>
      </c>
      <c r="B275" s="11" t="s">
        <v>88</v>
      </c>
      <c r="C275" s="12"/>
      <c r="D275" s="12" t="s">
        <v>2269</v>
      </c>
      <c r="E275" s="12" t="s">
        <v>2270</v>
      </c>
      <c r="F275" s="18" t="s">
        <v>2271</v>
      </c>
      <c r="G275" s="34" t="s">
        <v>541</v>
      </c>
      <c r="H275" s="12" t="s">
        <v>2272</v>
      </c>
      <c r="I275" s="12" t="s">
        <v>2273</v>
      </c>
      <c r="J275" s="14"/>
      <c r="K275" s="27">
        <v>0</v>
      </c>
      <c r="L275" s="10"/>
      <c r="M275" s="12" t="s">
        <v>1461</v>
      </c>
      <c r="N275" s="12" t="s">
        <v>1462</v>
      </c>
      <c r="O275" s="8">
        <f>SUM(P275:AW275)</f>
        <v>0</v>
      </c>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c r="AM275" s="17"/>
      <c r="AN275" s="17"/>
      <c r="AO275" s="17"/>
      <c r="AP275" s="17"/>
      <c r="AQ275" s="17"/>
      <c r="AR275" s="17"/>
      <c r="AS275" s="17"/>
      <c r="AT275" s="17"/>
      <c r="AU275" s="17"/>
      <c r="AV275" s="17"/>
      <c r="AW275" s="17"/>
      <c r="AX275" s="14"/>
    </row>
    <row r="276" spans="1:52" s="43" customFormat="1">
      <c r="A276" s="4">
        <v>249</v>
      </c>
      <c r="B276" s="11" t="s">
        <v>88</v>
      </c>
      <c r="C276" s="12"/>
      <c r="D276" s="12" t="s">
        <v>2274</v>
      </c>
      <c r="E276" s="12" t="s">
        <v>2275</v>
      </c>
      <c r="F276" s="18" t="s">
        <v>2276</v>
      </c>
      <c r="G276" s="34" t="s">
        <v>541</v>
      </c>
      <c r="H276" s="12" t="s">
        <v>2277</v>
      </c>
      <c r="I276" s="12" t="s">
        <v>2278</v>
      </c>
      <c r="J276" s="14"/>
      <c r="K276" s="27">
        <v>0</v>
      </c>
      <c r="L276" s="10"/>
      <c r="M276" s="12" t="s">
        <v>1461</v>
      </c>
      <c r="N276" s="12" t="s">
        <v>1462</v>
      </c>
      <c r="O276" s="8">
        <f>SUM(P276:AW276)</f>
        <v>0</v>
      </c>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c r="AM276" s="17"/>
      <c r="AN276" s="17"/>
      <c r="AO276" s="17"/>
      <c r="AP276" s="17"/>
      <c r="AQ276" s="17"/>
      <c r="AR276" s="17"/>
      <c r="AS276" s="17"/>
      <c r="AT276" s="17"/>
      <c r="AU276" s="17"/>
      <c r="AV276" s="17"/>
      <c r="AW276" s="17"/>
      <c r="AX276" s="14"/>
    </row>
    <row r="277" spans="1:52" s="43" customFormat="1">
      <c r="A277" s="4">
        <v>250</v>
      </c>
      <c r="B277" s="44" t="s">
        <v>88</v>
      </c>
      <c r="C277" s="75"/>
      <c r="D277" s="39" t="s">
        <v>2279</v>
      </c>
      <c r="E277" s="39" t="s">
        <v>2280</v>
      </c>
      <c r="F277" s="45"/>
      <c r="G277" s="75"/>
      <c r="H277" s="75" t="s">
        <v>2279</v>
      </c>
      <c r="I277" s="75"/>
      <c r="J277" s="76"/>
      <c r="K277" s="77"/>
      <c r="L277" s="46"/>
      <c r="M277" s="75" t="s">
        <v>1461</v>
      </c>
      <c r="N277" s="75" t="s">
        <v>1462</v>
      </c>
      <c r="O277" s="8">
        <f>SUM(P277:AW277)</f>
        <v>0</v>
      </c>
      <c r="P277" s="47"/>
      <c r="Q277" s="47"/>
      <c r="R277" s="47"/>
      <c r="S277" s="47"/>
      <c r="T277" s="47"/>
      <c r="U277" s="47"/>
      <c r="V277" s="47"/>
      <c r="W277" s="47"/>
      <c r="X277" s="47"/>
      <c r="Y277" s="47"/>
      <c r="Z277" s="47"/>
      <c r="AA277" s="47"/>
      <c r="AB277" s="47"/>
      <c r="AC277" s="47"/>
      <c r="AD277" s="47"/>
      <c r="AE277" s="47"/>
      <c r="AF277" s="47"/>
      <c r="AG277" s="47"/>
      <c r="AH277" s="47"/>
      <c r="AI277" s="47"/>
      <c r="AJ277" s="47"/>
      <c r="AK277" s="47"/>
      <c r="AL277" s="47"/>
      <c r="AM277" s="47"/>
      <c r="AN277" s="47"/>
      <c r="AO277" s="47"/>
      <c r="AP277" s="47"/>
      <c r="AQ277" s="47"/>
      <c r="AR277" s="47"/>
      <c r="AS277" s="47"/>
      <c r="AT277" s="47"/>
      <c r="AU277" s="47"/>
      <c r="AV277" s="47"/>
      <c r="AW277" s="47"/>
      <c r="AX277" s="75"/>
    </row>
    <row r="278" spans="1:52" s="43" customFormat="1">
      <c r="A278" s="4">
        <v>251</v>
      </c>
      <c r="B278" s="44" t="s">
        <v>88</v>
      </c>
      <c r="C278" s="75"/>
      <c r="D278" s="75" t="s">
        <v>2281</v>
      </c>
      <c r="E278" s="75" t="s">
        <v>2282</v>
      </c>
      <c r="F278" s="45" t="s">
        <v>2283</v>
      </c>
      <c r="G278" s="75"/>
      <c r="H278" s="75" t="s">
        <v>2281</v>
      </c>
      <c r="I278" s="75"/>
      <c r="J278" s="76"/>
      <c r="K278" s="77"/>
      <c r="L278" s="46"/>
      <c r="M278" s="75" t="s">
        <v>1461</v>
      </c>
      <c r="N278" s="75" t="s">
        <v>1462</v>
      </c>
      <c r="O278" s="8">
        <f>SUM(P278:AW278)</f>
        <v>0</v>
      </c>
      <c r="P278" s="47"/>
      <c r="Q278" s="47"/>
      <c r="R278" s="47"/>
      <c r="S278" s="47"/>
      <c r="T278" s="47"/>
      <c r="U278" s="47"/>
      <c r="V278" s="47"/>
      <c r="W278" s="47"/>
      <c r="X278" s="47"/>
      <c r="Y278" s="47"/>
      <c r="Z278" s="47"/>
      <c r="AA278" s="47"/>
      <c r="AB278" s="47"/>
      <c r="AC278" s="47"/>
      <c r="AD278" s="47"/>
      <c r="AE278" s="47"/>
      <c r="AF278" s="47"/>
      <c r="AG278" s="47"/>
      <c r="AH278" s="47"/>
      <c r="AI278" s="47"/>
      <c r="AJ278" s="47"/>
      <c r="AK278" s="47"/>
      <c r="AL278" s="47"/>
      <c r="AM278" s="47"/>
      <c r="AN278" s="47"/>
      <c r="AO278" s="47"/>
      <c r="AP278" s="47"/>
      <c r="AQ278" s="47"/>
      <c r="AR278" s="47"/>
      <c r="AS278" s="47"/>
      <c r="AT278" s="47"/>
      <c r="AU278" s="47"/>
      <c r="AV278" s="47"/>
      <c r="AW278" s="47"/>
      <c r="AX278" s="75"/>
    </row>
    <row r="279" spans="1:52" s="43" customFormat="1" ht="26.45" customHeight="1">
      <c r="A279" s="4">
        <v>252</v>
      </c>
      <c r="B279" s="44" t="s">
        <v>88</v>
      </c>
      <c r="C279" s="75"/>
      <c r="D279" s="75" t="s">
        <v>2284</v>
      </c>
      <c r="E279" s="75" t="s">
        <v>2285</v>
      </c>
      <c r="F279" s="45" t="s">
        <v>2286</v>
      </c>
      <c r="G279" s="75"/>
      <c r="H279" s="75" t="s">
        <v>2284</v>
      </c>
      <c r="I279" s="75"/>
      <c r="J279" s="76"/>
      <c r="K279" s="77"/>
      <c r="L279" s="46"/>
      <c r="M279" s="75" t="s">
        <v>1461</v>
      </c>
      <c r="N279" s="75" t="s">
        <v>1462</v>
      </c>
      <c r="O279" s="8">
        <f>SUM(P279:AW279)</f>
        <v>0</v>
      </c>
      <c r="P279" s="47"/>
      <c r="Q279" s="47"/>
      <c r="R279" s="47"/>
      <c r="S279" s="47"/>
      <c r="T279" s="47"/>
      <c r="U279" s="47"/>
      <c r="V279" s="47"/>
      <c r="W279" s="47"/>
      <c r="X279" s="47"/>
      <c r="Y279" s="47"/>
      <c r="Z279" s="47"/>
      <c r="AA279" s="47"/>
      <c r="AB279" s="47"/>
      <c r="AC279" s="47"/>
      <c r="AD279" s="47"/>
      <c r="AE279" s="47"/>
      <c r="AF279" s="47"/>
      <c r="AG279" s="47"/>
      <c r="AH279" s="47"/>
      <c r="AI279" s="47"/>
      <c r="AJ279" s="47"/>
      <c r="AK279" s="47"/>
      <c r="AL279" s="47"/>
      <c r="AM279" s="47"/>
      <c r="AN279" s="47"/>
      <c r="AO279" s="47"/>
      <c r="AP279" s="47"/>
      <c r="AQ279" s="47"/>
      <c r="AR279" s="47"/>
      <c r="AS279" s="47"/>
      <c r="AT279" s="47"/>
      <c r="AU279" s="47"/>
      <c r="AV279" s="47"/>
      <c r="AW279" s="47"/>
      <c r="AX279" s="75"/>
    </row>
    <row r="280" spans="1:52" s="43" customFormat="1" ht="26.45" customHeight="1">
      <c r="A280" s="4">
        <v>253</v>
      </c>
      <c r="B280" s="44" t="s">
        <v>88</v>
      </c>
      <c r="C280" s="75"/>
      <c r="D280" s="75" t="s">
        <v>2287</v>
      </c>
      <c r="E280" s="75" t="s">
        <v>2288</v>
      </c>
      <c r="F280" s="45" t="s">
        <v>2289</v>
      </c>
      <c r="G280" s="75"/>
      <c r="H280" s="75" t="s">
        <v>2287</v>
      </c>
      <c r="I280" s="75"/>
      <c r="J280" s="76"/>
      <c r="K280" s="77"/>
      <c r="L280" s="46"/>
      <c r="M280" s="75" t="s">
        <v>1461</v>
      </c>
      <c r="N280" s="75" t="s">
        <v>1462</v>
      </c>
      <c r="O280" s="8">
        <f>SUM(P280:AW280)</f>
        <v>0</v>
      </c>
      <c r="P280" s="47"/>
      <c r="Q280" s="47"/>
      <c r="R280" s="47"/>
      <c r="S280" s="47"/>
      <c r="T280" s="47"/>
      <c r="U280" s="47"/>
      <c r="V280" s="47"/>
      <c r="W280" s="47"/>
      <c r="X280" s="47"/>
      <c r="Y280" s="47"/>
      <c r="Z280" s="47"/>
      <c r="AA280" s="47"/>
      <c r="AB280" s="47"/>
      <c r="AC280" s="47"/>
      <c r="AD280" s="47"/>
      <c r="AE280" s="47"/>
      <c r="AF280" s="47"/>
      <c r="AG280" s="47"/>
      <c r="AH280" s="47"/>
      <c r="AI280" s="47"/>
      <c r="AJ280" s="47"/>
      <c r="AK280" s="47"/>
      <c r="AL280" s="47"/>
      <c r="AM280" s="47"/>
      <c r="AN280" s="47"/>
      <c r="AO280" s="47"/>
      <c r="AP280" s="47"/>
      <c r="AQ280" s="47"/>
      <c r="AR280" s="47"/>
      <c r="AS280" s="47"/>
      <c r="AT280" s="47"/>
      <c r="AU280" s="47"/>
      <c r="AV280" s="47"/>
      <c r="AW280" s="47"/>
      <c r="AX280" s="75"/>
    </row>
    <row r="281" spans="1:52" s="43" customFormat="1" ht="26.45" customHeight="1">
      <c r="A281" s="4">
        <v>254</v>
      </c>
      <c r="B281" s="44" t="s">
        <v>88</v>
      </c>
      <c r="C281" s="75"/>
      <c r="D281" s="75" t="s">
        <v>2290</v>
      </c>
      <c r="E281" s="75" t="s">
        <v>2291</v>
      </c>
      <c r="F281" s="45" t="s">
        <v>2289</v>
      </c>
      <c r="G281" s="75"/>
      <c r="H281" s="75" t="s">
        <v>2290</v>
      </c>
      <c r="I281" s="75"/>
      <c r="J281" s="76"/>
      <c r="K281" s="77"/>
      <c r="L281" s="46"/>
      <c r="M281" s="75" t="s">
        <v>1461</v>
      </c>
      <c r="N281" s="75" t="s">
        <v>1462</v>
      </c>
      <c r="O281" s="8">
        <f>SUM(P281:AW281)</f>
        <v>0</v>
      </c>
      <c r="P281" s="47"/>
      <c r="Q281" s="47"/>
      <c r="R281" s="47"/>
      <c r="S281" s="47"/>
      <c r="T281" s="47"/>
      <c r="U281" s="47"/>
      <c r="V281" s="47"/>
      <c r="W281" s="47"/>
      <c r="X281" s="47"/>
      <c r="Y281" s="47"/>
      <c r="Z281" s="47"/>
      <c r="AA281" s="47"/>
      <c r="AB281" s="47"/>
      <c r="AC281" s="47"/>
      <c r="AD281" s="47"/>
      <c r="AE281" s="47"/>
      <c r="AF281" s="47"/>
      <c r="AG281" s="47"/>
      <c r="AH281" s="47"/>
      <c r="AI281" s="47"/>
      <c r="AJ281" s="47"/>
      <c r="AK281" s="47"/>
      <c r="AL281" s="47"/>
      <c r="AM281" s="47"/>
      <c r="AN281" s="47"/>
      <c r="AO281" s="47"/>
      <c r="AP281" s="47"/>
      <c r="AQ281" s="47"/>
      <c r="AR281" s="47"/>
      <c r="AS281" s="47"/>
      <c r="AT281" s="47"/>
      <c r="AU281" s="47"/>
      <c r="AV281" s="47"/>
      <c r="AW281" s="47"/>
      <c r="AX281" s="75"/>
    </row>
    <row r="282" spans="1:52" s="43" customFormat="1" ht="26.45" customHeight="1">
      <c r="A282" s="4"/>
      <c r="B282" s="44" t="s">
        <v>88</v>
      </c>
      <c r="C282" s="75"/>
      <c r="D282" s="75" t="s">
        <v>2292</v>
      </c>
      <c r="E282" s="75" t="s">
        <v>2293</v>
      </c>
      <c r="F282" s="45" t="s">
        <v>2294</v>
      </c>
      <c r="G282" s="75"/>
      <c r="H282" s="75"/>
      <c r="I282" s="75"/>
      <c r="J282" s="76"/>
      <c r="K282" s="77"/>
      <c r="L282" s="46"/>
      <c r="M282" s="75"/>
      <c r="N282" s="75" t="s">
        <v>1462</v>
      </c>
      <c r="O282" s="8">
        <f>SUM(P282:AW282)</f>
        <v>0</v>
      </c>
      <c r="P282" s="47"/>
      <c r="Q282" s="47"/>
      <c r="R282" s="47"/>
      <c r="S282" s="47"/>
      <c r="T282" s="47"/>
      <c r="U282" s="47"/>
      <c r="V282" s="47"/>
      <c r="W282" s="47"/>
      <c r="X282" s="47"/>
      <c r="Y282" s="47"/>
      <c r="Z282" s="47"/>
      <c r="AA282" s="47"/>
      <c r="AB282" s="47"/>
      <c r="AC282" s="47"/>
      <c r="AD282" s="47"/>
      <c r="AE282" s="47"/>
      <c r="AF282" s="47"/>
      <c r="AG282" s="47"/>
      <c r="AH282" s="47"/>
      <c r="AI282" s="47"/>
      <c r="AJ282" s="47"/>
      <c r="AK282" s="47"/>
      <c r="AL282" s="47"/>
      <c r="AM282" s="47"/>
      <c r="AN282" s="47"/>
      <c r="AO282" s="47"/>
      <c r="AP282" s="47"/>
      <c r="AQ282" s="47"/>
      <c r="AR282" s="47"/>
      <c r="AS282" s="47"/>
      <c r="AT282" s="47"/>
      <c r="AU282" s="47"/>
      <c r="AV282" s="47"/>
      <c r="AW282" s="47"/>
      <c r="AX282" s="75"/>
    </row>
    <row r="283" spans="1:52" s="43" customFormat="1">
      <c r="A283" s="4">
        <v>255</v>
      </c>
      <c r="B283" s="44" t="s">
        <v>88</v>
      </c>
      <c r="C283" s="75"/>
      <c r="D283" s="75" t="s">
        <v>2295</v>
      </c>
      <c r="E283" s="75" t="s">
        <v>2296</v>
      </c>
      <c r="F283" s="45" t="s">
        <v>2297</v>
      </c>
      <c r="G283" s="75"/>
      <c r="H283" s="75" t="s">
        <v>2292</v>
      </c>
      <c r="I283" s="75"/>
      <c r="J283" s="76"/>
      <c r="K283" s="77"/>
      <c r="L283" s="46"/>
      <c r="M283" s="75" t="s">
        <v>1461</v>
      </c>
      <c r="N283" s="75" t="s">
        <v>1462</v>
      </c>
      <c r="O283" s="8">
        <f>SUM(P283:AW283)</f>
        <v>0</v>
      </c>
      <c r="P283" s="47"/>
      <c r="Q283" s="47"/>
      <c r="R283" s="47"/>
      <c r="S283" s="47"/>
      <c r="T283" s="47"/>
      <c r="U283" s="47"/>
      <c r="V283" s="47"/>
      <c r="W283" s="47"/>
      <c r="X283" s="47"/>
      <c r="Y283" s="47"/>
      <c r="Z283" s="47"/>
      <c r="AA283" s="47"/>
      <c r="AB283" s="47"/>
      <c r="AC283" s="47"/>
      <c r="AD283" s="47"/>
      <c r="AE283" s="47"/>
      <c r="AF283" s="47"/>
      <c r="AG283" s="47"/>
      <c r="AH283" s="47"/>
      <c r="AI283" s="47"/>
      <c r="AJ283" s="47"/>
      <c r="AK283" s="47"/>
      <c r="AL283" s="47"/>
      <c r="AM283" s="47"/>
      <c r="AN283" s="47"/>
      <c r="AO283" s="47"/>
      <c r="AP283" s="47"/>
      <c r="AQ283" s="47"/>
      <c r="AR283" s="47"/>
      <c r="AS283" s="47"/>
      <c r="AT283" s="47"/>
      <c r="AU283" s="47"/>
      <c r="AV283" s="47"/>
      <c r="AW283" s="47"/>
      <c r="AX283" s="75"/>
    </row>
    <row r="284" spans="1:52" s="43" customFormat="1">
      <c r="A284" s="4"/>
      <c r="B284" s="44" t="s">
        <v>88</v>
      </c>
      <c r="C284" s="75"/>
      <c r="D284" s="75" t="s">
        <v>2298</v>
      </c>
      <c r="E284" s="75" t="s">
        <v>2296</v>
      </c>
      <c r="F284" s="45" t="s">
        <v>2299</v>
      </c>
      <c r="G284" s="75"/>
      <c r="H284" s="75" t="s">
        <v>2295</v>
      </c>
      <c r="I284" s="75"/>
      <c r="J284" s="76"/>
      <c r="K284" s="77"/>
      <c r="L284" s="46"/>
      <c r="M284" s="75" t="s">
        <v>1461</v>
      </c>
      <c r="N284" s="75" t="s">
        <v>1462</v>
      </c>
      <c r="O284" s="8">
        <f>SUM(P284:AW284)</f>
        <v>0</v>
      </c>
      <c r="P284" s="47"/>
      <c r="Q284" s="47"/>
      <c r="R284" s="47"/>
      <c r="S284" s="47"/>
      <c r="T284" s="47"/>
      <c r="U284" s="47"/>
      <c r="V284" s="47"/>
      <c r="W284" s="47"/>
      <c r="X284" s="47"/>
      <c r="Y284" s="47"/>
      <c r="Z284" s="47"/>
      <c r="AA284" s="47"/>
      <c r="AB284" s="47"/>
      <c r="AC284" s="47"/>
      <c r="AD284" s="47"/>
      <c r="AE284" s="47"/>
      <c r="AF284" s="47"/>
      <c r="AG284" s="47"/>
      <c r="AH284" s="47"/>
      <c r="AI284" s="47"/>
      <c r="AJ284" s="47"/>
      <c r="AK284" s="47"/>
      <c r="AL284" s="47"/>
      <c r="AM284" s="47"/>
      <c r="AN284" s="47"/>
      <c r="AO284" s="47"/>
      <c r="AP284" s="47"/>
      <c r="AQ284" s="47"/>
      <c r="AR284" s="47"/>
      <c r="AS284" s="47"/>
      <c r="AT284" s="47"/>
      <c r="AU284" s="47"/>
      <c r="AV284" s="47"/>
      <c r="AW284" s="47"/>
      <c r="AX284" s="75"/>
    </row>
    <row r="285" spans="1:52" s="43" customFormat="1">
      <c r="A285" s="4">
        <v>256</v>
      </c>
      <c r="B285" s="44" t="s">
        <v>88</v>
      </c>
      <c r="C285" s="75"/>
      <c r="D285" s="75" t="s">
        <v>2300</v>
      </c>
      <c r="E285" s="75" t="s">
        <v>2296</v>
      </c>
      <c r="F285" s="45" t="s">
        <v>2301</v>
      </c>
      <c r="G285" s="75"/>
      <c r="H285" s="75" t="s">
        <v>2298</v>
      </c>
      <c r="I285" s="75"/>
      <c r="J285" s="76"/>
      <c r="K285" s="77"/>
      <c r="L285" s="46"/>
      <c r="M285" s="75" t="s">
        <v>1461</v>
      </c>
      <c r="N285" s="75" t="s">
        <v>1462</v>
      </c>
      <c r="O285" s="8">
        <f>SUM(P285:AW285)</f>
        <v>0</v>
      </c>
      <c r="P285" s="47"/>
      <c r="Q285" s="47"/>
      <c r="R285" s="47"/>
      <c r="S285" s="47"/>
      <c r="T285" s="47"/>
      <c r="U285" s="47"/>
      <c r="V285" s="47"/>
      <c r="W285" s="47"/>
      <c r="X285" s="47"/>
      <c r="Y285" s="47"/>
      <c r="Z285" s="47"/>
      <c r="AA285" s="47"/>
      <c r="AB285" s="47"/>
      <c r="AC285" s="47"/>
      <c r="AD285" s="47"/>
      <c r="AE285" s="47"/>
      <c r="AF285" s="47"/>
      <c r="AG285" s="47"/>
      <c r="AH285" s="47"/>
      <c r="AI285" s="47"/>
      <c r="AJ285" s="47"/>
      <c r="AK285" s="47"/>
      <c r="AL285" s="47"/>
      <c r="AM285" s="47"/>
      <c r="AN285" s="47"/>
      <c r="AO285" s="47"/>
      <c r="AP285" s="47"/>
      <c r="AQ285" s="47"/>
      <c r="AR285" s="47"/>
      <c r="AS285" s="47"/>
      <c r="AT285" s="47"/>
      <c r="AU285" s="47"/>
      <c r="AV285" s="47"/>
      <c r="AW285" s="47"/>
      <c r="AX285" s="75"/>
    </row>
    <row r="286" spans="1:52">
      <c r="A286" s="4">
        <v>256</v>
      </c>
      <c r="B286" s="44" t="s">
        <v>88</v>
      </c>
      <c r="C286" s="75"/>
      <c r="D286" s="75" t="s">
        <v>2302</v>
      </c>
      <c r="E286" s="75" t="s">
        <v>2296</v>
      </c>
      <c r="F286" s="45" t="s">
        <v>2303</v>
      </c>
      <c r="G286" s="75"/>
      <c r="H286" s="75" t="s">
        <v>2300</v>
      </c>
      <c r="I286" s="75"/>
      <c r="J286" s="76"/>
      <c r="K286" s="77"/>
      <c r="L286" s="46"/>
      <c r="M286" s="75" t="s">
        <v>1461</v>
      </c>
      <c r="N286" s="75" t="s">
        <v>1462</v>
      </c>
      <c r="O286" s="8">
        <f>SUM(P286:AW286)</f>
        <v>0</v>
      </c>
      <c r="P286" s="47"/>
      <c r="Q286" s="47"/>
      <c r="R286" s="47"/>
      <c r="S286" s="47"/>
      <c r="T286" s="47"/>
      <c r="U286" s="47"/>
      <c r="V286" s="47"/>
      <c r="W286" s="47"/>
      <c r="X286" s="47"/>
      <c r="Y286" s="47"/>
      <c r="Z286" s="47"/>
      <c r="AA286" s="47"/>
      <c r="AB286" s="47"/>
      <c r="AC286" s="47"/>
      <c r="AD286" s="47"/>
      <c r="AE286" s="47"/>
      <c r="AF286" s="47"/>
      <c r="AG286" s="47"/>
      <c r="AH286" s="47"/>
      <c r="AI286" s="47"/>
      <c r="AJ286" s="47"/>
      <c r="AK286" s="47"/>
      <c r="AL286" s="47"/>
      <c r="AM286" s="47"/>
      <c r="AN286" s="47"/>
      <c r="AO286" s="47"/>
      <c r="AP286" s="47"/>
      <c r="AQ286" s="47"/>
      <c r="AR286" s="47"/>
      <c r="AS286" s="47"/>
      <c r="AT286" s="47"/>
      <c r="AU286" s="47"/>
      <c r="AV286" s="47"/>
      <c r="AW286" s="47"/>
      <c r="AX286" s="75"/>
    </row>
    <row r="287" spans="1:52">
      <c r="A287" s="4">
        <v>257</v>
      </c>
      <c r="B287" s="44" t="s">
        <v>88</v>
      </c>
      <c r="C287" s="75"/>
      <c r="D287" s="75" t="s">
        <v>2304</v>
      </c>
      <c r="E287" s="75" t="s">
        <v>2296</v>
      </c>
      <c r="F287" s="45" t="s">
        <v>2305</v>
      </c>
      <c r="G287" s="75"/>
      <c r="H287" s="75" t="s">
        <v>2302</v>
      </c>
      <c r="I287" s="75"/>
      <c r="J287" s="76"/>
      <c r="K287" s="77"/>
      <c r="L287" s="46"/>
      <c r="M287" s="75" t="s">
        <v>1461</v>
      </c>
      <c r="N287" s="75" t="s">
        <v>1462</v>
      </c>
      <c r="O287" s="8">
        <f>SUM(P287:AW287)</f>
        <v>0</v>
      </c>
      <c r="P287" s="47"/>
      <c r="Q287" s="47"/>
      <c r="R287" s="47"/>
      <c r="S287" s="47"/>
      <c r="T287" s="47"/>
      <c r="U287" s="47"/>
      <c r="V287" s="47"/>
      <c r="W287" s="47"/>
      <c r="X287" s="47"/>
      <c r="Y287" s="47"/>
      <c r="Z287" s="47"/>
      <c r="AA287" s="47"/>
      <c r="AB287" s="47"/>
      <c r="AC287" s="47"/>
      <c r="AD287" s="47"/>
      <c r="AE287" s="47"/>
      <c r="AF287" s="47"/>
      <c r="AG287" s="47"/>
      <c r="AH287" s="47"/>
      <c r="AI287" s="47"/>
      <c r="AJ287" s="47"/>
      <c r="AK287" s="47"/>
      <c r="AL287" s="47"/>
      <c r="AM287" s="47"/>
      <c r="AN287" s="47"/>
      <c r="AO287" s="47"/>
      <c r="AP287" s="47"/>
      <c r="AQ287" s="47"/>
      <c r="AR287" s="47"/>
      <c r="AS287" s="47"/>
      <c r="AT287" s="47"/>
      <c r="AU287" s="47"/>
      <c r="AV287" s="47"/>
      <c r="AW287" s="47"/>
      <c r="AX287" s="75"/>
      <c r="AZ287" s="43"/>
    </row>
    <row r="288" spans="1:52">
      <c r="A288" s="4">
        <v>257</v>
      </c>
      <c r="B288" s="44" t="s">
        <v>88</v>
      </c>
      <c r="C288" s="75"/>
      <c r="D288" s="75" t="s">
        <v>2306</v>
      </c>
      <c r="E288" s="75" t="s">
        <v>2296</v>
      </c>
      <c r="F288" s="45" t="s">
        <v>2307</v>
      </c>
      <c r="G288" s="75"/>
      <c r="H288" s="75" t="s">
        <v>2304</v>
      </c>
      <c r="I288" s="75"/>
      <c r="J288" s="76"/>
      <c r="K288" s="77"/>
      <c r="L288" s="46"/>
      <c r="M288" s="75" t="s">
        <v>1461</v>
      </c>
      <c r="N288" s="75" t="s">
        <v>1462</v>
      </c>
      <c r="O288" s="8">
        <f>SUM(P288:AW288)</f>
        <v>0</v>
      </c>
      <c r="P288" s="47"/>
      <c r="Q288" s="47"/>
      <c r="R288" s="47"/>
      <c r="S288" s="47"/>
      <c r="T288" s="47"/>
      <c r="U288" s="47"/>
      <c r="V288" s="47"/>
      <c r="W288" s="47"/>
      <c r="X288" s="47"/>
      <c r="Y288" s="47"/>
      <c r="Z288" s="47"/>
      <c r="AA288" s="47"/>
      <c r="AB288" s="47"/>
      <c r="AC288" s="47"/>
      <c r="AD288" s="47"/>
      <c r="AE288" s="47"/>
      <c r="AF288" s="47"/>
      <c r="AG288" s="47"/>
      <c r="AH288" s="47"/>
      <c r="AI288" s="47"/>
      <c r="AJ288" s="47"/>
      <c r="AK288" s="47"/>
      <c r="AL288" s="47"/>
      <c r="AM288" s="47"/>
      <c r="AN288" s="47"/>
      <c r="AO288" s="47"/>
      <c r="AP288" s="47"/>
      <c r="AQ288" s="47"/>
      <c r="AR288" s="47"/>
      <c r="AS288" s="47"/>
      <c r="AT288" s="47"/>
      <c r="AU288" s="47"/>
      <c r="AV288" s="47"/>
      <c r="AW288" s="47"/>
      <c r="AX288" s="75"/>
    </row>
    <row r="289" spans="1:50">
      <c r="A289" s="4">
        <v>257</v>
      </c>
      <c r="B289" s="44" t="s">
        <v>88</v>
      </c>
      <c r="C289" s="75"/>
      <c r="D289" s="75" t="s">
        <v>2308</v>
      </c>
      <c r="E289" s="75" t="s">
        <v>2296</v>
      </c>
      <c r="F289" s="45" t="s">
        <v>2309</v>
      </c>
      <c r="G289" s="75"/>
      <c r="H289" s="75" t="s">
        <v>2306</v>
      </c>
      <c r="I289" s="75"/>
      <c r="J289" s="76"/>
      <c r="K289" s="77"/>
      <c r="L289" s="46"/>
      <c r="M289" s="75" t="s">
        <v>1461</v>
      </c>
      <c r="N289" s="75" t="s">
        <v>1462</v>
      </c>
      <c r="O289" s="8">
        <f>SUM(P289:AW289)</f>
        <v>0</v>
      </c>
      <c r="P289" s="47"/>
      <c r="Q289" s="47"/>
      <c r="R289" s="47"/>
      <c r="S289" s="47"/>
      <c r="T289" s="47"/>
      <c r="U289" s="47"/>
      <c r="V289" s="47"/>
      <c r="W289" s="47"/>
      <c r="X289" s="47"/>
      <c r="Y289" s="47"/>
      <c r="Z289" s="47"/>
      <c r="AA289" s="47"/>
      <c r="AB289" s="47"/>
      <c r="AC289" s="47"/>
      <c r="AD289" s="47"/>
      <c r="AE289" s="47"/>
      <c r="AF289" s="47"/>
      <c r="AG289" s="47"/>
      <c r="AH289" s="47"/>
      <c r="AI289" s="47"/>
      <c r="AJ289" s="47"/>
      <c r="AK289" s="47"/>
      <c r="AL289" s="47"/>
      <c r="AM289" s="47"/>
      <c r="AN289" s="47"/>
      <c r="AO289" s="47"/>
      <c r="AP289" s="47"/>
      <c r="AQ289" s="47"/>
      <c r="AR289" s="47"/>
      <c r="AS289" s="47"/>
      <c r="AT289" s="47"/>
      <c r="AU289" s="47"/>
      <c r="AV289" s="47"/>
      <c r="AW289" s="47"/>
      <c r="AX289" s="75"/>
    </row>
    <row r="290" spans="1:50">
      <c r="A290" s="4">
        <v>257</v>
      </c>
      <c r="B290" s="44" t="s">
        <v>88</v>
      </c>
      <c r="C290" s="75"/>
      <c r="D290" s="75" t="s">
        <v>2310</v>
      </c>
      <c r="E290" s="75" t="s">
        <v>2296</v>
      </c>
      <c r="F290" s="45" t="s">
        <v>2311</v>
      </c>
      <c r="G290" s="75"/>
      <c r="H290" s="75" t="s">
        <v>2308</v>
      </c>
      <c r="I290" s="75"/>
      <c r="J290" s="76"/>
      <c r="K290" s="77"/>
      <c r="L290" s="46"/>
      <c r="M290" s="75" t="s">
        <v>1461</v>
      </c>
      <c r="N290" s="75" t="s">
        <v>1462</v>
      </c>
      <c r="O290" s="8">
        <f>SUM(P290:AW290)</f>
        <v>0</v>
      </c>
      <c r="P290" s="47"/>
      <c r="Q290" s="47"/>
      <c r="R290" s="47"/>
      <c r="S290" s="47"/>
      <c r="T290" s="47"/>
      <c r="U290" s="47"/>
      <c r="V290" s="47"/>
      <c r="W290" s="47"/>
      <c r="X290" s="47"/>
      <c r="Y290" s="47"/>
      <c r="Z290" s="47"/>
      <c r="AA290" s="47"/>
      <c r="AB290" s="47"/>
      <c r="AC290" s="47"/>
      <c r="AD290" s="47"/>
      <c r="AE290" s="47"/>
      <c r="AF290" s="47"/>
      <c r="AG290" s="47"/>
      <c r="AH290" s="47"/>
      <c r="AI290" s="47"/>
      <c r="AJ290" s="47"/>
      <c r="AK290" s="47"/>
      <c r="AL290" s="47"/>
      <c r="AM290" s="47"/>
      <c r="AN290" s="47"/>
      <c r="AO290" s="47"/>
      <c r="AP290" s="47"/>
      <c r="AQ290" s="47"/>
      <c r="AR290" s="47"/>
      <c r="AS290" s="47"/>
      <c r="AT290" s="47"/>
      <c r="AU290" s="47"/>
      <c r="AV290" s="47"/>
      <c r="AW290" s="47"/>
      <c r="AX290" s="75"/>
    </row>
    <row r="291" spans="1:50">
      <c r="A291" s="4">
        <v>257</v>
      </c>
      <c r="B291" s="44" t="s">
        <v>88</v>
      </c>
      <c r="C291" s="75"/>
      <c r="D291" s="75" t="s">
        <v>2310</v>
      </c>
      <c r="E291" s="75" t="s">
        <v>2296</v>
      </c>
      <c r="F291" s="45" t="s">
        <v>2312</v>
      </c>
      <c r="G291" s="75"/>
      <c r="H291" s="75" t="s">
        <v>2308</v>
      </c>
      <c r="I291" s="75"/>
      <c r="J291" s="76"/>
      <c r="K291" s="77"/>
      <c r="L291" s="46"/>
      <c r="M291" s="75" t="s">
        <v>1461</v>
      </c>
      <c r="N291" s="12" t="s">
        <v>1462</v>
      </c>
      <c r="O291" s="8">
        <f>SUM(P291:AW291)</f>
        <v>0</v>
      </c>
      <c r="P291" s="47"/>
      <c r="Q291" s="47"/>
      <c r="R291" s="47"/>
      <c r="S291" s="47"/>
      <c r="T291" s="47"/>
      <c r="U291" s="47"/>
      <c r="V291" s="47"/>
      <c r="W291" s="47"/>
      <c r="X291" s="47"/>
      <c r="Y291" s="47"/>
      <c r="Z291" s="47"/>
      <c r="AA291" s="47"/>
      <c r="AB291" s="47"/>
      <c r="AC291" s="47"/>
      <c r="AD291" s="47"/>
      <c r="AE291" s="47"/>
      <c r="AF291" s="47"/>
      <c r="AG291" s="47"/>
      <c r="AH291" s="47"/>
      <c r="AI291" s="47"/>
      <c r="AJ291" s="47"/>
      <c r="AK291" s="47"/>
      <c r="AL291" s="47"/>
      <c r="AM291" s="47"/>
      <c r="AN291" s="47"/>
      <c r="AO291" s="47"/>
      <c r="AP291" s="47"/>
      <c r="AQ291" s="47"/>
      <c r="AR291" s="47"/>
      <c r="AS291" s="47"/>
      <c r="AT291" s="47"/>
      <c r="AU291" s="47"/>
      <c r="AV291" s="47"/>
      <c r="AW291" s="47"/>
      <c r="AX291" s="75"/>
    </row>
    <row r="292" spans="1:50">
      <c r="A292" s="4">
        <v>257</v>
      </c>
      <c r="B292" s="44" t="s">
        <v>88</v>
      </c>
      <c r="C292" s="75"/>
      <c r="D292" s="75" t="s">
        <v>2313</v>
      </c>
      <c r="E292" s="75" t="s">
        <v>2296</v>
      </c>
      <c r="F292" s="45" t="s">
        <v>2314</v>
      </c>
      <c r="G292" s="75"/>
      <c r="H292" s="75" t="s">
        <v>2308</v>
      </c>
      <c r="I292" s="75"/>
      <c r="J292" s="76"/>
      <c r="K292" s="77"/>
      <c r="L292" s="46"/>
      <c r="M292" s="75" t="s">
        <v>1461</v>
      </c>
      <c r="N292" s="75" t="s">
        <v>1462</v>
      </c>
      <c r="O292" s="8">
        <f>SUM(P292:AW292)</f>
        <v>0</v>
      </c>
      <c r="P292" s="47"/>
      <c r="Q292" s="47"/>
      <c r="R292" s="47"/>
      <c r="S292" s="47"/>
      <c r="T292" s="47"/>
      <c r="U292" s="47"/>
      <c r="V292" s="47"/>
      <c r="W292" s="47"/>
      <c r="X292" s="47"/>
      <c r="Y292" s="47"/>
      <c r="Z292" s="47"/>
      <c r="AA292" s="47"/>
      <c r="AB292" s="47"/>
      <c r="AC292" s="47"/>
      <c r="AD292" s="47"/>
      <c r="AE292" s="47"/>
      <c r="AF292" s="47"/>
      <c r="AG292" s="47"/>
      <c r="AH292" s="47"/>
      <c r="AI292" s="47"/>
      <c r="AJ292" s="47"/>
      <c r="AK292" s="47"/>
      <c r="AL292" s="47"/>
      <c r="AM292" s="47"/>
      <c r="AN292" s="47"/>
      <c r="AO292" s="47"/>
      <c r="AP292" s="47"/>
      <c r="AQ292" s="47"/>
      <c r="AR292" s="47"/>
      <c r="AS292" s="47"/>
      <c r="AT292" s="47"/>
      <c r="AU292" s="47"/>
      <c r="AV292" s="47"/>
      <c r="AW292" s="47"/>
      <c r="AX292" s="75"/>
    </row>
  </sheetData>
  <autoFilter ref="A5:BL292" xr:uid="{00000000-0009-0000-0000-000006000000}"/>
  <mergeCells count="21">
    <mergeCell ref="F3:G3"/>
    <mergeCell ref="H3:H5"/>
    <mergeCell ref="C3:C5"/>
    <mergeCell ref="E3:E5"/>
    <mergeCell ref="A1:AX1"/>
    <mergeCell ref="B3:B5"/>
    <mergeCell ref="O3:O5"/>
    <mergeCell ref="G4:G5"/>
    <mergeCell ref="N3:N5"/>
    <mergeCell ref="I3:I5"/>
    <mergeCell ref="L3:L5"/>
    <mergeCell ref="A2:AX2"/>
    <mergeCell ref="F4:F5"/>
    <mergeCell ref="A3:A5"/>
    <mergeCell ref="D3:D5"/>
    <mergeCell ref="AC3:AW3"/>
    <mergeCell ref="M3:M5"/>
    <mergeCell ref="AX3:AX5"/>
    <mergeCell ref="P3:AB3"/>
    <mergeCell ref="J3:J5"/>
    <mergeCell ref="K3:K5"/>
  </mergeCells>
  <pageMargins left="1" right="1" top="1" bottom="1" header="0.3" footer="0.3"/>
  <pageSetup paperSize="0" orientation="portrait"/>
  <headerFooter>
    <oddHeader>&amp;L&amp;"Aptos"&amp;8&amp;K000000 대외비(Restricted)&amp;1#_x000D_&amp;"Calibri"&amp;11&amp;K000000&amp;"Calibri"&amp;1 &amp;K000000 대외비(Restricted)#_x000D_</oddHeader>
  </headerFooter>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708ADEC9AB2D74E8EF8811BBC4F9F5F" ma:contentTypeVersion="8" ma:contentTypeDescription="Create a new document." ma:contentTypeScope="" ma:versionID="2690d556195b320edd44746ffa2568c6">
  <xsd:schema xmlns:xsd="http://www.w3.org/2001/XMLSchema" xmlns:xs="http://www.w3.org/2001/XMLSchema" xmlns:p="http://schemas.microsoft.com/office/2006/metadata/properties" xmlns:ns2="31d58751-bbf6-4d52-983e-b571b4cec1a2" targetNamespace="http://schemas.microsoft.com/office/2006/metadata/properties" ma:root="true" ma:fieldsID="70d97248967d01b09a4591b9ffa30ba5" ns2:_="">
    <xsd:import namespace="31d58751-bbf6-4d52-983e-b571b4cec1a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d58751-bbf6-4d52-983e-b571b4cec1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04FD202-11C7-4E17-9E69-66BBAA20723C}"/>
</file>

<file path=customXml/itemProps2.xml><?xml version="1.0" encoding="utf-8"?>
<ds:datastoreItem xmlns:ds="http://schemas.openxmlformats.org/officeDocument/2006/customXml" ds:itemID="{084C1247-27C5-4649-B02B-E188FF8AE35C}"/>
</file>

<file path=customXml/itemProps3.xml><?xml version="1.0" encoding="utf-8"?>
<ds:datastoreItem xmlns:ds="http://schemas.openxmlformats.org/officeDocument/2006/customXml" ds:itemID="{C504F534-EDF7-4763-9F1D-770808878F12}"/>
</file>

<file path=docMetadata/LabelInfo.xml><?xml version="1.0" encoding="utf-8"?>
<clbl:labelList xmlns:clbl="http://schemas.microsoft.com/office/2020/mipLabelMetadata">
  <clbl:label id="{a11ee6e5-21a0-48c4-8af4-6cc1347f763e}" enabled="1" method="Privileged" siteId="{a27ddcc1-bea5-4183-aa29-fd96d7612a1d}"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강동철</dc:creator>
  <cp:keywords/>
  <dc:description/>
  <cp:lastModifiedBy>제제헬프랑카(JEZEHEL FRANCA) 책임매니저</cp:lastModifiedBy>
  <cp:revision/>
  <dcterms:created xsi:type="dcterms:W3CDTF">2025-12-30T07:03:01Z</dcterms:created>
  <dcterms:modified xsi:type="dcterms:W3CDTF">2026-07-27T08:15:51Z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19.2.5.0</vt:lpwstr>
  </property>
  <property fmtid="{D5CDD505-2E9C-101B-9397-08002B2CF9AE}" pid="3" name="ContentTypeId">
    <vt:lpwstr>0x0101001708ADEC9AB2D74E8EF8811BBC4F9F5F</vt:lpwstr>
  </property>
  <property fmtid="{D5CDD505-2E9C-101B-9397-08002B2CF9AE}" pid="124" name="Matl" linkTarget="Prop_Matl">
    <vt:lpwstr>#REF!</vt:lpwstr>
  </property>
  <property fmtid="{D5CDD505-2E9C-101B-9397-08002B2CF9AE}" pid="125" name="Matl_Rate" linkTarget="Prop_Matl_Rate">
    <vt:lpwstr>#REF!</vt:lpwstr>
  </property>
  <property fmtid="{D5CDD505-2E9C-101B-9397-08002B2CF9AE}" pid="126" name="MD" linkTarget="Prop_MD">
    <vt:lpwstr>#REF!</vt:lpwstr>
  </property>
  <property fmtid="{D5CDD505-2E9C-101B-9397-08002B2CF9AE}" pid="127" name="MD_Rate" linkTarget="Prop_MD_Rate">
    <vt:lpwstr>#REF!</vt:lpwstr>
  </property>
  <property fmtid="{D5CDD505-2E9C-101B-9397-08002B2CF9AE}" pid="128" name="Total_Matl" linkTarget="Prop_Total_Matl">
    <vt:lpwstr>#REF!</vt:lpwstr>
  </property>
  <property fmtid="{D5CDD505-2E9C-101B-9397-08002B2CF9AE}" pid="129" name="Total_MD" linkTarget="Prop_Total_MD">
    <vt:lpwstr>#REF!</vt:lpwstr>
  </property>
</Properties>
</file>